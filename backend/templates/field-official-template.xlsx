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880A04D5-99F6-4138-B38A-CC54A50928A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사급자재 사용내역" sheetId="5" r:id="rId1"/>
    <sheet name="센터 자재 사용내역(01월)" sheetId="28" r:id="rId2"/>
    <sheet name="센터 자재 사용내역(02월)" sheetId="27" r:id="rId3"/>
    <sheet name="센터 자재 사용내역(03월)" sheetId="23" r:id="rId4"/>
    <sheet name="센터 자재 사용내역(04월)" sheetId="29" r:id="rId5"/>
    <sheet name="센터 자재 사용내역(05월)" sheetId="30" r:id="rId6"/>
    <sheet name="센터 자재 사용내역(06월)" sheetId="31" r:id="rId7"/>
    <sheet name="센터 자재 사용내역(07월)" sheetId="32" r:id="rId8"/>
    <sheet name="센터 자재 사용내역(08월)" sheetId="33" r:id="rId9"/>
    <sheet name="센터 자재 사용내역(09월)" sheetId="34" r:id="rId10"/>
    <sheet name="센터 자재 사용내역(10월)" sheetId="35" r:id="rId11"/>
    <sheet name="센터 자재 사용내역(11월)" sheetId="36" r:id="rId12"/>
    <sheet name="센터 자재 사용내역(12월)" sheetId="37" r:id="rId13"/>
  </sheets>
  <externalReferences>
    <externalReference r:id="rId14"/>
  </externalReferences>
  <definedNames>
    <definedName name="_xlnm._FilterDatabase" localSheetId="0" hidden="1">'사급자재 사용내역'!$A$3:$AR$144</definedName>
    <definedName name="_xlnm._FilterDatabase" localSheetId="1" hidden="1">'센터 자재 사용내역(01월)'!$A$6:$M$395</definedName>
    <definedName name="_xlnm._FilterDatabase" localSheetId="2" hidden="1">'센터 자재 사용내역(02월)'!$A$6:$M$410</definedName>
    <definedName name="_xlnm._FilterDatabase" localSheetId="3" hidden="1">'센터 자재 사용내역(03월)'!$A$6:$M$305</definedName>
    <definedName name="_xlnm._FilterDatabase" localSheetId="4" hidden="1">'센터 자재 사용내역(04월)'!$A$6:$M$283</definedName>
    <definedName name="_xlnm._FilterDatabase" localSheetId="5" hidden="1">'센터 자재 사용내역(05월)'!$A$6:$M$454</definedName>
    <definedName name="_xlnm._FilterDatabase" localSheetId="6" hidden="1">'센터 자재 사용내역(06월)'!$A$6:$M$454</definedName>
    <definedName name="_xlnm._FilterDatabase" localSheetId="7" hidden="1">'센터 자재 사용내역(07월)'!$A$6:$M$454</definedName>
    <definedName name="_xlnm._FilterDatabase" localSheetId="8" hidden="1">'센터 자재 사용내역(08월)'!$A$6:$M$414</definedName>
    <definedName name="_xlnm._FilterDatabase" localSheetId="9" hidden="1">'센터 자재 사용내역(09월)'!$A$6:$M$454</definedName>
    <definedName name="_xlnm._FilterDatabase" localSheetId="10" hidden="1">'센터 자재 사용내역(10월)'!$A$6:$M$454</definedName>
    <definedName name="_xlnm._FilterDatabase" localSheetId="11" hidden="1">'센터 자재 사용내역(11월)'!$A$6:$M$419</definedName>
    <definedName name="_xlnm._FilterDatabase" localSheetId="12" hidden="1">'센터 자재 사용내역(12월)'!$A$6:$M$454</definedName>
    <definedName name="AGC">#REF!</definedName>
    <definedName name="ONU">#REF!</definedName>
    <definedName name="TAP_OFF_04">#REF!</definedName>
    <definedName name="TAP_OFF_08">#REF!</definedName>
    <definedName name="간선증폭기">#REF!</definedName>
    <definedName name="감쇄기_SA">#REF!</definedName>
    <definedName name="감쇄기_모토로라">#REF!</definedName>
    <definedName name="계량기">#REF!</definedName>
    <definedName name="광접속함체_RN포함">#REF!</definedName>
    <definedName name="광접속함체_직선형">#REF!</definedName>
    <definedName name="광케이블">#REF!</definedName>
    <definedName name="구내증폭기">#REF!</definedName>
    <definedName name="누전차단기">#REF!</definedName>
    <definedName name="동축케이블">#REF!</definedName>
    <definedName name="목록">[1]목록!$A$2:$P$2</definedName>
    <definedName name="방향성결합기">#REF!</definedName>
    <definedName name="상향광송신기">#REF!</definedName>
    <definedName name="선로증폭기">#REF!</definedName>
    <definedName name="스터브케이블">#REF!</definedName>
    <definedName name="암타이밴드">#REF!</definedName>
    <definedName name="연장증폭기">#REF!</definedName>
    <definedName name="열수축관">#REF!</definedName>
    <definedName name="옥내용_8분기기">#REF!</definedName>
    <definedName name="옥내용분배기">#REF!</definedName>
    <definedName name="옥외용분배기">#REF!</definedName>
    <definedName name="와이어바이스">#REF!</definedName>
    <definedName name="자동복구기">#REF!</definedName>
    <definedName name="장비명">#REF!</definedName>
    <definedName name="전기선">#REF!</definedName>
    <definedName name="전력삽입기">#REF!</definedName>
    <definedName name="전원공급기_PS">#REF!</definedName>
    <definedName name="전원공급기_UPS">#REF!</definedName>
    <definedName name="조선인류클램프">#REF!</definedName>
    <definedName name="조선접속클램프">#REF!</definedName>
    <definedName name="종단기">#REF!</definedName>
    <definedName name="지선그립">#REF!</definedName>
    <definedName name="지선밴드">#REF!</definedName>
    <definedName name="커넥터">#REF!</definedName>
    <definedName name="케이블행거">#REF!</definedName>
    <definedName name="탭브라켓_스탠">#REF!</definedName>
    <definedName name="하향등화기_모토로라">#REF!</definedName>
    <definedName name="하향역등화기_SA">#REF!</definedName>
    <definedName name="하향역등화기_모토로라">#REF!</definedName>
  </definedNames>
  <calcPr calcId="191029"/>
  <customWorkbookViews>
    <customWorkbookView name="필터 7" guid="{2093FE2C-4CE3-4D0A-8C0E-E9BCCF042559}" maximized="1" windowWidth="0" windowHeight="0" activeSheetId="0"/>
    <customWorkbookView name="필터 1" guid="{3FCEC319-B40F-4B33-BCAD-AAB132127CED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" i="31" l="1"/>
  <c r="BB153" i="5"/>
  <c r="BA153" i="5"/>
  <c r="AZ153" i="5"/>
  <c r="AY153" i="5"/>
  <c r="AX153" i="5"/>
  <c r="AW153" i="5"/>
  <c r="AV153" i="5"/>
  <c r="AU153" i="5"/>
  <c r="AT153" i="5"/>
  <c r="AS153" i="5"/>
  <c r="AR153" i="5"/>
  <c r="AQ153" i="5"/>
  <c r="AN153" i="5"/>
  <c r="K153" i="5" s="1"/>
  <c r="X153" i="5"/>
  <c r="W153" i="5"/>
  <c r="V153" i="5"/>
  <c r="U153" i="5"/>
  <c r="T153" i="5"/>
  <c r="S153" i="5"/>
  <c r="R153" i="5"/>
  <c r="Q153" i="5"/>
  <c r="P153" i="5"/>
  <c r="O153" i="5"/>
  <c r="N153" i="5"/>
  <c r="M153" i="5"/>
  <c r="G5" i="35"/>
  <c r="BB17" i="5"/>
  <c r="BA17" i="5"/>
  <c r="AZ17" i="5"/>
  <c r="AY17" i="5"/>
  <c r="AX17" i="5"/>
  <c r="AW17" i="5"/>
  <c r="AV17" i="5"/>
  <c r="AU17" i="5"/>
  <c r="AT17" i="5"/>
  <c r="AS17" i="5"/>
  <c r="AR17" i="5"/>
  <c r="AQ17" i="5"/>
  <c r="AN17" i="5"/>
  <c r="K17" i="5" s="1"/>
  <c r="X17" i="5"/>
  <c r="W17" i="5"/>
  <c r="V17" i="5"/>
  <c r="U17" i="5"/>
  <c r="T17" i="5"/>
  <c r="S17" i="5"/>
  <c r="R17" i="5"/>
  <c r="Q17" i="5"/>
  <c r="P17" i="5"/>
  <c r="O17" i="5"/>
  <c r="N17" i="5"/>
  <c r="M17" i="5"/>
  <c r="G5" i="34"/>
  <c r="G5" i="33"/>
  <c r="G5" i="32"/>
  <c r="G5" i="30"/>
  <c r="G5" i="29"/>
  <c r="G5" i="23"/>
  <c r="BB152" i="5"/>
  <c r="BA152" i="5"/>
  <c r="AZ152" i="5"/>
  <c r="AY152" i="5"/>
  <c r="AX152" i="5"/>
  <c r="AW152" i="5"/>
  <c r="AV152" i="5"/>
  <c r="AU152" i="5"/>
  <c r="AT152" i="5"/>
  <c r="AS152" i="5"/>
  <c r="AR152" i="5"/>
  <c r="AQ152" i="5"/>
  <c r="AN152" i="5"/>
  <c r="K152" i="5" s="1"/>
  <c r="X152" i="5"/>
  <c r="W152" i="5"/>
  <c r="V152" i="5"/>
  <c r="U152" i="5"/>
  <c r="T152" i="5"/>
  <c r="S152" i="5"/>
  <c r="R152" i="5"/>
  <c r="Q152" i="5"/>
  <c r="P152" i="5"/>
  <c r="O152" i="5"/>
  <c r="N152" i="5"/>
  <c r="M152" i="5"/>
  <c r="BB151" i="5"/>
  <c r="BA151" i="5"/>
  <c r="AZ151" i="5"/>
  <c r="AY151" i="5"/>
  <c r="AX151" i="5"/>
  <c r="AW151" i="5"/>
  <c r="AV151" i="5"/>
  <c r="AU151" i="5"/>
  <c r="AT151" i="5"/>
  <c r="AS151" i="5"/>
  <c r="AR151" i="5"/>
  <c r="AQ151" i="5"/>
  <c r="AN151" i="5"/>
  <c r="K151" i="5" s="1"/>
  <c r="X151" i="5"/>
  <c r="W151" i="5"/>
  <c r="V151" i="5"/>
  <c r="U151" i="5"/>
  <c r="T151" i="5"/>
  <c r="S151" i="5"/>
  <c r="R151" i="5"/>
  <c r="Q151" i="5"/>
  <c r="P151" i="5"/>
  <c r="O151" i="5"/>
  <c r="N151" i="5"/>
  <c r="M151" i="5"/>
  <c r="BB150" i="5"/>
  <c r="BA150" i="5"/>
  <c r="AZ150" i="5"/>
  <c r="AY150" i="5"/>
  <c r="AX150" i="5"/>
  <c r="AW150" i="5"/>
  <c r="AV150" i="5"/>
  <c r="AU150" i="5"/>
  <c r="AT150" i="5"/>
  <c r="AS150" i="5"/>
  <c r="AR150" i="5"/>
  <c r="AQ150" i="5"/>
  <c r="AN150" i="5"/>
  <c r="K150" i="5" s="1"/>
  <c r="X150" i="5"/>
  <c r="W150" i="5"/>
  <c r="V150" i="5"/>
  <c r="U150" i="5"/>
  <c r="T150" i="5"/>
  <c r="S150" i="5"/>
  <c r="R150" i="5"/>
  <c r="Q150" i="5"/>
  <c r="P150" i="5"/>
  <c r="O150" i="5"/>
  <c r="N150" i="5"/>
  <c r="M150" i="5"/>
  <c r="BB149" i="5"/>
  <c r="BA149" i="5"/>
  <c r="AZ149" i="5"/>
  <c r="AY149" i="5"/>
  <c r="AX149" i="5"/>
  <c r="AW149" i="5"/>
  <c r="AV149" i="5"/>
  <c r="AU149" i="5"/>
  <c r="AT149" i="5"/>
  <c r="AS149" i="5"/>
  <c r="AR149" i="5"/>
  <c r="AQ149" i="5"/>
  <c r="AN149" i="5"/>
  <c r="K149" i="5" s="1"/>
  <c r="X149" i="5"/>
  <c r="W149" i="5"/>
  <c r="V149" i="5"/>
  <c r="U149" i="5"/>
  <c r="T149" i="5"/>
  <c r="S149" i="5"/>
  <c r="R149" i="5"/>
  <c r="Q149" i="5"/>
  <c r="P149" i="5"/>
  <c r="O149" i="5"/>
  <c r="N149" i="5"/>
  <c r="M149" i="5"/>
  <c r="BB147" i="5"/>
  <c r="BA147" i="5"/>
  <c r="AZ147" i="5"/>
  <c r="AY147" i="5"/>
  <c r="AX147" i="5"/>
  <c r="AW147" i="5"/>
  <c r="AV147" i="5"/>
  <c r="AU147" i="5"/>
  <c r="AT147" i="5"/>
  <c r="AS147" i="5"/>
  <c r="AR147" i="5"/>
  <c r="AQ147" i="5"/>
  <c r="AN147" i="5"/>
  <c r="K147" i="5" s="1"/>
  <c r="X147" i="5"/>
  <c r="W147" i="5"/>
  <c r="V147" i="5"/>
  <c r="U147" i="5"/>
  <c r="T147" i="5"/>
  <c r="S147" i="5"/>
  <c r="R147" i="5"/>
  <c r="Q147" i="5"/>
  <c r="P147" i="5"/>
  <c r="O147" i="5"/>
  <c r="N147" i="5"/>
  <c r="M147" i="5"/>
  <c r="BB148" i="5"/>
  <c r="BA148" i="5"/>
  <c r="AZ148" i="5"/>
  <c r="AY148" i="5"/>
  <c r="AX148" i="5"/>
  <c r="AW148" i="5"/>
  <c r="AV148" i="5"/>
  <c r="AU148" i="5"/>
  <c r="AT148" i="5"/>
  <c r="AS148" i="5"/>
  <c r="AR148" i="5"/>
  <c r="AQ148" i="5"/>
  <c r="AN148" i="5"/>
  <c r="K148" i="5" s="1"/>
  <c r="X148" i="5"/>
  <c r="W148" i="5"/>
  <c r="V148" i="5"/>
  <c r="U148" i="5"/>
  <c r="T148" i="5"/>
  <c r="S148" i="5"/>
  <c r="R148" i="5"/>
  <c r="Q148" i="5"/>
  <c r="P148" i="5"/>
  <c r="O148" i="5"/>
  <c r="N148" i="5"/>
  <c r="M148" i="5"/>
  <c r="BB146" i="5"/>
  <c r="BA146" i="5"/>
  <c r="AZ146" i="5"/>
  <c r="AY146" i="5"/>
  <c r="AX146" i="5"/>
  <c r="AW146" i="5"/>
  <c r="AV146" i="5"/>
  <c r="AU146" i="5"/>
  <c r="AT146" i="5"/>
  <c r="AS146" i="5"/>
  <c r="AR146" i="5"/>
  <c r="AQ146" i="5"/>
  <c r="AN146" i="5"/>
  <c r="K146" i="5" s="1"/>
  <c r="X146" i="5"/>
  <c r="W146" i="5"/>
  <c r="V146" i="5"/>
  <c r="U146" i="5"/>
  <c r="T146" i="5"/>
  <c r="S146" i="5"/>
  <c r="R146" i="5"/>
  <c r="Q146" i="5"/>
  <c r="P146" i="5"/>
  <c r="O146" i="5"/>
  <c r="N146" i="5"/>
  <c r="M146" i="5"/>
  <c r="BB145" i="5"/>
  <c r="BA145" i="5"/>
  <c r="AZ145" i="5"/>
  <c r="AY145" i="5"/>
  <c r="AX145" i="5"/>
  <c r="AW145" i="5"/>
  <c r="AV145" i="5"/>
  <c r="AU145" i="5"/>
  <c r="AT145" i="5"/>
  <c r="AS145" i="5"/>
  <c r="AR145" i="5"/>
  <c r="AQ145" i="5"/>
  <c r="AN145" i="5"/>
  <c r="K145" i="5" s="1"/>
  <c r="X145" i="5"/>
  <c r="W145" i="5"/>
  <c r="V145" i="5"/>
  <c r="U145" i="5"/>
  <c r="T145" i="5"/>
  <c r="S145" i="5"/>
  <c r="R145" i="5"/>
  <c r="Q145" i="5"/>
  <c r="P145" i="5"/>
  <c r="O145" i="5"/>
  <c r="N145" i="5"/>
  <c r="M145" i="5"/>
  <c r="T42" i="5"/>
  <c r="X5" i="5"/>
  <c r="X6" i="5"/>
  <c r="X7" i="5"/>
  <c r="X8" i="5"/>
  <c r="X9" i="5"/>
  <c r="X10" i="5"/>
  <c r="X11" i="5"/>
  <c r="X12" i="5"/>
  <c r="X13" i="5"/>
  <c r="X14" i="5"/>
  <c r="X15" i="5"/>
  <c r="X16" i="5"/>
  <c r="X18" i="5"/>
  <c r="X19" i="5"/>
  <c r="X20" i="5"/>
  <c r="X21" i="5"/>
  <c r="X22" i="5"/>
  <c r="X23" i="5"/>
  <c r="X24" i="5"/>
  <c r="X25" i="5"/>
  <c r="X26" i="5"/>
  <c r="X27" i="5"/>
  <c r="X28" i="5"/>
  <c r="X29" i="5"/>
  <c r="X30" i="5"/>
  <c r="X31" i="5"/>
  <c r="X32" i="5"/>
  <c r="X33" i="5"/>
  <c r="X34" i="5"/>
  <c r="X35" i="5"/>
  <c r="X36" i="5"/>
  <c r="X37" i="5"/>
  <c r="X38" i="5"/>
  <c r="X39" i="5"/>
  <c r="X40" i="5"/>
  <c r="X41" i="5"/>
  <c r="X42" i="5"/>
  <c r="X43" i="5"/>
  <c r="X44" i="5"/>
  <c r="X45" i="5"/>
  <c r="X46" i="5"/>
  <c r="X47" i="5"/>
  <c r="X48" i="5"/>
  <c r="X49" i="5"/>
  <c r="X50" i="5"/>
  <c r="X51" i="5"/>
  <c r="X52" i="5"/>
  <c r="X53" i="5"/>
  <c r="X54" i="5"/>
  <c r="X55" i="5"/>
  <c r="X56" i="5"/>
  <c r="X57" i="5"/>
  <c r="X58" i="5"/>
  <c r="X59" i="5"/>
  <c r="X60" i="5"/>
  <c r="X61" i="5"/>
  <c r="X62" i="5"/>
  <c r="X63" i="5"/>
  <c r="X64" i="5"/>
  <c r="X65" i="5"/>
  <c r="X66" i="5"/>
  <c r="X67" i="5"/>
  <c r="X68" i="5"/>
  <c r="X69" i="5"/>
  <c r="X70" i="5"/>
  <c r="X71" i="5"/>
  <c r="X72" i="5"/>
  <c r="X73" i="5"/>
  <c r="X74" i="5"/>
  <c r="X75" i="5"/>
  <c r="X76" i="5"/>
  <c r="X77" i="5"/>
  <c r="X78" i="5"/>
  <c r="X79" i="5"/>
  <c r="X80" i="5"/>
  <c r="X81" i="5"/>
  <c r="X82" i="5"/>
  <c r="X83" i="5"/>
  <c r="X84" i="5"/>
  <c r="X85" i="5"/>
  <c r="X86" i="5"/>
  <c r="X87" i="5"/>
  <c r="X88" i="5"/>
  <c r="X89" i="5"/>
  <c r="X90" i="5"/>
  <c r="X91" i="5"/>
  <c r="X92" i="5"/>
  <c r="X93" i="5"/>
  <c r="X94" i="5"/>
  <c r="X95" i="5"/>
  <c r="X96" i="5"/>
  <c r="X97" i="5"/>
  <c r="X98" i="5"/>
  <c r="X99" i="5"/>
  <c r="X100" i="5"/>
  <c r="X101" i="5"/>
  <c r="X102" i="5"/>
  <c r="X103" i="5"/>
  <c r="X104" i="5"/>
  <c r="X105" i="5"/>
  <c r="X106" i="5"/>
  <c r="X107" i="5"/>
  <c r="X108" i="5"/>
  <c r="X109" i="5"/>
  <c r="X110" i="5"/>
  <c r="X111" i="5"/>
  <c r="X112" i="5"/>
  <c r="X113" i="5"/>
  <c r="X114" i="5"/>
  <c r="X115" i="5"/>
  <c r="X116" i="5"/>
  <c r="X117" i="5"/>
  <c r="X118" i="5"/>
  <c r="X119" i="5"/>
  <c r="X120" i="5"/>
  <c r="X121" i="5"/>
  <c r="X122" i="5"/>
  <c r="X123" i="5"/>
  <c r="X124" i="5"/>
  <c r="X125" i="5"/>
  <c r="X126" i="5"/>
  <c r="X127" i="5"/>
  <c r="X128" i="5"/>
  <c r="X129" i="5"/>
  <c r="X130" i="5"/>
  <c r="X131" i="5"/>
  <c r="X132" i="5"/>
  <c r="X133" i="5"/>
  <c r="X134" i="5"/>
  <c r="X135" i="5"/>
  <c r="X136" i="5"/>
  <c r="X137" i="5"/>
  <c r="X138" i="5"/>
  <c r="X139" i="5"/>
  <c r="X140" i="5"/>
  <c r="X141" i="5"/>
  <c r="X142" i="5"/>
  <c r="X143" i="5"/>
  <c r="X144" i="5"/>
  <c r="X4" i="5"/>
  <c r="W5" i="5"/>
  <c r="W6" i="5"/>
  <c r="W7" i="5"/>
  <c r="W8" i="5"/>
  <c r="W9" i="5"/>
  <c r="W10" i="5"/>
  <c r="W11" i="5"/>
  <c r="W12" i="5"/>
  <c r="W13" i="5"/>
  <c r="W14" i="5"/>
  <c r="W15" i="5"/>
  <c r="W16" i="5"/>
  <c r="W18" i="5"/>
  <c r="W19" i="5"/>
  <c r="W20" i="5"/>
  <c r="W21" i="5"/>
  <c r="W22" i="5"/>
  <c r="W23" i="5"/>
  <c r="W24" i="5"/>
  <c r="W25" i="5"/>
  <c r="W26" i="5"/>
  <c r="W27" i="5"/>
  <c r="W28" i="5"/>
  <c r="W29" i="5"/>
  <c r="W30" i="5"/>
  <c r="W31" i="5"/>
  <c r="W32" i="5"/>
  <c r="W33" i="5"/>
  <c r="W34" i="5"/>
  <c r="W35" i="5"/>
  <c r="W36" i="5"/>
  <c r="W37" i="5"/>
  <c r="W38" i="5"/>
  <c r="W39" i="5"/>
  <c r="W40" i="5"/>
  <c r="W41" i="5"/>
  <c r="W42" i="5"/>
  <c r="W43" i="5"/>
  <c r="W44" i="5"/>
  <c r="W45" i="5"/>
  <c r="W46" i="5"/>
  <c r="W47" i="5"/>
  <c r="W48" i="5"/>
  <c r="W49" i="5"/>
  <c r="W50" i="5"/>
  <c r="W51" i="5"/>
  <c r="W52" i="5"/>
  <c r="W53" i="5"/>
  <c r="W54" i="5"/>
  <c r="W55" i="5"/>
  <c r="W56" i="5"/>
  <c r="W57" i="5"/>
  <c r="W58" i="5"/>
  <c r="W59" i="5"/>
  <c r="W60" i="5"/>
  <c r="W61" i="5"/>
  <c r="W62" i="5"/>
  <c r="W63" i="5"/>
  <c r="W64" i="5"/>
  <c r="W65" i="5"/>
  <c r="W66" i="5"/>
  <c r="W67" i="5"/>
  <c r="W68" i="5"/>
  <c r="W69" i="5"/>
  <c r="W70" i="5"/>
  <c r="W71" i="5"/>
  <c r="W72" i="5"/>
  <c r="W73" i="5"/>
  <c r="W74" i="5"/>
  <c r="W75" i="5"/>
  <c r="W76" i="5"/>
  <c r="W77" i="5"/>
  <c r="W78" i="5"/>
  <c r="W79" i="5"/>
  <c r="W80" i="5"/>
  <c r="W81" i="5"/>
  <c r="W82" i="5"/>
  <c r="W83" i="5"/>
  <c r="W84" i="5"/>
  <c r="W85" i="5"/>
  <c r="W86" i="5"/>
  <c r="W87" i="5"/>
  <c r="W88" i="5"/>
  <c r="W89" i="5"/>
  <c r="W90" i="5"/>
  <c r="W91" i="5"/>
  <c r="W92" i="5"/>
  <c r="W93" i="5"/>
  <c r="W94" i="5"/>
  <c r="W95" i="5"/>
  <c r="W96" i="5"/>
  <c r="W97" i="5"/>
  <c r="W98" i="5"/>
  <c r="W99" i="5"/>
  <c r="W100" i="5"/>
  <c r="W101" i="5"/>
  <c r="W102" i="5"/>
  <c r="W103" i="5"/>
  <c r="W104" i="5"/>
  <c r="W105" i="5"/>
  <c r="W106" i="5"/>
  <c r="W107" i="5"/>
  <c r="W108" i="5"/>
  <c r="W109" i="5"/>
  <c r="W110" i="5"/>
  <c r="W111" i="5"/>
  <c r="W112" i="5"/>
  <c r="W113" i="5"/>
  <c r="W114" i="5"/>
  <c r="W115" i="5"/>
  <c r="W116" i="5"/>
  <c r="W117" i="5"/>
  <c r="W118" i="5"/>
  <c r="W119" i="5"/>
  <c r="W120" i="5"/>
  <c r="W121" i="5"/>
  <c r="W122" i="5"/>
  <c r="W123" i="5"/>
  <c r="W124" i="5"/>
  <c r="W125" i="5"/>
  <c r="W126" i="5"/>
  <c r="W127" i="5"/>
  <c r="W128" i="5"/>
  <c r="W129" i="5"/>
  <c r="W130" i="5"/>
  <c r="W131" i="5"/>
  <c r="W132" i="5"/>
  <c r="W133" i="5"/>
  <c r="W134" i="5"/>
  <c r="W135" i="5"/>
  <c r="W136" i="5"/>
  <c r="W137" i="5"/>
  <c r="W138" i="5"/>
  <c r="W139" i="5"/>
  <c r="W140" i="5"/>
  <c r="W141" i="5"/>
  <c r="W142" i="5"/>
  <c r="W143" i="5"/>
  <c r="W144" i="5"/>
  <c r="W4" i="5"/>
  <c r="V5" i="5"/>
  <c r="V6" i="5"/>
  <c r="V7" i="5"/>
  <c r="V8" i="5"/>
  <c r="V9" i="5"/>
  <c r="V10" i="5"/>
  <c r="V11" i="5"/>
  <c r="V12" i="5"/>
  <c r="V13" i="5"/>
  <c r="V14" i="5"/>
  <c r="V15" i="5"/>
  <c r="V16" i="5"/>
  <c r="V18" i="5"/>
  <c r="V19" i="5"/>
  <c r="V20" i="5"/>
  <c r="V21" i="5"/>
  <c r="V22" i="5"/>
  <c r="V23" i="5"/>
  <c r="V24" i="5"/>
  <c r="V25" i="5"/>
  <c r="V26" i="5"/>
  <c r="V27" i="5"/>
  <c r="V28" i="5"/>
  <c r="V29" i="5"/>
  <c r="V30" i="5"/>
  <c r="V31" i="5"/>
  <c r="V32" i="5"/>
  <c r="V33" i="5"/>
  <c r="V34" i="5"/>
  <c r="V35" i="5"/>
  <c r="V36" i="5"/>
  <c r="V37" i="5"/>
  <c r="V38" i="5"/>
  <c r="V39" i="5"/>
  <c r="V40" i="5"/>
  <c r="V41" i="5"/>
  <c r="V42" i="5"/>
  <c r="V43" i="5"/>
  <c r="V44" i="5"/>
  <c r="V45" i="5"/>
  <c r="V46" i="5"/>
  <c r="V47" i="5"/>
  <c r="V48" i="5"/>
  <c r="V49" i="5"/>
  <c r="V50" i="5"/>
  <c r="V51" i="5"/>
  <c r="V52" i="5"/>
  <c r="V53" i="5"/>
  <c r="V54" i="5"/>
  <c r="V55" i="5"/>
  <c r="V56" i="5"/>
  <c r="V57" i="5"/>
  <c r="V58" i="5"/>
  <c r="V59" i="5"/>
  <c r="V60" i="5"/>
  <c r="V61" i="5"/>
  <c r="V62" i="5"/>
  <c r="V63" i="5"/>
  <c r="V64" i="5"/>
  <c r="V65" i="5"/>
  <c r="V66" i="5"/>
  <c r="V67" i="5"/>
  <c r="V68" i="5"/>
  <c r="V69" i="5"/>
  <c r="V70" i="5"/>
  <c r="V71" i="5"/>
  <c r="V72" i="5"/>
  <c r="V73" i="5"/>
  <c r="V74" i="5"/>
  <c r="V75" i="5"/>
  <c r="V76" i="5"/>
  <c r="V77" i="5"/>
  <c r="V78" i="5"/>
  <c r="V79" i="5"/>
  <c r="V80" i="5"/>
  <c r="V81" i="5"/>
  <c r="V82" i="5"/>
  <c r="V83" i="5"/>
  <c r="V84" i="5"/>
  <c r="V85" i="5"/>
  <c r="V86" i="5"/>
  <c r="V87" i="5"/>
  <c r="V88" i="5"/>
  <c r="V89" i="5"/>
  <c r="V90" i="5"/>
  <c r="V91" i="5"/>
  <c r="V92" i="5"/>
  <c r="V93" i="5"/>
  <c r="V94" i="5"/>
  <c r="V95" i="5"/>
  <c r="V96" i="5"/>
  <c r="V97" i="5"/>
  <c r="V98" i="5"/>
  <c r="V99" i="5"/>
  <c r="V100" i="5"/>
  <c r="V101" i="5"/>
  <c r="V102" i="5"/>
  <c r="V103" i="5"/>
  <c r="V104" i="5"/>
  <c r="V105" i="5"/>
  <c r="V106" i="5"/>
  <c r="V107" i="5"/>
  <c r="V108" i="5"/>
  <c r="V109" i="5"/>
  <c r="V110" i="5"/>
  <c r="V111" i="5"/>
  <c r="V112" i="5"/>
  <c r="V113" i="5"/>
  <c r="V114" i="5"/>
  <c r="V115" i="5"/>
  <c r="V116" i="5"/>
  <c r="V117" i="5"/>
  <c r="V118" i="5"/>
  <c r="V119" i="5"/>
  <c r="V120" i="5"/>
  <c r="V121" i="5"/>
  <c r="V122" i="5"/>
  <c r="V123" i="5"/>
  <c r="V124" i="5"/>
  <c r="V125" i="5"/>
  <c r="V126" i="5"/>
  <c r="V127" i="5"/>
  <c r="V128" i="5"/>
  <c r="V129" i="5"/>
  <c r="V130" i="5"/>
  <c r="V131" i="5"/>
  <c r="V132" i="5"/>
  <c r="V133" i="5"/>
  <c r="V134" i="5"/>
  <c r="V135" i="5"/>
  <c r="V136" i="5"/>
  <c r="V137" i="5"/>
  <c r="V138" i="5"/>
  <c r="V139" i="5"/>
  <c r="V140" i="5"/>
  <c r="V141" i="5"/>
  <c r="V142" i="5"/>
  <c r="V143" i="5"/>
  <c r="V144" i="5"/>
  <c r="V4" i="5"/>
  <c r="U5" i="5"/>
  <c r="U6" i="5"/>
  <c r="U7" i="5"/>
  <c r="U8" i="5"/>
  <c r="U9" i="5"/>
  <c r="U10" i="5"/>
  <c r="U11" i="5"/>
  <c r="U12" i="5"/>
  <c r="U13" i="5"/>
  <c r="U14" i="5"/>
  <c r="U15" i="5"/>
  <c r="U16" i="5"/>
  <c r="U18" i="5"/>
  <c r="U19" i="5"/>
  <c r="U20" i="5"/>
  <c r="U21" i="5"/>
  <c r="U22" i="5"/>
  <c r="U23" i="5"/>
  <c r="U24" i="5"/>
  <c r="U25" i="5"/>
  <c r="U26" i="5"/>
  <c r="U27" i="5"/>
  <c r="U28" i="5"/>
  <c r="U29" i="5"/>
  <c r="U30" i="5"/>
  <c r="U31" i="5"/>
  <c r="U32" i="5"/>
  <c r="U33" i="5"/>
  <c r="U34" i="5"/>
  <c r="U35" i="5"/>
  <c r="U36" i="5"/>
  <c r="U37" i="5"/>
  <c r="U38" i="5"/>
  <c r="U39" i="5"/>
  <c r="U40" i="5"/>
  <c r="U41" i="5"/>
  <c r="U42" i="5"/>
  <c r="U43" i="5"/>
  <c r="U44" i="5"/>
  <c r="U45" i="5"/>
  <c r="U46" i="5"/>
  <c r="U47" i="5"/>
  <c r="U48" i="5"/>
  <c r="U49" i="5"/>
  <c r="U50" i="5"/>
  <c r="U51" i="5"/>
  <c r="U52" i="5"/>
  <c r="U53" i="5"/>
  <c r="U54" i="5"/>
  <c r="U55" i="5"/>
  <c r="U56" i="5"/>
  <c r="U57" i="5"/>
  <c r="U58" i="5"/>
  <c r="U59" i="5"/>
  <c r="U60" i="5"/>
  <c r="U61" i="5"/>
  <c r="U62" i="5"/>
  <c r="U63" i="5"/>
  <c r="U64" i="5"/>
  <c r="U65" i="5"/>
  <c r="U66" i="5"/>
  <c r="U67" i="5"/>
  <c r="U68" i="5"/>
  <c r="U69" i="5"/>
  <c r="U70" i="5"/>
  <c r="U71" i="5"/>
  <c r="U72" i="5"/>
  <c r="U73" i="5"/>
  <c r="U74" i="5"/>
  <c r="U75" i="5"/>
  <c r="U76" i="5"/>
  <c r="U77" i="5"/>
  <c r="U78" i="5"/>
  <c r="U79" i="5"/>
  <c r="U80" i="5"/>
  <c r="U81" i="5"/>
  <c r="U82" i="5"/>
  <c r="U83" i="5"/>
  <c r="U84" i="5"/>
  <c r="U85" i="5"/>
  <c r="U86" i="5"/>
  <c r="U87" i="5"/>
  <c r="U88" i="5"/>
  <c r="U89" i="5"/>
  <c r="U90" i="5"/>
  <c r="U91" i="5"/>
  <c r="U92" i="5"/>
  <c r="U93" i="5"/>
  <c r="U94" i="5"/>
  <c r="U95" i="5"/>
  <c r="U96" i="5"/>
  <c r="U97" i="5"/>
  <c r="U98" i="5"/>
  <c r="U99" i="5"/>
  <c r="U100" i="5"/>
  <c r="U101" i="5"/>
  <c r="U102" i="5"/>
  <c r="U103" i="5"/>
  <c r="U104" i="5"/>
  <c r="U105" i="5"/>
  <c r="U106" i="5"/>
  <c r="U107" i="5"/>
  <c r="U108" i="5"/>
  <c r="U109" i="5"/>
  <c r="U110" i="5"/>
  <c r="U111" i="5"/>
  <c r="U112" i="5"/>
  <c r="U113" i="5"/>
  <c r="U114" i="5"/>
  <c r="U115" i="5"/>
  <c r="U116" i="5"/>
  <c r="U117" i="5"/>
  <c r="U118" i="5"/>
  <c r="U119" i="5"/>
  <c r="U120" i="5"/>
  <c r="U121" i="5"/>
  <c r="U122" i="5"/>
  <c r="U123" i="5"/>
  <c r="U124" i="5"/>
  <c r="U125" i="5"/>
  <c r="U126" i="5"/>
  <c r="U127" i="5"/>
  <c r="U128" i="5"/>
  <c r="U129" i="5"/>
  <c r="U130" i="5"/>
  <c r="U131" i="5"/>
  <c r="U132" i="5"/>
  <c r="U133" i="5"/>
  <c r="U134" i="5"/>
  <c r="U135" i="5"/>
  <c r="U136" i="5"/>
  <c r="U137" i="5"/>
  <c r="U138" i="5"/>
  <c r="U139" i="5"/>
  <c r="U140" i="5"/>
  <c r="U141" i="5"/>
  <c r="U142" i="5"/>
  <c r="U143" i="5"/>
  <c r="U144" i="5"/>
  <c r="U4" i="5"/>
  <c r="T5" i="5"/>
  <c r="T6" i="5"/>
  <c r="T7" i="5"/>
  <c r="T8" i="5"/>
  <c r="T9" i="5"/>
  <c r="T10" i="5"/>
  <c r="T11" i="5"/>
  <c r="T12" i="5"/>
  <c r="T13" i="5"/>
  <c r="T14" i="5"/>
  <c r="T15" i="5"/>
  <c r="T16" i="5"/>
  <c r="T18" i="5"/>
  <c r="T19" i="5"/>
  <c r="T20" i="5"/>
  <c r="T21" i="5"/>
  <c r="T22" i="5"/>
  <c r="T23" i="5"/>
  <c r="T24" i="5"/>
  <c r="T25" i="5"/>
  <c r="T26" i="5"/>
  <c r="T27" i="5"/>
  <c r="T28" i="5"/>
  <c r="T29" i="5"/>
  <c r="T30" i="5"/>
  <c r="T31" i="5"/>
  <c r="T32" i="5"/>
  <c r="T33" i="5"/>
  <c r="T34" i="5"/>
  <c r="T35" i="5"/>
  <c r="T36" i="5"/>
  <c r="T37" i="5"/>
  <c r="T38" i="5"/>
  <c r="T39" i="5"/>
  <c r="T40" i="5"/>
  <c r="T41" i="5"/>
  <c r="T43" i="5"/>
  <c r="T44" i="5"/>
  <c r="T45" i="5"/>
  <c r="T46" i="5"/>
  <c r="T47" i="5"/>
  <c r="T48" i="5"/>
  <c r="T49" i="5"/>
  <c r="T50" i="5"/>
  <c r="T51" i="5"/>
  <c r="T52" i="5"/>
  <c r="T53" i="5"/>
  <c r="T54" i="5"/>
  <c r="T55" i="5"/>
  <c r="T56" i="5"/>
  <c r="T57" i="5"/>
  <c r="T58" i="5"/>
  <c r="T59" i="5"/>
  <c r="T60" i="5"/>
  <c r="T61" i="5"/>
  <c r="T62" i="5"/>
  <c r="T63" i="5"/>
  <c r="T64" i="5"/>
  <c r="T65" i="5"/>
  <c r="T66" i="5"/>
  <c r="T67" i="5"/>
  <c r="T68" i="5"/>
  <c r="T69" i="5"/>
  <c r="T70" i="5"/>
  <c r="T71" i="5"/>
  <c r="T72" i="5"/>
  <c r="T73" i="5"/>
  <c r="T74" i="5"/>
  <c r="T75" i="5"/>
  <c r="T76" i="5"/>
  <c r="T77" i="5"/>
  <c r="T78" i="5"/>
  <c r="T79" i="5"/>
  <c r="T80" i="5"/>
  <c r="T81" i="5"/>
  <c r="T82" i="5"/>
  <c r="T83" i="5"/>
  <c r="T84" i="5"/>
  <c r="T85" i="5"/>
  <c r="T86" i="5"/>
  <c r="T87" i="5"/>
  <c r="T88" i="5"/>
  <c r="T89" i="5"/>
  <c r="T90" i="5"/>
  <c r="T91" i="5"/>
  <c r="T92" i="5"/>
  <c r="T93" i="5"/>
  <c r="T94" i="5"/>
  <c r="T95" i="5"/>
  <c r="T96" i="5"/>
  <c r="T97" i="5"/>
  <c r="T98" i="5"/>
  <c r="T99" i="5"/>
  <c r="T100" i="5"/>
  <c r="T101" i="5"/>
  <c r="T102" i="5"/>
  <c r="T103" i="5"/>
  <c r="T104" i="5"/>
  <c r="T105" i="5"/>
  <c r="T106" i="5"/>
  <c r="T107" i="5"/>
  <c r="T108" i="5"/>
  <c r="T109" i="5"/>
  <c r="T110" i="5"/>
  <c r="T111" i="5"/>
  <c r="T112" i="5"/>
  <c r="T113" i="5"/>
  <c r="T114" i="5"/>
  <c r="T115" i="5"/>
  <c r="T116" i="5"/>
  <c r="T117" i="5"/>
  <c r="T118" i="5"/>
  <c r="T119" i="5"/>
  <c r="T120" i="5"/>
  <c r="T121" i="5"/>
  <c r="T122" i="5"/>
  <c r="T123" i="5"/>
  <c r="T124" i="5"/>
  <c r="T125" i="5"/>
  <c r="T126" i="5"/>
  <c r="T127" i="5"/>
  <c r="T128" i="5"/>
  <c r="T129" i="5"/>
  <c r="T130" i="5"/>
  <c r="T131" i="5"/>
  <c r="T132" i="5"/>
  <c r="T133" i="5"/>
  <c r="T134" i="5"/>
  <c r="T135" i="5"/>
  <c r="T136" i="5"/>
  <c r="T137" i="5"/>
  <c r="T138" i="5"/>
  <c r="T139" i="5"/>
  <c r="T140" i="5"/>
  <c r="T141" i="5"/>
  <c r="T142" i="5"/>
  <c r="T143" i="5"/>
  <c r="T144" i="5"/>
  <c r="T4" i="5"/>
  <c r="S5" i="5"/>
  <c r="S6" i="5"/>
  <c r="S7" i="5"/>
  <c r="S8" i="5"/>
  <c r="S9" i="5"/>
  <c r="S10" i="5"/>
  <c r="S11" i="5"/>
  <c r="S12" i="5"/>
  <c r="S13" i="5"/>
  <c r="S14" i="5"/>
  <c r="S15" i="5"/>
  <c r="S16" i="5"/>
  <c r="S18" i="5"/>
  <c r="S19" i="5"/>
  <c r="S20" i="5"/>
  <c r="S21" i="5"/>
  <c r="S22" i="5"/>
  <c r="S23" i="5"/>
  <c r="S24" i="5"/>
  <c r="S25" i="5"/>
  <c r="S26" i="5"/>
  <c r="S27" i="5"/>
  <c r="S28" i="5"/>
  <c r="S29" i="5"/>
  <c r="S30" i="5"/>
  <c r="S31" i="5"/>
  <c r="S32" i="5"/>
  <c r="S33" i="5"/>
  <c r="S34" i="5"/>
  <c r="S35" i="5"/>
  <c r="S36" i="5"/>
  <c r="S37" i="5"/>
  <c r="S38" i="5"/>
  <c r="S39" i="5"/>
  <c r="S40" i="5"/>
  <c r="S41" i="5"/>
  <c r="S42" i="5"/>
  <c r="S43" i="5"/>
  <c r="S44" i="5"/>
  <c r="S45" i="5"/>
  <c r="S46" i="5"/>
  <c r="S47" i="5"/>
  <c r="S48" i="5"/>
  <c r="S49" i="5"/>
  <c r="S50" i="5"/>
  <c r="S51" i="5"/>
  <c r="S52" i="5"/>
  <c r="S53" i="5"/>
  <c r="S54" i="5"/>
  <c r="S55" i="5"/>
  <c r="S56" i="5"/>
  <c r="S57" i="5"/>
  <c r="S58" i="5"/>
  <c r="S59" i="5"/>
  <c r="S60" i="5"/>
  <c r="S61" i="5"/>
  <c r="S62" i="5"/>
  <c r="S63" i="5"/>
  <c r="S64" i="5"/>
  <c r="S65" i="5"/>
  <c r="S66" i="5"/>
  <c r="S67" i="5"/>
  <c r="S68" i="5"/>
  <c r="S69" i="5"/>
  <c r="S70" i="5"/>
  <c r="S71" i="5"/>
  <c r="S72" i="5"/>
  <c r="S73" i="5"/>
  <c r="S74" i="5"/>
  <c r="S75" i="5"/>
  <c r="S76" i="5"/>
  <c r="S77" i="5"/>
  <c r="S78" i="5"/>
  <c r="S79" i="5"/>
  <c r="S80" i="5"/>
  <c r="S81" i="5"/>
  <c r="S82" i="5"/>
  <c r="S83" i="5"/>
  <c r="S84" i="5"/>
  <c r="S85" i="5"/>
  <c r="S86" i="5"/>
  <c r="S87" i="5"/>
  <c r="S88" i="5"/>
  <c r="S89" i="5"/>
  <c r="S90" i="5"/>
  <c r="S91" i="5"/>
  <c r="S92" i="5"/>
  <c r="S93" i="5"/>
  <c r="S94" i="5"/>
  <c r="S95" i="5"/>
  <c r="S96" i="5"/>
  <c r="S97" i="5"/>
  <c r="S98" i="5"/>
  <c r="S99" i="5"/>
  <c r="S100" i="5"/>
  <c r="S101" i="5"/>
  <c r="S102" i="5"/>
  <c r="S103" i="5"/>
  <c r="S104" i="5"/>
  <c r="S105" i="5"/>
  <c r="S106" i="5"/>
  <c r="S107" i="5"/>
  <c r="S108" i="5"/>
  <c r="S109" i="5"/>
  <c r="S110" i="5"/>
  <c r="S111" i="5"/>
  <c r="S112" i="5"/>
  <c r="S113" i="5"/>
  <c r="S114" i="5"/>
  <c r="S115" i="5"/>
  <c r="S116" i="5"/>
  <c r="S117" i="5"/>
  <c r="S118" i="5"/>
  <c r="S119" i="5"/>
  <c r="S120" i="5"/>
  <c r="S121" i="5"/>
  <c r="S122" i="5"/>
  <c r="S123" i="5"/>
  <c r="S124" i="5"/>
  <c r="S125" i="5"/>
  <c r="S126" i="5"/>
  <c r="S127" i="5"/>
  <c r="S128" i="5"/>
  <c r="S129" i="5"/>
  <c r="S130" i="5"/>
  <c r="S131" i="5"/>
  <c r="S132" i="5"/>
  <c r="S133" i="5"/>
  <c r="S134" i="5"/>
  <c r="S135" i="5"/>
  <c r="S136" i="5"/>
  <c r="S137" i="5"/>
  <c r="S138" i="5"/>
  <c r="S139" i="5"/>
  <c r="S140" i="5"/>
  <c r="S141" i="5"/>
  <c r="S142" i="5"/>
  <c r="S143" i="5"/>
  <c r="S144" i="5"/>
  <c r="S4" i="5"/>
  <c r="BB5" i="5"/>
  <c r="BB6" i="5"/>
  <c r="BB7" i="5"/>
  <c r="BB8" i="5"/>
  <c r="BB9" i="5"/>
  <c r="BB10" i="5"/>
  <c r="BB11" i="5"/>
  <c r="BB12" i="5"/>
  <c r="BB13" i="5"/>
  <c r="BB14" i="5"/>
  <c r="BB15" i="5"/>
  <c r="BB16" i="5"/>
  <c r="BB18" i="5"/>
  <c r="BB19" i="5"/>
  <c r="BB20" i="5"/>
  <c r="BB21" i="5"/>
  <c r="BB22" i="5"/>
  <c r="BB23" i="5"/>
  <c r="BB24" i="5"/>
  <c r="BB25" i="5"/>
  <c r="BB26" i="5"/>
  <c r="BB27" i="5"/>
  <c r="BB28" i="5"/>
  <c r="BB29" i="5"/>
  <c r="BB30" i="5"/>
  <c r="BB31" i="5"/>
  <c r="BB32" i="5"/>
  <c r="BB33" i="5"/>
  <c r="BB34" i="5"/>
  <c r="BB35" i="5"/>
  <c r="BB36" i="5"/>
  <c r="BB37" i="5"/>
  <c r="BB38" i="5"/>
  <c r="BB39" i="5"/>
  <c r="BB40" i="5"/>
  <c r="BB41" i="5"/>
  <c r="BB42" i="5"/>
  <c r="BB43" i="5"/>
  <c r="BB44" i="5"/>
  <c r="BB45" i="5"/>
  <c r="BB46" i="5"/>
  <c r="BB47" i="5"/>
  <c r="BB48" i="5"/>
  <c r="BB49" i="5"/>
  <c r="BB50" i="5"/>
  <c r="BB51" i="5"/>
  <c r="BB52" i="5"/>
  <c r="BB53" i="5"/>
  <c r="BB54" i="5"/>
  <c r="BB55" i="5"/>
  <c r="BB56" i="5"/>
  <c r="BB57" i="5"/>
  <c r="BB58" i="5"/>
  <c r="BB59" i="5"/>
  <c r="BB60" i="5"/>
  <c r="BB61" i="5"/>
  <c r="BB62" i="5"/>
  <c r="BB63" i="5"/>
  <c r="BB64" i="5"/>
  <c r="BB65" i="5"/>
  <c r="BB66" i="5"/>
  <c r="BB67" i="5"/>
  <c r="BB68" i="5"/>
  <c r="BB69" i="5"/>
  <c r="BB70" i="5"/>
  <c r="BB71" i="5"/>
  <c r="BB72" i="5"/>
  <c r="BB73" i="5"/>
  <c r="BB74" i="5"/>
  <c r="BB75" i="5"/>
  <c r="BB76" i="5"/>
  <c r="BB77" i="5"/>
  <c r="BB78" i="5"/>
  <c r="BB79" i="5"/>
  <c r="BB80" i="5"/>
  <c r="BB81" i="5"/>
  <c r="BB82" i="5"/>
  <c r="BB83" i="5"/>
  <c r="BB84" i="5"/>
  <c r="BB85" i="5"/>
  <c r="BB86" i="5"/>
  <c r="BB87" i="5"/>
  <c r="BB88" i="5"/>
  <c r="BB89" i="5"/>
  <c r="BB90" i="5"/>
  <c r="BB91" i="5"/>
  <c r="BB92" i="5"/>
  <c r="BB93" i="5"/>
  <c r="BB94" i="5"/>
  <c r="BB95" i="5"/>
  <c r="BB96" i="5"/>
  <c r="BB97" i="5"/>
  <c r="BB98" i="5"/>
  <c r="BB99" i="5"/>
  <c r="BB100" i="5"/>
  <c r="BB101" i="5"/>
  <c r="BB102" i="5"/>
  <c r="BB103" i="5"/>
  <c r="BB104" i="5"/>
  <c r="BB105" i="5"/>
  <c r="BB106" i="5"/>
  <c r="BB107" i="5"/>
  <c r="BB108" i="5"/>
  <c r="BB109" i="5"/>
  <c r="BB110" i="5"/>
  <c r="BB111" i="5"/>
  <c r="BB112" i="5"/>
  <c r="BB113" i="5"/>
  <c r="BB114" i="5"/>
  <c r="BB115" i="5"/>
  <c r="BB116" i="5"/>
  <c r="BB117" i="5"/>
  <c r="BB118" i="5"/>
  <c r="BB119" i="5"/>
  <c r="BB120" i="5"/>
  <c r="BB121" i="5"/>
  <c r="BB122" i="5"/>
  <c r="BB123" i="5"/>
  <c r="BB124" i="5"/>
  <c r="BB125" i="5"/>
  <c r="BB126" i="5"/>
  <c r="BB127" i="5"/>
  <c r="BB128" i="5"/>
  <c r="BB129" i="5"/>
  <c r="BB130" i="5"/>
  <c r="BB131" i="5"/>
  <c r="BB132" i="5"/>
  <c r="BB133" i="5"/>
  <c r="BB134" i="5"/>
  <c r="BB135" i="5"/>
  <c r="BB136" i="5"/>
  <c r="BB137" i="5"/>
  <c r="BB138" i="5"/>
  <c r="BB139" i="5"/>
  <c r="BB140" i="5"/>
  <c r="BB141" i="5"/>
  <c r="BB142" i="5"/>
  <c r="BB143" i="5"/>
  <c r="BB144" i="5"/>
  <c r="BB4" i="5"/>
  <c r="BA5" i="5"/>
  <c r="BA6" i="5"/>
  <c r="BA7" i="5"/>
  <c r="BA8" i="5"/>
  <c r="BA9" i="5"/>
  <c r="BA10" i="5"/>
  <c r="BA11" i="5"/>
  <c r="BA12" i="5"/>
  <c r="BA13" i="5"/>
  <c r="BA14" i="5"/>
  <c r="BA15" i="5"/>
  <c r="BA16" i="5"/>
  <c r="BA18" i="5"/>
  <c r="BA19" i="5"/>
  <c r="BA20" i="5"/>
  <c r="BA21" i="5"/>
  <c r="BA22" i="5"/>
  <c r="BA23" i="5"/>
  <c r="BA24" i="5"/>
  <c r="BA25" i="5"/>
  <c r="BA26" i="5"/>
  <c r="BA27" i="5"/>
  <c r="BA28" i="5"/>
  <c r="BA29" i="5"/>
  <c r="BA30" i="5"/>
  <c r="BA31" i="5"/>
  <c r="BA32" i="5"/>
  <c r="BA33" i="5"/>
  <c r="BA34" i="5"/>
  <c r="BA35" i="5"/>
  <c r="BA36" i="5"/>
  <c r="BA37" i="5"/>
  <c r="BA38" i="5"/>
  <c r="BA39" i="5"/>
  <c r="BA40" i="5"/>
  <c r="BA41" i="5"/>
  <c r="BA42" i="5"/>
  <c r="BA43" i="5"/>
  <c r="BA44" i="5"/>
  <c r="BA45" i="5"/>
  <c r="BA46" i="5"/>
  <c r="BA47" i="5"/>
  <c r="BA48" i="5"/>
  <c r="BA49" i="5"/>
  <c r="BA50" i="5"/>
  <c r="BA51" i="5"/>
  <c r="BA52" i="5"/>
  <c r="BA53" i="5"/>
  <c r="BA54" i="5"/>
  <c r="BA55" i="5"/>
  <c r="BA56" i="5"/>
  <c r="BA57" i="5"/>
  <c r="BA58" i="5"/>
  <c r="BA59" i="5"/>
  <c r="BA60" i="5"/>
  <c r="BA61" i="5"/>
  <c r="BA62" i="5"/>
  <c r="BA63" i="5"/>
  <c r="BA64" i="5"/>
  <c r="BA65" i="5"/>
  <c r="BA66" i="5"/>
  <c r="BA67" i="5"/>
  <c r="BA68" i="5"/>
  <c r="BA69" i="5"/>
  <c r="BA70" i="5"/>
  <c r="BA71" i="5"/>
  <c r="BA72" i="5"/>
  <c r="BA73" i="5"/>
  <c r="BA74" i="5"/>
  <c r="BA75" i="5"/>
  <c r="BA76" i="5"/>
  <c r="BA77" i="5"/>
  <c r="BA78" i="5"/>
  <c r="BA79" i="5"/>
  <c r="BA80" i="5"/>
  <c r="BA81" i="5"/>
  <c r="BA82" i="5"/>
  <c r="BA83" i="5"/>
  <c r="BA84" i="5"/>
  <c r="BA85" i="5"/>
  <c r="BA86" i="5"/>
  <c r="BA87" i="5"/>
  <c r="BA88" i="5"/>
  <c r="BA89" i="5"/>
  <c r="BA90" i="5"/>
  <c r="BA91" i="5"/>
  <c r="BA92" i="5"/>
  <c r="BA93" i="5"/>
  <c r="BA94" i="5"/>
  <c r="BA95" i="5"/>
  <c r="BA96" i="5"/>
  <c r="BA97" i="5"/>
  <c r="BA98" i="5"/>
  <c r="BA99" i="5"/>
  <c r="BA100" i="5"/>
  <c r="BA101" i="5"/>
  <c r="BA102" i="5"/>
  <c r="BA103" i="5"/>
  <c r="BA104" i="5"/>
  <c r="BA105" i="5"/>
  <c r="BA106" i="5"/>
  <c r="BA107" i="5"/>
  <c r="BA108" i="5"/>
  <c r="BA109" i="5"/>
  <c r="BA110" i="5"/>
  <c r="BA111" i="5"/>
  <c r="BA112" i="5"/>
  <c r="BA113" i="5"/>
  <c r="BA114" i="5"/>
  <c r="BA115" i="5"/>
  <c r="BA116" i="5"/>
  <c r="BA117" i="5"/>
  <c r="BA118" i="5"/>
  <c r="BA119" i="5"/>
  <c r="BA120" i="5"/>
  <c r="BA121" i="5"/>
  <c r="BA122" i="5"/>
  <c r="BA123" i="5"/>
  <c r="BA124" i="5"/>
  <c r="BA125" i="5"/>
  <c r="BA126" i="5"/>
  <c r="BA127" i="5"/>
  <c r="BA128" i="5"/>
  <c r="BA129" i="5"/>
  <c r="BA130" i="5"/>
  <c r="BA131" i="5"/>
  <c r="BA132" i="5"/>
  <c r="BA133" i="5"/>
  <c r="BA134" i="5"/>
  <c r="BA135" i="5"/>
  <c r="BA136" i="5"/>
  <c r="BA137" i="5"/>
  <c r="BA138" i="5"/>
  <c r="BA139" i="5"/>
  <c r="BA140" i="5"/>
  <c r="BA141" i="5"/>
  <c r="BA142" i="5"/>
  <c r="BA143" i="5"/>
  <c r="BA144" i="5"/>
  <c r="BA4" i="5"/>
  <c r="AZ5" i="5"/>
  <c r="AZ6" i="5"/>
  <c r="AZ7" i="5"/>
  <c r="AZ8" i="5"/>
  <c r="AZ9" i="5"/>
  <c r="AZ10" i="5"/>
  <c r="AZ11" i="5"/>
  <c r="AZ12" i="5"/>
  <c r="AZ13" i="5"/>
  <c r="AZ14" i="5"/>
  <c r="AZ15" i="5"/>
  <c r="AZ16" i="5"/>
  <c r="AZ18" i="5"/>
  <c r="AZ19" i="5"/>
  <c r="AZ20" i="5"/>
  <c r="AZ21" i="5"/>
  <c r="AZ22" i="5"/>
  <c r="AZ23" i="5"/>
  <c r="AZ24" i="5"/>
  <c r="AZ25" i="5"/>
  <c r="AZ26" i="5"/>
  <c r="AZ27" i="5"/>
  <c r="AZ28" i="5"/>
  <c r="AZ29" i="5"/>
  <c r="AZ30" i="5"/>
  <c r="AZ31" i="5"/>
  <c r="AZ32" i="5"/>
  <c r="AZ33" i="5"/>
  <c r="AZ34" i="5"/>
  <c r="AZ35" i="5"/>
  <c r="AZ36" i="5"/>
  <c r="AZ37" i="5"/>
  <c r="AZ38" i="5"/>
  <c r="AZ39" i="5"/>
  <c r="AZ40" i="5"/>
  <c r="AZ41" i="5"/>
  <c r="AZ42" i="5"/>
  <c r="AZ43" i="5"/>
  <c r="AZ44" i="5"/>
  <c r="AZ45" i="5"/>
  <c r="AZ46" i="5"/>
  <c r="AZ47" i="5"/>
  <c r="AZ48" i="5"/>
  <c r="AZ49" i="5"/>
  <c r="AZ50" i="5"/>
  <c r="AZ51" i="5"/>
  <c r="AZ52" i="5"/>
  <c r="AZ53" i="5"/>
  <c r="AZ54" i="5"/>
  <c r="AZ55" i="5"/>
  <c r="AZ56" i="5"/>
  <c r="AZ57" i="5"/>
  <c r="AZ58" i="5"/>
  <c r="AZ59" i="5"/>
  <c r="AZ60" i="5"/>
  <c r="AZ61" i="5"/>
  <c r="AZ62" i="5"/>
  <c r="AZ63" i="5"/>
  <c r="AZ64" i="5"/>
  <c r="AZ65" i="5"/>
  <c r="AZ66" i="5"/>
  <c r="AZ67" i="5"/>
  <c r="AZ68" i="5"/>
  <c r="AZ69" i="5"/>
  <c r="AZ70" i="5"/>
  <c r="AZ71" i="5"/>
  <c r="AZ72" i="5"/>
  <c r="AZ73" i="5"/>
  <c r="AZ74" i="5"/>
  <c r="AZ75" i="5"/>
  <c r="AZ76" i="5"/>
  <c r="AZ77" i="5"/>
  <c r="AZ78" i="5"/>
  <c r="AZ79" i="5"/>
  <c r="AZ80" i="5"/>
  <c r="AZ81" i="5"/>
  <c r="AZ82" i="5"/>
  <c r="AZ83" i="5"/>
  <c r="AZ84" i="5"/>
  <c r="AZ85" i="5"/>
  <c r="AZ86" i="5"/>
  <c r="AZ87" i="5"/>
  <c r="AZ88" i="5"/>
  <c r="AZ89" i="5"/>
  <c r="AZ90" i="5"/>
  <c r="AZ91" i="5"/>
  <c r="AZ92" i="5"/>
  <c r="AZ93" i="5"/>
  <c r="AZ94" i="5"/>
  <c r="AZ95" i="5"/>
  <c r="AZ96" i="5"/>
  <c r="AZ97" i="5"/>
  <c r="AZ98" i="5"/>
  <c r="AZ99" i="5"/>
  <c r="AZ100" i="5"/>
  <c r="AZ101" i="5"/>
  <c r="AZ102" i="5"/>
  <c r="AZ103" i="5"/>
  <c r="AZ104" i="5"/>
  <c r="AZ105" i="5"/>
  <c r="AZ106" i="5"/>
  <c r="AZ107" i="5"/>
  <c r="AZ108" i="5"/>
  <c r="AZ109" i="5"/>
  <c r="AZ110" i="5"/>
  <c r="AZ111" i="5"/>
  <c r="AZ112" i="5"/>
  <c r="AZ113" i="5"/>
  <c r="AZ114" i="5"/>
  <c r="AZ115" i="5"/>
  <c r="AZ116" i="5"/>
  <c r="AZ117" i="5"/>
  <c r="AZ118" i="5"/>
  <c r="AZ119" i="5"/>
  <c r="AZ120" i="5"/>
  <c r="AZ121" i="5"/>
  <c r="AZ122" i="5"/>
  <c r="AZ123" i="5"/>
  <c r="AZ124" i="5"/>
  <c r="AZ125" i="5"/>
  <c r="AZ126" i="5"/>
  <c r="AZ127" i="5"/>
  <c r="AZ128" i="5"/>
  <c r="AZ129" i="5"/>
  <c r="AZ130" i="5"/>
  <c r="AZ131" i="5"/>
  <c r="AZ132" i="5"/>
  <c r="AZ133" i="5"/>
  <c r="AZ134" i="5"/>
  <c r="AZ135" i="5"/>
  <c r="AZ136" i="5"/>
  <c r="AZ137" i="5"/>
  <c r="AZ138" i="5"/>
  <c r="AZ139" i="5"/>
  <c r="AZ140" i="5"/>
  <c r="AZ141" i="5"/>
  <c r="AZ142" i="5"/>
  <c r="AZ143" i="5"/>
  <c r="AZ144" i="5"/>
  <c r="AZ4" i="5"/>
  <c r="AY5" i="5"/>
  <c r="AY6" i="5"/>
  <c r="AY7" i="5"/>
  <c r="AY8" i="5"/>
  <c r="AY9" i="5"/>
  <c r="AY10" i="5"/>
  <c r="AY11" i="5"/>
  <c r="AY12" i="5"/>
  <c r="AY13" i="5"/>
  <c r="AY14" i="5"/>
  <c r="AY15" i="5"/>
  <c r="AY16" i="5"/>
  <c r="AY18" i="5"/>
  <c r="AY19" i="5"/>
  <c r="AY20" i="5"/>
  <c r="AY21" i="5"/>
  <c r="AY22" i="5"/>
  <c r="AY23" i="5"/>
  <c r="AY24" i="5"/>
  <c r="AY25" i="5"/>
  <c r="AY26" i="5"/>
  <c r="AY27" i="5"/>
  <c r="AY28" i="5"/>
  <c r="AY29" i="5"/>
  <c r="AY30" i="5"/>
  <c r="AY31" i="5"/>
  <c r="AY32" i="5"/>
  <c r="AY33" i="5"/>
  <c r="AY34" i="5"/>
  <c r="AY35" i="5"/>
  <c r="AY36" i="5"/>
  <c r="AY37" i="5"/>
  <c r="AY38" i="5"/>
  <c r="AY39" i="5"/>
  <c r="AY40" i="5"/>
  <c r="AY41" i="5"/>
  <c r="AY42" i="5"/>
  <c r="AY43" i="5"/>
  <c r="AY44" i="5"/>
  <c r="AY45" i="5"/>
  <c r="AY46" i="5"/>
  <c r="AY47" i="5"/>
  <c r="AY48" i="5"/>
  <c r="AY49" i="5"/>
  <c r="AY50" i="5"/>
  <c r="AY51" i="5"/>
  <c r="AY52" i="5"/>
  <c r="AY53" i="5"/>
  <c r="AY54" i="5"/>
  <c r="AY55" i="5"/>
  <c r="AY56" i="5"/>
  <c r="AY57" i="5"/>
  <c r="AY58" i="5"/>
  <c r="AY59" i="5"/>
  <c r="AY60" i="5"/>
  <c r="AY61" i="5"/>
  <c r="AY62" i="5"/>
  <c r="AY63" i="5"/>
  <c r="AY64" i="5"/>
  <c r="AY65" i="5"/>
  <c r="AY66" i="5"/>
  <c r="AY67" i="5"/>
  <c r="AY68" i="5"/>
  <c r="AY69" i="5"/>
  <c r="AY70" i="5"/>
  <c r="AY71" i="5"/>
  <c r="AY72" i="5"/>
  <c r="AY73" i="5"/>
  <c r="AY74" i="5"/>
  <c r="AY75" i="5"/>
  <c r="AY76" i="5"/>
  <c r="AY77" i="5"/>
  <c r="AY78" i="5"/>
  <c r="AY79" i="5"/>
  <c r="AY80" i="5"/>
  <c r="AY81" i="5"/>
  <c r="AY82" i="5"/>
  <c r="AY83" i="5"/>
  <c r="AY84" i="5"/>
  <c r="AY85" i="5"/>
  <c r="AY86" i="5"/>
  <c r="AY87" i="5"/>
  <c r="AY88" i="5"/>
  <c r="AY89" i="5"/>
  <c r="AY90" i="5"/>
  <c r="AY91" i="5"/>
  <c r="AY92" i="5"/>
  <c r="AY93" i="5"/>
  <c r="AY94" i="5"/>
  <c r="AY95" i="5"/>
  <c r="AY96" i="5"/>
  <c r="AY97" i="5"/>
  <c r="AY98" i="5"/>
  <c r="AY99" i="5"/>
  <c r="AY100" i="5"/>
  <c r="AY101" i="5"/>
  <c r="AY102" i="5"/>
  <c r="AY103" i="5"/>
  <c r="AY104" i="5"/>
  <c r="AY105" i="5"/>
  <c r="AY106" i="5"/>
  <c r="AY107" i="5"/>
  <c r="AY108" i="5"/>
  <c r="AY109" i="5"/>
  <c r="AY110" i="5"/>
  <c r="AY111" i="5"/>
  <c r="AY112" i="5"/>
  <c r="AY113" i="5"/>
  <c r="AY114" i="5"/>
  <c r="AY115" i="5"/>
  <c r="AY116" i="5"/>
  <c r="AY117" i="5"/>
  <c r="AY118" i="5"/>
  <c r="AY119" i="5"/>
  <c r="AY120" i="5"/>
  <c r="AY121" i="5"/>
  <c r="AY122" i="5"/>
  <c r="AY123" i="5"/>
  <c r="AY124" i="5"/>
  <c r="AY125" i="5"/>
  <c r="AY126" i="5"/>
  <c r="AY127" i="5"/>
  <c r="AY128" i="5"/>
  <c r="AY129" i="5"/>
  <c r="AY130" i="5"/>
  <c r="AY131" i="5"/>
  <c r="AY132" i="5"/>
  <c r="AY133" i="5"/>
  <c r="AY134" i="5"/>
  <c r="AY135" i="5"/>
  <c r="AY136" i="5"/>
  <c r="AY137" i="5"/>
  <c r="AY138" i="5"/>
  <c r="AY139" i="5"/>
  <c r="AY140" i="5"/>
  <c r="AY141" i="5"/>
  <c r="AY142" i="5"/>
  <c r="AY143" i="5"/>
  <c r="AY144" i="5"/>
  <c r="AY4" i="5"/>
  <c r="AX5" i="5"/>
  <c r="AX6" i="5"/>
  <c r="AX7" i="5"/>
  <c r="AX8" i="5"/>
  <c r="AX9" i="5"/>
  <c r="AX10" i="5"/>
  <c r="AX11" i="5"/>
  <c r="AX12" i="5"/>
  <c r="AX13" i="5"/>
  <c r="AX14" i="5"/>
  <c r="AX15" i="5"/>
  <c r="AX16" i="5"/>
  <c r="AX18" i="5"/>
  <c r="AX19" i="5"/>
  <c r="AX20" i="5"/>
  <c r="AX21" i="5"/>
  <c r="AX22" i="5"/>
  <c r="AX23" i="5"/>
  <c r="AX24" i="5"/>
  <c r="AX25" i="5"/>
  <c r="AX26" i="5"/>
  <c r="AX27" i="5"/>
  <c r="AX28" i="5"/>
  <c r="AX29" i="5"/>
  <c r="AX30" i="5"/>
  <c r="AX31" i="5"/>
  <c r="AX32" i="5"/>
  <c r="AX33" i="5"/>
  <c r="AX34" i="5"/>
  <c r="AX35" i="5"/>
  <c r="AX36" i="5"/>
  <c r="AX37" i="5"/>
  <c r="AX38" i="5"/>
  <c r="AX39" i="5"/>
  <c r="AX40" i="5"/>
  <c r="AX41" i="5"/>
  <c r="AX42" i="5"/>
  <c r="AX43" i="5"/>
  <c r="AX44" i="5"/>
  <c r="AX45" i="5"/>
  <c r="AX46" i="5"/>
  <c r="AX47" i="5"/>
  <c r="AX48" i="5"/>
  <c r="AX49" i="5"/>
  <c r="AX50" i="5"/>
  <c r="AX51" i="5"/>
  <c r="AX52" i="5"/>
  <c r="AX53" i="5"/>
  <c r="AX54" i="5"/>
  <c r="AX55" i="5"/>
  <c r="AX56" i="5"/>
  <c r="AX57" i="5"/>
  <c r="AX58" i="5"/>
  <c r="AX59" i="5"/>
  <c r="AX60" i="5"/>
  <c r="AX61" i="5"/>
  <c r="AX62" i="5"/>
  <c r="AX63" i="5"/>
  <c r="AX64" i="5"/>
  <c r="AX65" i="5"/>
  <c r="AX66" i="5"/>
  <c r="AX67" i="5"/>
  <c r="AX68" i="5"/>
  <c r="AX69" i="5"/>
  <c r="AX70" i="5"/>
  <c r="AX71" i="5"/>
  <c r="AX72" i="5"/>
  <c r="AX73" i="5"/>
  <c r="AX74" i="5"/>
  <c r="AX75" i="5"/>
  <c r="AX76" i="5"/>
  <c r="AX77" i="5"/>
  <c r="AX78" i="5"/>
  <c r="AX79" i="5"/>
  <c r="AX80" i="5"/>
  <c r="AX81" i="5"/>
  <c r="AX82" i="5"/>
  <c r="AX83" i="5"/>
  <c r="AX84" i="5"/>
  <c r="AX85" i="5"/>
  <c r="AX86" i="5"/>
  <c r="AX87" i="5"/>
  <c r="AX88" i="5"/>
  <c r="AX89" i="5"/>
  <c r="AX90" i="5"/>
  <c r="AX91" i="5"/>
  <c r="AX92" i="5"/>
  <c r="AX93" i="5"/>
  <c r="AX94" i="5"/>
  <c r="AX95" i="5"/>
  <c r="AX96" i="5"/>
  <c r="AX97" i="5"/>
  <c r="AX98" i="5"/>
  <c r="AX99" i="5"/>
  <c r="AX100" i="5"/>
  <c r="AX101" i="5"/>
  <c r="AX102" i="5"/>
  <c r="AX103" i="5"/>
  <c r="AX104" i="5"/>
  <c r="AX105" i="5"/>
  <c r="AX106" i="5"/>
  <c r="AX107" i="5"/>
  <c r="AX108" i="5"/>
  <c r="AX109" i="5"/>
  <c r="AX110" i="5"/>
  <c r="AX111" i="5"/>
  <c r="AX112" i="5"/>
  <c r="AX113" i="5"/>
  <c r="AX114" i="5"/>
  <c r="AX115" i="5"/>
  <c r="AX116" i="5"/>
  <c r="AX117" i="5"/>
  <c r="AX118" i="5"/>
  <c r="AX119" i="5"/>
  <c r="AX120" i="5"/>
  <c r="AX121" i="5"/>
  <c r="AX122" i="5"/>
  <c r="AX123" i="5"/>
  <c r="AX124" i="5"/>
  <c r="AX125" i="5"/>
  <c r="AX126" i="5"/>
  <c r="AX127" i="5"/>
  <c r="AX128" i="5"/>
  <c r="AX129" i="5"/>
  <c r="AX130" i="5"/>
  <c r="AX131" i="5"/>
  <c r="AX132" i="5"/>
  <c r="AX133" i="5"/>
  <c r="AX134" i="5"/>
  <c r="AX135" i="5"/>
  <c r="AX136" i="5"/>
  <c r="AX137" i="5"/>
  <c r="AX138" i="5"/>
  <c r="AX139" i="5"/>
  <c r="AX140" i="5"/>
  <c r="AX141" i="5"/>
  <c r="AX142" i="5"/>
  <c r="AX143" i="5"/>
  <c r="AX144" i="5"/>
  <c r="AX4" i="5"/>
  <c r="G5" i="37"/>
  <c r="G5" i="36"/>
  <c r="AW5" i="5"/>
  <c r="AW6" i="5"/>
  <c r="AW7" i="5"/>
  <c r="AW8" i="5"/>
  <c r="AW9" i="5"/>
  <c r="AW10" i="5"/>
  <c r="AW11" i="5"/>
  <c r="AW12" i="5"/>
  <c r="AW13" i="5"/>
  <c r="AW14" i="5"/>
  <c r="AW15" i="5"/>
  <c r="AW16" i="5"/>
  <c r="AW18" i="5"/>
  <c r="AW19" i="5"/>
  <c r="AW20" i="5"/>
  <c r="AW21" i="5"/>
  <c r="AW22" i="5"/>
  <c r="AW23" i="5"/>
  <c r="AW24" i="5"/>
  <c r="AW25" i="5"/>
  <c r="AW26" i="5"/>
  <c r="AW27" i="5"/>
  <c r="AW28" i="5"/>
  <c r="AW29" i="5"/>
  <c r="AW30" i="5"/>
  <c r="AW31" i="5"/>
  <c r="AW32" i="5"/>
  <c r="AW33" i="5"/>
  <c r="AW34" i="5"/>
  <c r="AW35" i="5"/>
  <c r="AW36" i="5"/>
  <c r="AW37" i="5"/>
  <c r="AW38" i="5"/>
  <c r="AW39" i="5"/>
  <c r="AW40" i="5"/>
  <c r="AW41" i="5"/>
  <c r="AW42" i="5"/>
  <c r="AW43" i="5"/>
  <c r="AW44" i="5"/>
  <c r="AW45" i="5"/>
  <c r="AW46" i="5"/>
  <c r="AW47" i="5"/>
  <c r="AW48" i="5"/>
  <c r="AW49" i="5"/>
  <c r="AW50" i="5"/>
  <c r="AW51" i="5"/>
  <c r="AW52" i="5"/>
  <c r="AW53" i="5"/>
  <c r="AW54" i="5"/>
  <c r="AW55" i="5"/>
  <c r="AW56" i="5"/>
  <c r="AW57" i="5"/>
  <c r="AW58" i="5"/>
  <c r="AW59" i="5"/>
  <c r="AW60" i="5"/>
  <c r="AW61" i="5"/>
  <c r="AW62" i="5"/>
  <c r="AW63" i="5"/>
  <c r="AW64" i="5"/>
  <c r="AW65" i="5"/>
  <c r="AW66" i="5"/>
  <c r="AW67" i="5"/>
  <c r="AW68" i="5"/>
  <c r="AW69" i="5"/>
  <c r="AW70" i="5"/>
  <c r="AW71" i="5"/>
  <c r="AW72" i="5"/>
  <c r="AW73" i="5"/>
  <c r="AW74" i="5"/>
  <c r="AW75" i="5"/>
  <c r="AW76" i="5"/>
  <c r="AW77" i="5"/>
  <c r="AW78" i="5"/>
  <c r="AW79" i="5"/>
  <c r="AW80" i="5"/>
  <c r="AW81" i="5"/>
  <c r="AW82" i="5"/>
  <c r="AW83" i="5"/>
  <c r="AW84" i="5"/>
  <c r="AW85" i="5"/>
  <c r="AW86" i="5"/>
  <c r="AW87" i="5"/>
  <c r="AW88" i="5"/>
  <c r="AW89" i="5"/>
  <c r="AW90" i="5"/>
  <c r="AW91" i="5"/>
  <c r="AW92" i="5"/>
  <c r="AW93" i="5"/>
  <c r="AW94" i="5"/>
  <c r="AW95" i="5"/>
  <c r="AW96" i="5"/>
  <c r="AW97" i="5"/>
  <c r="AW98" i="5"/>
  <c r="AW99" i="5"/>
  <c r="AW100" i="5"/>
  <c r="AW101" i="5"/>
  <c r="AW102" i="5"/>
  <c r="AW103" i="5"/>
  <c r="AW104" i="5"/>
  <c r="AW105" i="5"/>
  <c r="AW106" i="5"/>
  <c r="AW107" i="5"/>
  <c r="AW108" i="5"/>
  <c r="AW109" i="5"/>
  <c r="AW110" i="5"/>
  <c r="AW111" i="5"/>
  <c r="AW112" i="5"/>
  <c r="AW113" i="5"/>
  <c r="AW114" i="5"/>
  <c r="AW115" i="5"/>
  <c r="AW116" i="5"/>
  <c r="AW117" i="5"/>
  <c r="AW118" i="5"/>
  <c r="AW119" i="5"/>
  <c r="AW120" i="5"/>
  <c r="AW121" i="5"/>
  <c r="AW122" i="5"/>
  <c r="AW123" i="5"/>
  <c r="AW124" i="5"/>
  <c r="AW125" i="5"/>
  <c r="AW126" i="5"/>
  <c r="AW127" i="5"/>
  <c r="AW128" i="5"/>
  <c r="AW129" i="5"/>
  <c r="AW130" i="5"/>
  <c r="AW131" i="5"/>
  <c r="AW132" i="5"/>
  <c r="AW133" i="5"/>
  <c r="AW134" i="5"/>
  <c r="AW135" i="5"/>
  <c r="AW136" i="5"/>
  <c r="AW137" i="5"/>
  <c r="AW138" i="5"/>
  <c r="AW139" i="5"/>
  <c r="AW140" i="5"/>
  <c r="AW141" i="5"/>
  <c r="AW142" i="5"/>
  <c r="AW143" i="5"/>
  <c r="AW144" i="5"/>
  <c r="AW4" i="5"/>
  <c r="AV5" i="5"/>
  <c r="AV6" i="5"/>
  <c r="AV7" i="5"/>
  <c r="AV8" i="5"/>
  <c r="AV9" i="5"/>
  <c r="AV10" i="5"/>
  <c r="AV11" i="5"/>
  <c r="AV12" i="5"/>
  <c r="AV13" i="5"/>
  <c r="AV14" i="5"/>
  <c r="AV15" i="5"/>
  <c r="AV16" i="5"/>
  <c r="AV18" i="5"/>
  <c r="AV19" i="5"/>
  <c r="AV20" i="5"/>
  <c r="AV21" i="5"/>
  <c r="AV22" i="5"/>
  <c r="AV23" i="5"/>
  <c r="AV24" i="5"/>
  <c r="AV25" i="5"/>
  <c r="AV26" i="5"/>
  <c r="AV27" i="5"/>
  <c r="AV28" i="5"/>
  <c r="AV29" i="5"/>
  <c r="AV30" i="5"/>
  <c r="AV31" i="5"/>
  <c r="AV32" i="5"/>
  <c r="AV33" i="5"/>
  <c r="AV34" i="5"/>
  <c r="AV35" i="5"/>
  <c r="AV36" i="5"/>
  <c r="AV37" i="5"/>
  <c r="AV38" i="5"/>
  <c r="AV39" i="5"/>
  <c r="AV40" i="5"/>
  <c r="AV41" i="5"/>
  <c r="AV42" i="5"/>
  <c r="AV43" i="5"/>
  <c r="AV44" i="5"/>
  <c r="AV45" i="5"/>
  <c r="AV46" i="5"/>
  <c r="AV47" i="5"/>
  <c r="AV48" i="5"/>
  <c r="AV49" i="5"/>
  <c r="AV50" i="5"/>
  <c r="AV51" i="5"/>
  <c r="AV52" i="5"/>
  <c r="AV53" i="5"/>
  <c r="AV54" i="5"/>
  <c r="AV55" i="5"/>
  <c r="AV56" i="5"/>
  <c r="AV57" i="5"/>
  <c r="AV58" i="5"/>
  <c r="AV59" i="5"/>
  <c r="AV60" i="5"/>
  <c r="AV61" i="5"/>
  <c r="AV62" i="5"/>
  <c r="AV63" i="5"/>
  <c r="AV64" i="5"/>
  <c r="AV65" i="5"/>
  <c r="AV66" i="5"/>
  <c r="AV67" i="5"/>
  <c r="AV68" i="5"/>
  <c r="AV69" i="5"/>
  <c r="AV70" i="5"/>
  <c r="AV71" i="5"/>
  <c r="AV72" i="5"/>
  <c r="AV73" i="5"/>
  <c r="AV74" i="5"/>
  <c r="AV75" i="5"/>
  <c r="AV76" i="5"/>
  <c r="AV77" i="5"/>
  <c r="AV78" i="5"/>
  <c r="AV79" i="5"/>
  <c r="AV80" i="5"/>
  <c r="AV81" i="5"/>
  <c r="AV82" i="5"/>
  <c r="AV83" i="5"/>
  <c r="AV84" i="5"/>
  <c r="AV85" i="5"/>
  <c r="AV86" i="5"/>
  <c r="AV87" i="5"/>
  <c r="AV88" i="5"/>
  <c r="AV89" i="5"/>
  <c r="AV90" i="5"/>
  <c r="AV91" i="5"/>
  <c r="AV92" i="5"/>
  <c r="AV93" i="5"/>
  <c r="AV94" i="5"/>
  <c r="AV95" i="5"/>
  <c r="AV96" i="5"/>
  <c r="AV97" i="5"/>
  <c r="AV98" i="5"/>
  <c r="AV99" i="5"/>
  <c r="AV100" i="5"/>
  <c r="AV101" i="5"/>
  <c r="AV102" i="5"/>
  <c r="AV103" i="5"/>
  <c r="AV104" i="5"/>
  <c r="AV105" i="5"/>
  <c r="AV106" i="5"/>
  <c r="AV107" i="5"/>
  <c r="AV108" i="5"/>
  <c r="AV109" i="5"/>
  <c r="AV110" i="5"/>
  <c r="AV111" i="5"/>
  <c r="AV112" i="5"/>
  <c r="AV113" i="5"/>
  <c r="AV114" i="5"/>
  <c r="AV115" i="5"/>
  <c r="AV116" i="5"/>
  <c r="AV117" i="5"/>
  <c r="AV118" i="5"/>
  <c r="AV119" i="5"/>
  <c r="AV120" i="5"/>
  <c r="AV121" i="5"/>
  <c r="AV122" i="5"/>
  <c r="AV123" i="5"/>
  <c r="AV124" i="5"/>
  <c r="AV125" i="5"/>
  <c r="AV126" i="5"/>
  <c r="AV127" i="5"/>
  <c r="AV128" i="5"/>
  <c r="AV129" i="5"/>
  <c r="AV130" i="5"/>
  <c r="AV131" i="5"/>
  <c r="AV132" i="5"/>
  <c r="AV133" i="5"/>
  <c r="AV134" i="5"/>
  <c r="AV135" i="5"/>
  <c r="AV136" i="5"/>
  <c r="AV137" i="5"/>
  <c r="AV138" i="5"/>
  <c r="AV139" i="5"/>
  <c r="AV140" i="5"/>
  <c r="AV141" i="5"/>
  <c r="AV142" i="5"/>
  <c r="AV143" i="5"/>
  <c r="AV144" i="5"/>
  <c r="AV4" i="5"/>
  <c r="R5" i="5"/>
  <c r="R6" i="5"/>
  <c r="R7" i="5"/>
  <c r="R8" i="5"/>
  <c r="R9" i="5"/>
  <c r="R10" i="5"/>
  <c r="R4" i="5"/>
  <c r="R12" i="5"/>
  <c r="R13" i="5"/>
  <c r="R14" i="5"/>
  <c r="R15" i="5"/>
  <c r="R16" i="5"/>
  <c r="R18" i="5"/>
  <c r="R19" i="5"/>
  <c r="R20" i="5"/>
  <c r="R21" i="5"/>
  <c r="R22" i="5"/>
  <c r="R23" i="5"/>
  <c r="R24" i="5"/>
  <c r="R25" i="5"/>
  <c r="R26" i="5"/>
  <c r="R27" i="5"/>
  <c r="R28" i="5"/>
  <c r="R29" i="5"/>
  <c r="R30" i="5"/>
  <c r="R31" i="5"/>
  <c r="R32" i="5"/>
  <c r="R33" i="5"/>
  <c r="R34" i="5"/>
  <c r="R35" i="5"/>
  <c r="R36" i="5"/>
  <c r="R37" i="5"/>
  <c r="R38" i="5"/>
  <c r="R39" i="5"/>
  <c r="R40" i="5"/>
  <c r="R41" i="5"/>
  <c r="R42" i="5"/>
  <c r="R43" i="5"/>
  <c r="R44" i="5"/>
  <c r="R45" i="5"/>
  <c r="R46" i="5"/>
  <c r="R47" i="5"/>
  <c r="R48" i="5"/>
  <c r="R49" i="5"/>
  <c r="R50" i="5"/>
  <c r="R51" i="5"/>
  <c r="R52" i="5"/>
  <c r="R53" i="5"/>
  <c r="R54" i="5"/>
  <c r="R55" i="5"/>
  <c r="R56" i="5"/>
  <c r="R57" i="5"/>
  <c r="R58" i="5"/>
  <c r="R59" i="5"/>
  <c r="R60" i="5"/>
  <c r="R61" i="5"/>
  <c r="R62" i="5"/>
  <c r="R63" i="5"/>
  <c r="R64" i="5"/>
  <c r="R65" i="5"/>
  <c r="R66" i="5"/>
  <c r="R67" i="5"/>
  <c r="R68" i="5"/>
  <c r="R69" i="5"/>
  <c r="R70" i="5"/>
  <c r="R71" i="5"/>
  <c r="R72" i="5"/>
  <c r="R73" i="5"/>
  <c r="R74" i="5"/>
  <c r="R75" i="5"/>
  <c r="R76" i="5"/>
  <c r="R77" i="5"/>
  <c r="R78" i="5"/>
  <c r="R79" i="5"/>
  <c r="R80" i="5"/>
  <c r="R81" i="5"/>
  <c r="R82" i="5"/>
  <c r="R83" i="5"/>
  <c r="R84" i="5"/>
  <c r="R85" i="5"/>
  <c r="R86" i="5"/>
  <c r="R87" i="5"/>
  <c r="R88" i="5"/>
  <c r="R89" i="5"/>
  <c r="R90" i="5"/>
  <c r="R91" i="5"/>
  <c r="R92" i="5"/>
  <c r="R93" i="5"/>
  <c r="R94" i="5"/>
  <c r="R95" i="5"/>
  <c r="R96" i="5"/>
  <c r="R97" i="5"/>
  <c r="R98" i="5"/>
  <c r="R99" i="5"/>
  <c r="R100" i="5"/>
  <c r="R101" i="5"/>
  <c r="R102" i="5"/>
  <c r="R103" i="5"/>
  <c r="R104" i="5"/>
  <c r="R105" i="5"/>
  <c r="R106" i="5"/>
  <c r="R107" i="5"/>
  <c r="R108" i="5"/>
  <c r="R109" i="5"/>
  <c r="R110" i="5"/>
  <c r="R111" i="5"/>
  <c r="R112" i="5"/>
  <c r="R113" i="5"/>
  <c r="R114" i="5"/>
  <c r="R115" i="5"/>
  <c r="R116" i="5"/>
  <c r="R117" i="5"/>
  <c r="R118" i="5"/>
  <c r="R119" i="5"/>
  <c r="R120" i="5"/>
  <c r="R121" i="5"/>
  <c r="R122" i="5"/>
  <c r="R123" i="5"/>
  <c r="R124" i="5"/>
  <c r="R125" i="5"/>
  <c r="R126" i="5"/>
  <c r="R127" i="5"/>
  <c r="R128" i="5"/>
  <c r="R129" i="5"/>
  <c r="R130" i="5"/>
  <c r="R131" i="5"/>
  <c r="R132" i="5"/>
  <c r="R133" i="5"/>
  <c r="R134" i="5"/>
  <c r="R135" i="5"/>
  <c r="R136" i="5"/>
  <c r="R137" i="5"/>
  <c r="R138" i="5"/>
  <c r="R139" i="5"/>
  <c r="R140" i="5"/>
  <c r="R141" i="5"/>
  <c r="R142" i="5"/>
  <c r="R143" i="5"/>
  <c r="R144" i="5"/>
  <c r="R11" i="5"/>
  <c r="AU5" i="5"/>
  <c r="AU6" i="5"/>
  <c r="AU7" i="5"/>
  <c r="AU8" i="5"/>
  <c r="AU9" i="5"/>
  <c r="AU10" i="5"/>
  <c r="AU11" i="5"/>
  <c r="AU12" i="5"/>
  <c r="AU13" i="5"/>
  <c r="AU14" i="5"/>
  <c r="AU15" i="5"/>
  <c r="AU16" i="5"/>
  <c r="AU18" i="5"/>
  <c r="AU19" i="5"/>
  <c r="AU20" i="5"/>
  <c r="AU21" i="5"/>
  <c r="AU22" i="5"/>
  <c r="AU23" i="5"/>
  <c r="AU24" i="5"/>
  <c r="AU25" i="5"/>
  <c r="AU26" i="5"/>
  <c r="AU27" i="5"/>
  <c r="AU28" i="5"/>
  <c r="AU29" i="5"/>
  <c r="AU30" i="5"/>
  <c r="AU31" i="5"/>
  <c r="AU32" i="5"/>
  <c r="AU33" i="5"/>
  <c r="AU34" i="5"/>
  <c r="AU35" i="5"/>
  <c r="AU36" i="5"/>
  <c r="AU37" i="5"/>
  <c r="AU38" i="5"/>
  <c r="AU39" i="5"/>
  <c r="AU40" i="5"/>
  <c r="AU41" i="5"/>
  <c r="AU42" i="5"/>
  <c r="AU43" i="5"/>
  <c r="AU44" i="5"/>
  <c r="AU45" i="5"/>
  <c r="AU46" i="5"/>
  <c r="AU47" i="5"/>
  <c r="AU48" i="5"/>
  <c r="AU49" i="5"/>
  <c r="AU50" i="5"/>
  <c r="AU51" i="5"/>
  <c r="AU52" i="5"/>
  <c r="AU53" i="5"/>
  <c r="AU54" i="5"/>
  <c r="AU55" i="5"/>
  <c r="AU56" i="5"/>
  <c r="AU57" i="5"/>
  <c r="AU58" i="5"/>
  <c r="AU59" i="5"/>
  <c r="AU60" i="5"/>
  <c r="AU61" i="5"/>
  <c r="AU62" i="5"/>
  <c r="AU63" i="5"/>
  <c r="AU64" i="5"/>
  <c r="AU65" i="5"/>
  <c r="AU66" i="5"/>
  <c r="AU67" i="5"/>
  <c r="AU68" i="5"/>
  <c r="AU69" i="5"/>
  <c r="AU70" i="5"/>
  <c r="AU71" i="5"/>
  <c r="AU72" i="5"/>
  <c r="AU73" i="5"/>
  <c r="AU74" i="5"/>
  <c r="AU75" i="5"/>
  <c r="AU76" i="5"/>
  <c r="AU77" i="5"/>
  <c r="AU78" i="5"/>
  <c r="AU79" i="5"/>
  <c r="AU80" i="5"/>
  <c r="AU81" i="5"/>
  <c r="AU82" i="5"/>
  <c r="AU83" i="5"/>
  <c r="AU84" i="5"/>
  <c r="AU85" i="5"/>
  <c r="AU86" i="5"/>
  <c r="AU87" i="5"/>
  <c r="AU88" i="5"/>
  <c r="AU89" i="5"/>
  <c r="AU90" i="5"/>
  <c r="AU91" i="5"/>
  <c r="AU92" i="5"/>
  <c r="AU93" i="5"/>
  <c r="AU94" i="5"/>
  <c r="AU95" i="5"/>
  <c r="AU96" i="5"/>
  <c r="AU97" i="5"/>
  <c r="AU98" i="5"/>
  <c r="AU99" i="5"/>
  <c r="AU100" i="5"/>
  <c r="AU101" i="5"/>
  <c r="AU102" i="5"/>
  <c r="AU103" i="5"/>
  <c r="AU104" i="5"/>
  <c r="AU105" i="5"/>
  <c r="AU106" i="5"/>
  <c r="AU107" i="5"/>
  <c r="AU108" i="5"/>
  <c r="AU109" i="5"/>
  <c r="AU110" i="5"/>
  <c r="AU111" i="5"/>
  <c r="AU112" i="5"/>
  <c r="AU113" i="5"/>
  <c r="AU114" i="5"/>
  <c r="AU115" i="5"/>
  <c r="AU116" i="5"/>
  <c r="AU117" i="5"/>
  <c r="AU118" i="5"/>
  <c r="AU119" i="5"/>
  <c r="AU120" i="5"/>
  <c r="AU121" i="5"/>
  <c r="AU122" i="5"/>
  <c r="AU123" i="5"/>
  <c r="AU124" i="5"/>
  <c r="AU125" i="5"/>
  <c r="AU126" i="5"/>
  <c r="AU127" i="5"/>
  <c r="AU128" i="5"/>
  <c r="AU129" i="5"/>
  <c r="AU130" i="5"/>
  <c r="AU131" i="5"/>
  <c r="AU132" i="5"/>
  <c r="AU133" i="5"/>
  <c r="AU134" i="5"/>
  <c r="AU135" i="5"/>
  <c r="AU136" i="5"/>
  <c r="AU137" i="5"/>
  <c r="AU138" i="5"/>
  <c r="AU139" i="5"/>
  <c r="AU140" i="5"/>
  <c r="AU141" i="5"/>
  <c r="AU142" i="5"/>
  <c r="AU143" i="5"/>
  <c r="AU144" i="5"/>
  <c r="AU4" i="5"/>
  <c r="Q5" i="5"/>
  <c r="Q6" i="5"/>
  <c r="Q7" i="5"/>
  <c r="Q8" i="5"/>
  <c r="Q9" i="5"/>
  <c r="Q10" i="5"/>
  <c r="Q11" i="5"/>
  <c r="Q12" i="5"/>
  <c r="Q13" i="5"/>
  <c r="Q14" i="5"/>
  <c r="Q15" i="5"/>
  <c r="Q16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31" i="5"/>
  <c r="Q32" i="5"/>
  <c r="Q33" i="5"/>
  <c r="Q34" i="5"/>
  <c r="Q35" i="5"/>
  <c r="Q36" i="5"/>
  <c r="Q37" i="5"/>
  <c r="Q38" i="5"/>
  <c r="Q39" i="5"/>
  <c r="Q40" i="5"/>
  <c r="Q41" i="5"/>
  <c r="Q42" i="5"/>
  <c r="Q43" i="5"/>
  <c r="Q44" i="5"/>
  <c r="Q45" i="5"/>
  <c r="Q46" i="5"/>
  <c r="Q47" i="5"/>
  <c r="Q48" i="5"/>
  <c r="Q49" i="5"/>
  <c r="Q50" i="5"/>
  <c r="Q51" i="5"/>
  <c r="Q52" i="5"/>
  <c r="Q53" i="5"/>
  <c r="Q54" i="5"/>
  <c r="Q55" i="5"/>
  <c r="Q56" i="5"/>
  <c r="Q57" i="5"/>
  <c r="Q58" i="5"/>
  <c r="Q59" i="5"/>
  <c r="Q60" i="5"/>
  <c r="Q61" i="5"/>
  <c r="Q62" i="5"/>
  <c r="Q63" i="5"/>
  <c r="Q64" i="5"/>
  <c r="Q65" i="5"/>
  <c r="Q66" i="5"/>
  <c r="Q67" i="5"/>
  <c r="Q68" i="5"/>
  <c r="Q69" i="5"/>
  <c r="Q70" i="5"/>
  <c r="Q71" i="5"/>
  <c r="Q72" i="5"/>
  <c r="Q73" i="5"/>
  <c r="Q74" i="5"/>
  <c r="Q75" i="5"/>
  <c r="Q76" i="5"/>
  <c r="Q77" i="5"/>
  <c r="Q78" i="5"/>
  <c r="Q79" i="5"/>
  <c r="Q80" i="5"/>
  <c r="Q81" i="5"/>
  <c r="Q82" i="5"/>
  <c r="Q83" i="5"/>
  <c r="Q84" i="5"/>
  <c r="Q85" i="5"/>
  <c r="Q86" i="5"/>
  <c r="Q87" i="5"/>
  <c r="Q88" i="5"/>
  <c r="Q89" i="5"/>
  <c r="Q90" i="5"/>
  <c r="Q91" i="5"/>
  <c r="Q92" i="5"/>
  <c r="Q93" i="5"/>
  <c r="Q94" i="5"/>
  <c r="Q95" i="5"/>
  <c r="Q96" i="5"/>
  <c r="Q97" i="5"/>
  <c r="Q98" i="5"/>
  <c r="Q99" i="5"/>
  <c r="Q100" i="5"/>
  <c r="Q101" i="5"/>
  <c r="Q102" i="5"/>
  <c r="Q103" i="5"/>
  <c r="Q104" i="5"/>
  <c r="Q105" i="5"/>
  <c r="Q106" i="5"/>
  <c r="Q107" i="5"/>
  <c r="Q108" i="5"/>
  <c r="Q109" i="5"/>
  <c r="Q110" i="5"/>
  <c r="Q111" i="5"/>
  <c r="Q112" i="5"/>
  <c r="Q113" i="5"/>
  <c r="Q114" i="5"/>
  <c r="Q115" i="5"/>
  <c r="Q116" i="5"/>
  <c r="Q117" i="5"/>
  <c r="Q118" i="5"/>
  <c r="Q119" i="5"/>
  <c r="Q120" i="5"/>
  <c r="Q121" i="5"/>
  <c r="Q122" i="5"/>
  <c r="Q123" i="5"/>
  <c r="Q124" i="5"/>
  <c r="Q125" i="5"/>
  <c r="Q126" i="5"/>
  <c r="Q127" i="5"/>
  <c r="Q128" i="5"/>
  <c r="Q129" i="5"/>
  <c r="Q130" i="5"/>
  <c r="Q131" i="5"/>
  <c r="Q132" i="5"/>
  <c r="Q133" i="5"/>
  <c r="Q134" i="5"/>
  <c r="Q135" i="5"/>
  <c r="Q136" i="5"/>
  <c r="Q137" i="5"/>
  <c r="Q138" i="5"/>
  <c r="Q139" i="5"/>
  <c r="Q140" i="5"/>
  <c r="Q141" i="5"/>
  <c r="Q142" i="5"/>
  <c r="Q143" i="5"/>
  <c r="Q144" i="5"/>
  <c r="Q4" i="5"/>
  <c r="AT5" i="5"/>
  <c r="AT6" i="5"/>
  <c r="AT7" i="5"/>
  <c r="AT8" i="5"/>
  <c r="AT9" i="5"/>
  <c r="AT10" i="5"/>
  <c r="AT11" i="5"/>
  <c r="AT12" i="5"/>
  <c r="AT13" i="5"/>
  <c r="AT14" i="5"/>
  <c r="AT15" i="5"/>
  <c r="AT16" i="5"/>
  <c r="AT18" i="5"/>
  <c r="AT19" i="5"/>
  <c r="AT20" i="5"/>
  <c r="AT21" i="5"/>
  <c r="AT22" i="5"/>
  <c r="AT23" i="5"/>
  <c r="AT24" i="5"/>
  <c r="AT25" i="5"/>
  <c r="AT26" i="5"/>
  <c r="AT27" i="5"/>
  <c r="AT28" i="5"/>
  <c r="AT29" i="5"/>
  <c r="AT30" i="5"/>
  <c r="AT31" i="5"/>
  <c r="AT32" i="5"/>
  <c r="AT33" i="5"/>
  <c r="AT34" i="5"/>
  <c r="AT35" i="5"/>
  <c r="AT36" i="5"/>
  <c r="AT37" i="5"/>
  <c r="AT38" i="5"/>
  <c r="AT39" i="5"/>
  <c r="AT40" i="5"/>
  <c r="AT41" i="5"/>
  <c r="AT42" i="5"/>
  <c r="AT43" i="5"/>
  <c r="AT44" i="5"/>
  <c r="AT45" i="5"/>
  <c r="AT46" i="5"/>
  <c r="AT47" i="5"/>
  <c r="AT48" i="5"/>
  <c r="AT49" i="5"/>
  <c r="AT50" i="5"/>
  <c r="AT51" i="5"/>
  <c r="AT52" i="5"/>
  <c r="AT53" i="5"/>
  <c r="AT54" i="5"/>
  <c r="AT55" i="5"/>
  <c r="AT56" i="5"/>
  <c r="AT57" i="5"/>
  <c r="AT58" i="5"/>
  <c r="AT59" i="5"/>
  <c r="AT60" i="5"/>
  <c r="AT61" i="5"/>
  <c r="AT62" i="5"/>
  <c r="AT63" i="5"/>
  <c r="AT64" i="5"/>
  <c r="AT65" i="5"/>
  <c r="AT66" i="5"/>
  <c r="AT67" i="5"/>
  <c r="AT68" i="5"/>
  <c r="AT69" i="5"/>
  <c r="AT70" i="5"/>
  <c r="AT71" i="5"/>
  <c r="AT72" i="5"/>
  <c r="AT73" i="5"/>
  <c r="AT74" i="5"/>
  <c r="AT75" i="5"/>
  <c r="AT76" i="5"/>
  <c r="AT77" i="5"/>
  <c r="AT78" i="5"/>
  <c r="AT79" i="5"/>
  <c r="AT80" i="5"/>
  <c r="AT81" i="5"/>
  <c r="AT82" i="5"/>
  <c r="AT83" i="5"/>
  <c r="AT84" i="5"/>
  <c r="AT85" i="5"/>
  <c r="AT86" i="5"/>
  <c r="AT87" i="5"/>
  <c r="AT88" i="5"/>
  <c r="AT89" i="5"/>
  <c r="AT90" i="5"/>
  <c r="AT91" i="5"/>
  <c r="AT92" i="5"/>
  <c r="AT93" i="5"/>
  <c r="AT94" i="5"/>
  <c r="AT95" i="5"/>
  <c r="AT96" i="5"/>
  <c r="AT97" i="5"/>
  <c r="AT98" i="5"/>
  <c r="AT99" i="5"/>
  <c r="AT100" i="5"/>
  <c r="AT101" i="5"/>
  <c r="AT102" i="5"/>
  <c r="AT103" i="5"/>
  <c r="AT104" i="5"/>
  <c r="AT105" i="5"/>
  <c r="AT106" i="5"/>
  <c r="AT107" i="5"/>
  <c r="AT108" i="5"/>
  <c r="AT109" i="5"/>
  <c r="AT110" i="5"/>
  <c r="AT111" i="5"/>
  <c r="AT112" i="5"/>
  <c r="AT113" i="5"/>
  <c r="AT114" i="5"/>
  <c r="AT115" i="5"/>
  <c r="AT116" i="5"/>
  <c r="AT117" i="5"/>
  <c r="AT118" i="5"/>
  <c r="AT119" i="5"/>
  <c r="AT120" i="5"/>
  <c r="AT121" i="5"/>
  <c r="AT122" i="5"/>
  <c r="AT123" i="5"/>
  <c r="AT124" i="5"/>
  <c r="AT125" i="5"/>
  <c r="AT126" i="5"/>
  <c r="AT127" i="5"/>
  <c r="AT128" i="5"/>
  <c r="AT129" i="5"/>
  <c r="AT130" i="5"/>
  <c r="AT131" i="5"/>
  <c r="AT132" i="5"/>
  <c r="AT133" i="5"/>
  <c r="AT134" i="5"/>
  <c r="AT135" i="5"/>
  <c r="AT136" i="5"/>
  <c r="AT137" i="5"/>
  <c r="AT138" i="5"/>
  <c r="AT139" i="5"/>
  <c r="AT140" i="5"/>
  <c r="AT141" i="5"/>
  <c r="AT142" i="5"/>
  <c r="AT143" i="5"/>
  <c r="AT144" i="5"/>
  <c r="AT4" i="5"/>
  <c r="P5" i="5"/>
  <c r="P6" i="5"/>
  <c r="P7" i="5"/>
  <c r="P8" i="5"/>
  <c r="P9" i="5"/>
  <c r="P10" i="5"/>
  <c r="P11" i="5"/>
  <c r="P12" i="5"/>
  <c r="P13" i="5"/>
  <c r="P14" i="5"/>
  <c r="P15" i="5"/>
  <c r="P16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P31" i="5"/>
  <c r="P32" i="5"/>
  <c r="P33" i="5"/>
  <c r="P4" i="5"/>
  <c r="P35" i="5"/>
  <c r="P36" i="5"/>
  <c r="P37" i="5"/>
  <c r="P38" i="5"/>
  <c r="P39" i="5"/>
  <c r="P40" i="5"/>
  <c r="P41" i="5"/>
  <c r="P42" i="5"/>
  <c r="P43" i="5"/>
  <c r="P44" i="5"/>
  <c r="P45" i="5"/>
  <c r="P46" i="5"/>
  <c r="P47" i="5"/>
  <c r="P48" i="5"/>
  <c r="P49" i="5"/>
  <c r="P50" i="5"/>
  <c r="P51" i="5"/>
  <c r="P52" i="5"/>
  <c r="P53" i="5"/>
  <c r="P54" i="5"/>
  <c r="P55" i="5"/>
  <c r="P56" i="5"/>
  <c r="P57" i="5"/>
  <c r="P58" i="5"/>
  <c r="P59" i="5"/>
  <c r="P60" i="5"/>
  <c r="P61" i="5"/>
  <c r="P62" i="5"/>
  <c r="P63" i="5"/>
  <c r="P64" i="5"/>
  <c r="P65" i="5"/>
  <c r="P66" i="5"/>
  <c r="P67" i="5"/>
  <c r="P68" i="5"/>
  <c r="P69" i="5"/>
  <c r="P70" i="5"/>
  <c r="P71" i="5"/>
  <c r="P72" i="5"/>
  <c r="P73" i="5"/>
  <c r="P74" i="5"/>
  <c r="P75" i="5"/>
  <c r="P76" i="5"/>
  <c r="P77" i="5"/>
  <c r="P78" i="5"/>
  <c r="P79" i="5"/>
  <c r="P80" i="5"/>
  <c r="P81" i="5"/>
  <c r="P82" i="5"/>
  <c r="P83" i="5"/>
  <c r="P84" i="5"/>
  <c r="P85" i="5"/>
  <c r="P86" i="5"/>
  <c r="P87" i="5"/>
  <c r="P88" i="5"/>
  <c r="P89" i="5"/>
  <c r="P90" i="5"/>
  <c r="P91" i="5"/>
  <c r="P92" i="5"/>
  <c r="P93" i="5"/>
  <c r="P94" i="5"/>
  <c r="P95" i="5"/>
  <c r="P96" i="5"/>
  <c r="P97" i="5"/>
  <c r="P98" i="5"/>
  <c r="P99" i="5"/>
  <c r="P100" i="5"/>
  <c r="P101" i="5"/>
  <c r="P102" i="5"/>
  <c r="P103" i="5"/>
  <c r="P104" i="5"/>
  <c r="P105" i="5"/>
  <c r="P106" i="5"/>
  <c r="P107" i="5"/>
  <c r="P108" i="5"/>
  <c r="P109" i="5"/>
  <c r="P110" i="5"/>
  <c r="P111" i="5"/>
  <c r="P112" i="5"/>
  <c r="P113" i="5"/>
  <c r="P114" i="5"/>
  <c r="P115" i="5"/>
  <c r="P116" i="5"/>
  <c r="P117" i="5"/>
  <c r="P118" i="5"/>
  <c r="P119" i="5"/>
  <c r="P120" i="5"/>
  <c r="P121" i="5"/>
  <c r="P122" i="5"/>
  <c r="P123" i="5"/>
  <c r="P124" i="5"/>
  <c r="P125" i="5"/>
  <c r="P126" i="5"/>
  <c r="P127" i="5"/>
  <c r="P128" i="5"/>
  <c r="P129" i="5"/>
  <c r="P130" i="5"/>
  <c r="P131" i="5"/>
  <c r="P132" i="5"/>
  <c r="P133" i="5"/>
  <c r="P134" i="5"/>
  <c r="P135" i="5"/>
  <c r="P136" i="5"/>
  <c r="P137" i="5"/>
  <c r="P138" i="5"/>
  <c r="P139" i="5"/>
  <c r="P140" i="5"/>
  <c r="P141" i="5"/>
  <c r="P142" i="5"/>
  <c r="P143" i="5"/>
  <c r="P144" i="5"/>
  <c r="P34" i="5"/>
  <c r="AS5" i="5"/>
  <c r="AS6" i="5"/>
  <c r="AS7" i="5"/>
  <c r="AS8" i="5"/>
  <c r="AS9" i="5"/>
  <c r="AS10" i="5"/>
  <c r="AS11" i="5"/>
  <c r="AS12" i="5"/>
  <c r="AS13" i="5"/>
  <c r="AS14" i="5"/>
  <c r="AS15" i="5"/>
  <c r="AS16" i="5"/>
  <c r="AS18" i="5"/>
  <c r="AS19" i="5"/>
  <c r="AS20" i="5"/>
  <c r="AS21" i="5"/>
  <c r="AS22" i="5"/>
  <c r="AS23" i="5"/>
  <c r="AS24" i="5"/>
  <c r="AS25" i="5"/>
  <c r="AS26" i="5"/>
  <c r="AS27" i="5"/>
  <c r="AS28" i="5"/>
  <c r="AS29" i="5"/>
  <c r="AS30" i="5"/>
  <c r="AS31" i="5"/>
  <c r="AS32" i="5"/>
  <c r="AS33" i="5"/>
  <c r="AS34" i="5"/>
  <c r="AS35" i="5"/>
  <c r="AS36" i="5"/>
  <c r="AS37" i="5"/>
  <c r="AS38" i="5"/>
  <c r="AS39" i="5"/>
  <c r="AS40" i="5"/>
  <c r="AS41" i="5"/>
  <c r="AS42" i="5"/>
  <c r="AS43" i="5"/>
  <c r="AS44" i="5"/>
  <c r="AS45" i="5"/>
  <c r="AS46" i="5"/>
  <c r="AS47" i="5"/>
  <c r="AS48" i="5"/>
  <c r="AS49" i="5"/>
  <c r="AS50" i="5"/>
  <c r="AS51" i="5"/>
  <c r="AS52" i="5"/>
  <c r="AS53" i="5"/>
  <c r="AS54" i="5"/>
  <c r="AS55" i="5"/>
  <c r="AS56" i="5"/>
  <c r="AS57" i="5"/>
  <c r="AS58" i="5"/>
  <c r="AS59" i="5"/>
  <c r="AS60" i="5"/>
  <c r="AS61" i="5"/>
  <c r="AS62" i="5"/>
  <c r="AS63" i="5"/>
  <c r="AS64" i="5"/>
  <c r="AS65" i="5"/>
  <c r="AS66" i="5"/>
  <c r="AS67" i="5"/>
  <c r="AS68" i="5"/>
  <c r="AS69" i="5"/>
  <c r="AS70" i="5"/>
  <c r="AS71" i="5"/>
  <c r="AS72" i="5"/>
  <c r="AS73" i="5"/>
  <c r="AS74" i="5"/>
  <c r="AS75" i="5"/>
  <c r="AS76" i="5"/>
  <c r="AS77" i="5"/>
  <c r="AS78" i="5"/>
  <c r="AS79" i="5"/>
  <c r="AS80" i="5"/>
  <c r="AS81" i="5"/>
  <c r="AS82" i="5"/>
  <c r="AS83" i="5"/>
  <c r="AS84" i="5"/>
  <c r="AS85" i="5"/>
  <c r="AS86" i="5"/>
  <c r="AS87" i="5"/>
  <c r="AS88" i="5"/>
  <c r="AS89" i="5"/>
  <c r="AS90" i="5"/>
  <c r="AS91" i="5"/>
  <c r="AS92" i="5"/>
  <c r="AS93" i="5"/>
  <c r="AS94" i="5"/>
  <c r="AS95" i="5"/>
  <c r="AS96" i="5"/>
  <c r="AS97" i="5"/>
  <c r="AS98" i="5"/>
  <c r="AS99" i="5"/>
  <c r="AS100" i="5"/>
  <c r="AS101" i="5"/>
  <c r="AS102" i="5"/>
  <c r="AS103" i="5"/>
  <c r="AS104" i="5"/>
  <c r="AS105" i="5"/>
  <c r="AS106" i="5"/>
  <c r="AS107" i="5"/>
  <c r="AS108" i="5"/>
  <c r="AS109" i="5"/>
  <c r="AS110" i="5"/>
  <c r="AS111" i="5"/>
  <c r="AS112" i="5"/>
  <c r="AS113" i="5"/>
  <c r="AS114" i="5"/>
  <c r="AS115" i="5"/>
  <c r="AS116" i="5"/>
  <c r="AS117" i="5"/>
  <c r="AS118" i="5"/>
  <c r="AS119" i="5"/>
  <c r="AS120" i="5"/>
  <c r="AS121" i="5"/>
  <c r="AS122" i="5"/>
  <c r="AS123" i="5"/>
  <c r="AS124" i="5"/>
  <c r="AS125" i="5"/>
  <c r="AS126" i="5"/>
  <c r="AS127" i="5"/>
  <c r="AS128" i="5"/>
  <c r="AS129" i="5"/>
  <c r="AS130" i="5"/>
  <c r="AS131" i="5"/>
  <c r="AS132" i="5"/>
  <c r="AS133" i="5"/>
  <c r="AS134" i="5"/>
  <c r="AS135" i="5"/>
  <c r="AS136" i="5"/>
  <c r="AS137" i="5"/>
  <c r="AS138" i="5"/>
  <c r="AS139" i="5"/>
  <c r="AS140" i="5"/>
  <c r="AS141" i="5"/>
  <c r="AS142" i="5"/>
  <c r="AS143" i="5"/>
  <c r="AS144" i="5"/>
  <c r="AS4" i="5"/>
  <c r="AR5" i="5"/>
  <c r="AR6" i="5"/>
  <c r="AR7" i="5"/>
  <c r="AR8" i="5"/>
  <c r="AR9" i="5"/>
  <c r="AR10" i="5"/>
  <c r="AR11" i="5"/>
  <c r="AR12" i="5"/>
  <c r="AR13" i="5"/>
  <c r="AR14" i="5"/>
  <c r="AR15" i="5"/>
  <c r="AR16" i="5"/>
  <c r="AR18" i="5"/>
  <c r="AR19" i="5"/>
  <c r="AR20" i="5"/>
  <c r="AR21" i="5"/>
  <c r="AR22" i="5"/>
  <c r="AR23" i="5"/>
  <c r="AR24" i="5"/>
  <c r="AR25" i="5"/>
  <c r="AR26" i="5"/>
  <c r="AR27" i="5"/>
  <c r="AR28" i="5"/>
  <c r="AR29" i="5"/>
  <c r="AR30" i="5"/>
  <c r="AR31" i="5"/>
  <c r="AR32" i="5"/>
  <c r="AR33" i="5"/>
  <c r="AR34" i="5"/>
  <c r="AR35" i="5"/>
  <c r="AR36" i="5"/>
  <c r="AR37" i="5"/>
  <c r="AR38" i="5"/>
  <c r="AR39" i="5"/>
  <c r="AR40" i="5"/>
  <c r="AR41" i="5"/>
  <c r="AR42" i="5"/>
  <c r="AR43" i="5"/>
  <c r="AR44" i="5"/>
  <c r="AR45" i="5"/>
  <c r="AR46" i="5"/>
  <c r="AR47" i="5"/>
  <c r="AR48" i="5"/>
  <c r="AR49" i="5"/>
  <c r="AR50" i="5"/>
  <c r="AR51" i="5"/>
  <c r="AR52" i="5"/>
  <c r="AR53" i="5"/>
  <c r="AR54" i="5"/>
  <c r="AR55" i="5"/>
  <c r="AR56" i="5"/>
  <c r="AR57" i="5"/>
  <c r="AR58" i="5"/>
  <c r="AR59" i="5"/>
  <c r="AR60" i="5"/>
  <c r="AR61" i="5"/>
  <c r="AR62" i="5"/>
  <c r="AR63" i="5"/>
  <c r="AR64" i="5"/>
  <c r="AR65" i="5"/>
  <c r="AR66" i="5"/>
  <c r="AR67" i="5"/>
  <c r="AR68" i="5"/>
  <c r="AR69" i="5"/>
  <c r="AR70" i="5"/>
  <c r="AR71" i="5"/>
  <c r="AR72" i="5"/>
  <c r="AR73" i="5"/>
  <c r="AR74" i="5"/>
  <c r="AR75" i="5"/>
  <c r="AR76" i="5"/>
  <c r="AR77" i="5"/>
  <c r="AR78" i="5"/>
  <c r="AR79" i="5"/>
  <c r="AR80" i="5"/>
  <c r="AR81" i="5"/>
  <c r="AR82" i="5"/>
  <c r="AR83" i="5"/>
  <c r="AR84" i="5"/>
  <c r="AR85" i="5"/>
  <c r="AR86" i="5"/>
  <c r="AR87" i="5"/>
  <c r="AR88" i="5"/>
  <c r="AR89" i="5"/>
  <c r="AR90" i="5"/>
  <c r="AR91" i="5"/>
  <c r="AR92" i="5"/>
  <c r="AR93" i="5"/>
  <c r="AR94" i="5"/>
  <c r="AR95" i="5"/>
  <c r="AR96" i="5"/>
  <c r="AR97" i="5"/>
  <c r="AR98" i="5"/>
  <c r="AR99" i="5"/>
  <c r="AR100" i="5"/>
  <c r="AR101" i="5"/>
  <c r="AR102" i="5"/>
  <c r="AR103" i="5"/>
  <c r="AR104" i="5"/>
  <c r="AR105" i="5"/>
  <c r="AR106" i="5"/>
  <c r="AR107" i="5"/>
  <c r="AR108" i="5"/>
  <c r="AR109" i="5"/>
  <c r="AR110" i="5"/>
  <c r="AR111" i="5"/>
  <c r="AR112" i="5"/>
  <c r="AR113" i="5"/>
  <c r="AR114" i="5"/>
  <c r="AR115" i="5"/>
  <c r="AR116" i="5"/>
  <c r="AR117" i="5"/>
  <c r="AR118" i="5"/>
  <c r="AR119" i="5"/>
  <c r="AR120" i="5"/>
  <c r="AR121" i="5"/>
  <c r="AR122" i="5"/>
  <c r="AR123" i="5"/>
  <c r="AR124" i="5"/>
  <c r="AR125" i="5"/>
  <c r="AR126" i="5"/>
  <c r="AR127" i="5"/>
  <c r="AR128" i="5"/>
  <c r="AR129" i="5"/>
  <c r="AR130" i="5"/>
  <c r="AR131" i="5"/>
  <c r="AR132" i="5"/>
  <c r="AR133" i="5"/>
  <c r="AR134" i="5"/>
  <c r="AR135" i="5"/>
  <c r="AR136" i="5"/>
  <c r="AR137" i="5"/>
  <c r="AR138" i="5"/>
  <c r="AR139" i="5"/>
  <c r="AR140" i="5"/>
  <c r="AR141" i="5"/>
  <c r="AR142" i="5"/>
  <c r="AR143" i="5"/>
  <c r="AR144" i="5"/>
  <c r="AR4" i="5"/>
  <c r="AQ5" i="5"/>
  <c r="AQ6" i="5"/>
  <c r="AQ7" i="5"/>
  <c r="AQ8" i="5"/>
  <c r="AQ9" i="5"/>
  <c r="AQ10" i="5"/>
  <c r="AQ11" i="5"/>
  <c r="AQ12" i="5"/>
  <c r="AQ13" i="5"/>
  <c r="AQ14" i="5"/>
  <c r="AQ15" i="5"/>
  <c r="AQ16" i="5"/>
  <c r="AQ18" i="5"/>
  <c r="AQ19" i="5"/>
  <c r="AQ20" i="5"/>
  <c r="AQ21" i="5"/>
  <c r="AQ22" i="5"/>
  <c r="AQ23" i="5"/>
  <c r="AQ24" i="5"/>
  <c r="AQ25" i="5"/>
  <c r="AQ26" i="5"/>
  <c r="AQ27" i="5"/>
  <c r="AQ28" i="5"/>
  <c r="AQ29" i="5"/>
  <c r="AQ30" i="5"/>
  <c r="AQ31" i="5"/>
  <c r="AQ32" i="5"/>
  <c r="AQ33" i="5"/>
  <c r="AQ34" i="5"/>
  <c r="AQ35" i="5"/>
  <c r="AQ36" i="5"/>
  <c r="AQ37" i="5"/>
  <c r="AQ38" i="5"/>
  <c r="AQ39" i="5"/>
  <c r="AQ40" i="5"/>
  <c r="AQ41" i="5"/>
  <c r="AQ42" i="5"/>
  <c r="AQ43" i="5"/>
  <c r="AQ44" i="5"/>
  <c r="AQ45" i="5"/>
  <c r="AQ46" i="5"/>
  <c r="AQ47" i="5"/>
  <c r="AQ48" i="5"/>
  <c r="AQ49" i="5"/>
  <c r="AQ50" i="5"/>
  <c r="AQ51" i="5"/>
  <c r="AQ52" i="5"/>
  <c r="AQ53" i="5"/>
  <c r="AQ54" i="5"/>
  <c r="AQ55" i="5"/>
  <c r="AQ56" i="5"/>
  <c r="AQ57" i="5"/>
  <c r="AQ58" i="5"/>
  <c r="AQ59" i="5"/>
  <c r="AQ60" i="5"/>
  <c r="AQ61" i="5"/>
  <c r="AQ62" i="5"/>
  <c r="AQ63" i="5"/>
  <c r="AQ64" i="5"/>
  <c r="AQ65" i="5"/>
  <c r="AQ66" i="5"/>
  <c r="AQ67" i="5"/>
  <c r="AQ68" i="5"/>
  <c r="AQ69" i="5"/>
  <c r="AQ70" i="5"/>
  <c r="AQ71" i="5"/>
  <c r="AQ72" i="5"/>
  <c r="AQ73" i="5"/>
  <c r="AQ74" i="5"/>
  <c r="AQ75" i="5"/>
  <c r="AQ76" i="5"/>
  <c r="AQ77" i="5"/>
  <c r="AQ78" i="5"/>
  <c r="AQ79" i="5"/>
  <c r="AQ80" i="5"/>
  <c r="AQ81" i="5"/>
  <c r="AQ82" i="5"/>
  <c r="AQ83" i="5"/>
  <c r="AQ84" i="5"/>
  <c r="AQ85" i="5"/>
  <c r="AQ86" i="5"/>
  <c r="AQ87" i="5"/>
  <c r="AQ88" i="5"/>
  <c r="AQ89" i="5"/>
  <c r="AQ90" i="5"/>
  <c r="AQ91" i="5"/>
  <c r="AQ92" i="5"/>
  <c r="AQ93" i="5"/>
  <c r="AQ94" i="5"/>
  <c r="AQ95" i="5"/>
  <c r="AQ96" i="5"/>
  <c r="AQ97" i="5"/>
  <c r="AQ98" i="5"/>
  <c r="AQ99" i="5"/>
  <c r="AQ100" i="5"/>
  <c r="AQ101" i="5"/>
  <c r="AQ102" i="5"/>
  <c r="AQ103" i="5"/>
  <c r="AQ104" i="5"/>
  <c r="AQ105" i="5"/>
  <c r="AQ106" i="5"/>
  <c r="AQ107" i="5"/>
  <c r="AQ108" i="5"/>
  <c r="AQ109" i="5"/>
  <c r="AQ110" i="5"/>
  <c r="AQ111" i="5"/>
  <c r="AQ112" i="5"/>
  <c r="AQ113" i="5"/>
  <c r="AQ114" i="5"/>
  <c r="AQ115" i="5"/>
  <c r="AQ116" i="5"/>
  <c r="AQ117" i="5"/>
  <c r="AQ118" i="5"/>
  <c r="AQ119" i="5"/>
  <c r="AQ120" i="5"/>
  <c r="AQ121" i="5"/>
  <c r="AQ122" i="5"/>
  <c r="AQ123" i="5"/>
  <c r="AQ124" i="5"/>
  <c r="AQ125" i="5"/>
  <c r="AQ126" i="5"/>
  <c r="AQ127" i="5"/>
  <c r="AQ128" i="5"/>
  <c r="AQ129" i="5"/>
  <c r="AQ130" i="5"/>
  <c r="AQ131" i="5"/>
  <c r="AQ132" i="5"/>
  <c r="AQ133" i="5"/>
  <c r="AQ134" i="5"/>
  <c r="AQ135" i="5"/>
  <c r="AQ136" i="5"/>
  <c r="AQ137" i="5"/>
  <c r="AQ138" i="5"/>
  <c r="AQ139" i="5"/>
  <c r="AQ140" i="5"/>
  <c r="AQ141" i="5"/>
  <c r="AQ142" i="5"/>
  <c r="AQ143" i="5"/>
  <c r="AQ144" i="5"/>
  <c r="AQ4" i="5"/>
  <c r="O5" i="5"/>
  <c r="O6" i="5"/>
  <c r="O7" i="5"/>
  <c r="O8" i="5"/>
  <c r="O9" i="5"/>
  <c r="O10" i="5"/>
  <c r="O11" i="5"/>
  <c r="O12" i="5"/>
  <c r="O13" i="5"/>
  <c r="O14" i="5"/>
  <c r="O15" i="5"/>
  <c r="O16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32" i="5"/>
  <c r="O33" i="5"/>
  <c r="O34" i="5"/>
  <c r="O35" i="5"/>
  <c r="O36" i="5"/>
  <c r="O37" i="5"/>
  <c r="O38" i="5"/>
  <c r="O39" i="5"/>
  <c r="O40" i="5"/>
  <c r="O41" i="5"/>
  <c r="O42" i="5"/>
  <c r="O43" i="5"/>
  <c r="O44" i="5"/>
  <c r="O45" i="5"/>
  <c r="O46" i="5"/>
  <c r="O47" i="5"/>
  <c r="O48" i="5"/>
  <c r="O49" i="5"/>
  <c r="O50" i="5"/>
  <c r="O51" i="5"/>
  <c r="O52" i="5"/>
  <c r="O53" i="5"/>
  <c r="O54" i="5"/>
  <c r="O55" i="5"/>
  <c r="O56" i="5"/>
  <c r="O57" i="5"/>
  <c r="O58" i="5"/>
  <c r="O59" i="5"/>
  <c r="O60" i="5"/>
  <c r="O61" i="5"/>
  <c r="O62" i="5"/>
  <c r="O63" i="5"/>
  <c r="O64" i="5"/>
  <c r="O65" i="5"/>
  <c r="O66" i="5"/>
  <c r="O67" i="5"/>
  <c r="O68" i="5"/>
  <c r="O69" i="5"/>
  <c r="O70" i="5"/>
  <c r="O71" i="5"/>
  <c r="O72" i="5"/>
  <c r="O73" i="5"/>
  <c r="O74" i="5"/>
  <c r="O75" i="5"/>
  <c r="O76" i="5"/>
  <c r="O77" i="5"/>
  <c r="O78" i="5"/>
  <c r="O79" i="5"/>
  <c r="O80" i="5"/>
  <c r="O81" i="5"/>
  <c r="O82" i="5"/>
  <c r="O83" i="5"/>
  <c r="O84" i="5"/>
  <c r="O85" i="5"/>
  <c r="O86" i="5"/>
  <c r="O87" i="5"/>
  <c r="O88" i="5"/>
  <c r="O89" i="5"/>
  <c r="O90" i="5"/>
  <c r="O91" i="5"/>
  <c r="O92" i="5"/>
  <c r="O93" i="5"/>
  <c r="O94" i="5"/>
  <c r="O95" i="5"/>
  <c r="O96" i="5"/>
  <c r="O97" i="5"/>
  <c r="O98" i="5"/>
  <c r="O99" i="5"/>
  <c r="O100" i="5"/>
  <c r="O101" i="5"/>
  <c r="O102" i="5"/>
  <c r="O103" i="5"/>
  <c r="O104" i="5"/>
  <c r="O105" i="5"/>
  <c r="O106" i="5"/>
  <c r="O107" i="5"/>
  <c r="O108" i="5"/>
  <c r="O109" i="5"/>
  <c r="O110" i="5"/>
  <c r="O111" i="5"/>
  <c r="O112" i="5"/>
  <c r="O113" i="5"/>
  <c r="O114" i="5"/>
  <c r="O115" i="5"/>
  <c r="O116" i="5"/>
  <c r="O117" i="5"/>
  <c r="O118" i="5"/>
  <c r="O119" i="5"/>
  <c r="O120" i="5"/>
  <c r="O121" i="5"/>
  <c r="O122" i="5"/>
  <c r="O123" i="5"/>
  <c r="O124" i="5"/>
  <c r="O125" i="5"/>
  <c r="O126" i="5"/>
  <c r="O127" i="5"/>
  <c r="O128" i="5"/>
  <c r="O129" i="5"/>
  <c r="O130" i="5"/>
  <c r="O131" i="5"/>
  <c r="O132" i="5"/>
  <c r="O133" i="5"/>
  <c r="O134" i="5"/>
  <c r="O135" i="5"/>
  <c r="O136" i="5"/>
  <c r="O137" i="5"/>
  <c r="O138" i="5"/>
  <c r="O139" i="5"/>
  <c r="O140" i="5"/>
  <c r="O141" i="5"/>
  <c r="O142" i="5"/>
  <c r="O143" i="5"/>
  <c r="O144" i="5"/>
  <c r="O4" i="5"/>
  <c r="N5" i="5"/>
  <c r="N6" i="5"/>
  <c r="N7" i="5"/>
  <c r="N8" i="5"/>
  <c r="N9" i="5"/>
  <c r="N10" i="5"/>
  <c r="N11" i="5"/>
  <c r="N12" i="5"/>
  <c r="N13" i="5"/>
  <c r="N14" i="5"/>
  <c r="N15" i="5"/>
  <c r="N16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32" i="5"/>
  <c r="N33" i="5"/>
  <c r="N34" i="5"/>
  <c r="N35" i="5"/>
  <c r="N36" i="5"/>
  <c r="N37" i="5"/>
  <c r="N38" i="5"/>
  <c r="N39" i="5"/>
  <c r="N40" i="5"/>
  <c r="N41" i="5"/>
  <c r="N42" i="5"/>
  <c r="N43" i="5"/>
  <c r="N44" i="5"/>
  <c r="N45" i="5"/>
  <c r="N46" i="5"/>
  <c r="N47" i="5"/>
  <c r="N48" i="5"/>
  <c r="N49" i="5"/>
  <c r="N50" i="5"/>
  <c r="N51" i="5"/>
  <c r="N52" i="5"/>
  <c r="N53" i="5"/>
  <c r="N54" i="5"/>
  <c r="N55" i="5"/>
  <c r="N56" i="5"/>
  <c r="N57" i="5"/>
  <c r="N58" i="5"/>
  <c r="N59" i="5"/>
  <c r="N60" i="5"/>
  <c r="N61" i="5"/>
  <c r="N62" i="5"/>
  <c r="N63" i="5"/>
  <c r="N64" i="5"/>
  <c r="N65" i="5"/>
  <c r="N66" i="5"/>
  <c r="N67" i="5"/>
  <c r="N68" i="5"/>
  <c r="N69" i="5"/>
  <c r="N70" i="5"/>
  <c r="N71" i="5"/>
  <c r="N72" i="5"/>
  <c r="N73" i="5"/>
  <c r="N74" i="5"/>
  <c r="N75" i="5"/>
  <c r="N76" i="5"/>
  <c r="N77" i="5"/>
  <c r="N78" i="5"/>
  <c r="N79" i="5"/>
  <c r="N80" i="5"/>
  <c r="N81" i="5"/>
  <c r="N82" i="5"/>
  <c r="N83" i="5"/>
  <c r="N84" i="5"/>
  <c r="N85" i="5"/>
  <c r="N86" i="5"/>
  <c r="N87" i="5"/>
  <c r="N88" i="5"/>
  <c r="N89" i="5"/>
  <c r="N90" i="5"/>
  <c r="N91" i="5"/>
  <c r="N92" i="5"/>
  <c r="N93" i="5"/>
  <c r="N94" i="5"/>
  <c r="N95" i="5"/>
  <c r="N96" i="5"/>
  <c r="N97" i="5"/>
  <c r="N98" i="5"/>
  <c r="N99" i="5"/>
  <c r="N100" i="5"/>
  <c r="N101" i="5"/>
  <c r="N102" i="5"/>
  <c r="N103" i="5"/>
  <c r="N104" i="5"/>
  <c r="N105" i="5"/>
  <c r="N106" i="5"/>
  <c r="N107" i="5"/>
  <c r="N108" i="5"/>
  <c r="N109" i="5"/>
  <c r="N110" i="5"/>
  <c r="N111" i="5"/>
  <c r="N112" i="5"/>
  <c r="N113" i="5"/>
  <c r="N114" i="5"/>
  <c r="N115" i="5"/>
  <c r="N116" i="5"/>
  <c r="N117" i="5"/>
  <c r="N118" i="5"/>
  <c r="N119" i="5"/>
  <c r="N120" i="5"/>
  <c r="N121" i="5"/>
  <c r="N122" i="5"/>
  <c r="N123" i="5"/>
  <c r="N124" i="5"/>
  <c r="N125" i="5"/>
  <c r="N126" i="5"/>
  <c r="N127" i="5"/>
  <c r="N128" i="5"/>
  <c r="N129" i="5"/>
  <c r="N130" i="5"/>
  <c r="N131" i="5"/>
  <c r="N132" i="5"/>
  <c r="N133" i="5"/>
  <c r="N134" i="5"/>
  <c r="N135" i="5"/>
  <c r="N136" i="5"/>
  <c r="N137" i="5"/>
  <c r="N138" i="5"/>
  <c r="N139" i="5"/>
  <c r="N140" i="5"/>
  <c r="N141" i="5"/>
  <c r="N142" i="5"/>
  <c r="N143" i="5"/>
  <c r="N144" i="5"/>
  <c r="N4" i="5"/>
  <c r="AN118" i="5"/>
  <c r="K118" i="5" s="1"/>
  <c r="M118" i="5"/>
  <c r="AN117" i="5"/>
  <c r="K117" i="5" s="1"/>
  <c r="M117" i="5"/>
  <c r="AN116" i="5"/>
  <c r="K116" i="5" s="1"/>
  <c r="M116" i="5"/>
  <c r="AN115" i="5"/>
  <c r="K115" i="5" s="1"/>
  <c r="M115" i="5"/>
  <c r="M5" i="5"/>
  <c r="M6" i="5"/>
  <c r="M7" i="5"/>
  <c r="M8" i="5"/>
  <c r="M9" i="5"/>
  <c r="M10" i="5"/>
  <c r="M11" i="5"/>
  <c r="M12" i="5"/>
  <c r="M13" i="5"/>
  <c r="M14" i="5"/>
  <c r="M15" i="5"/>
  <c r="M16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M95" i="5"/>
  <c r="M96" i="5"/>
  <c r="M97" i="5"/>
  <c r="M98" i="5"/>
  <c r="M99" i="5"/>
  <c r="M100" i="5"/>
  <c r="M101" i="5"/>
  <c r="M102" i="5"/>
  <c r="M103" i="5"/>
  <c r="M104" i="5"/>
  <c r="M105" i="5"/>
  <c r="M106" i="5"/>
  <c r="M107" i="5"/>
  <c r="M108" i="5"/>
  <c r="M109" i="5"/>
  <c r="M110" i="5"/>
  <c r="M111" i="5"/>
  <c r="M112" i="5"/>
  <c r="M113" i="5"/>
  <c r="M114" i="5"/>
  <c r="M119" i="5"/>
  <c r="M120" i="5"/>
  <c r="M121" i="5"/>
  <c r="M122" i="5"/>
  <c r="M123" i="5"/>
  <c r="M124" i="5"/>
  <c r="M125" i="5"/>
  <c r="M126" i="5"/>
  <c r="M127" i="5"/>
  <c r="M128" i="5"/>
  <c r="M129" i="5"/>
  <c r="M130" i="5"/>
  <c r="M131" i="5"/>
  <c r="M132" i="5"/>
  <c r="M133" i="5"/>
  <c r="M134" i="5"/>
  <c r="M135" i="5"/>
  <c r="M136" i="5"/>
  <c r="M137" i="5"/>
  <c r="M138" i="5"/>
  <c r="M139" i="5"/>
  <c r="M140" i="5"/>
  <c r="M141" i="5"/>
  <c r="M142" i="5"/>
  <c r="M143" i="5"/>
  <c r="M144" i="5"/>
  <c r="M4" i="5"/>
  <c r="G5" i="28"/>
  <c r="AN113" i="5"/>
  <c r="K113" i="5" s="1"/>
  <c r="AN112" i="5"/>
  <c r="K112" i="5" s="1"/>
  <c r="G5" i="27"/>
  <c r="AN111" i="5"/>
  <c r="K111" i="5" s="1"/>
  <c r="AN110" i="5"/>
  <c r="K110" i="5" s="1"/>
  <c r="AN109" i="5"/>
  <c r="K109" i="5" s="1"/>
  <c r="AN108" i="5"/>
  <c r="K108" i="5" s="1"/>
  <c r="AN107" i="5"/>
  <c r="K107" i="5" s="1"/>
  <c r="BC153" i="5" l="1"/>
  <c r="I153" i="5" s="1"/>
  <c r="Y153" i="5"/>
  <c r="J153" i="5" s="1"/>
  <c r="L153" i="5" s="1"/>
  <c r="Y17" i="5"/>
  <c r="J17" i="5" s="1"/>
  <c r="L17" i="5" s="1"/>
  <c r="BC17" i="5"/>
  <c r="I17" i="5" s="1"/>
  <c r="Y148" i="5"/>
  <c r="J148" i="5" s="1"/>
  <c r="L148" i="5" s="1"/>
  <c r="BC150" i="5"/>
  <c r="I150" i="5" s="1"/>
  <c r="BC152" i="5"/>
  <c r="I152" i="5" s="1"/>
  <c r="Y151" i="5"/>
  <c r="J151" i="5" s="1"/>
  <c r="L151" i="5" s="1"/>
  <c r="Y152" i="5"/>
  <c r="J152" i="5" s="1"/>
  <c r="L152" i="5" s="1"/>
  <c r="BC151" i="5"/>
  <c r="I151" i="5" s="1"/>
  <c r="Y150" i="5"/>
  <c r="J150" i="5" s="1"/>
  <c r="L150" i="5" s="1"/>
  <c r="BC145" i="5"/>
  <c r="I145" i="5" s="1"/>
  <c r="BC149" i="5"/>
  <c r="I149" i="5" s="1"/>
  <c r="Y147" i="5"/>
  <c r="J147" i="5" s="1"/>
  <c r="L147" i="5" s="1"/>
  <c r="BC146" i="5"/>
  <c r="I146" i="5" s="1"/>
  <c r="Y145" i="5"/>
  <c r="J145" i="5" s="1"/>
  <c r="L145" i="5" s="1"/>
  <c r="Y149" i="5"/>
  <c r="J149" i="5" s="1"/>
  <c r="L149" i="5" s="1"/>
  <c r="BC148" i="5"/>
  <c r="I148" i="5" s="1"/>
  <c r="Y146" i="5"/>
  <c r="J146" i="5" s="1"/>
  <c r="L146" i="5" s="1"/>
  <c r="BC147" i="5"/>
  <c r="I147" i="5" s="1"/>
  <c r="BC90" i="5"/>
  <c r="I90" i="5" s="1"/>
  <c r="BC74" i="5"/>
  <c r="I74" i="5" s="1"/>
  <c r="BC106" i="5"/>
  <c r="I106" i="5" s="1"/>
  <c r="BC120" i="5"/>
  <c r="I120" i="5" s="1"/>
  <c r="BC31" i="5"/>
  <c r="I31" i="5" s="1"/>
  <c r="BC29" i="5"/>
  <c r="I29" i="5" s="1"/>
  <c r="BC43" i="5"/>
  <c r="I43" i="5" s="1"/>
  <c r="BC41" i="5"/>
  <c r="I41" i="5" s="1"/>
  <c r="BC138" i="5"/>
  <c r="I138" i="5" s="1"/>
  <c r="BC136" i="5"/>
  <c r="I136" i="5" s="1"/>
  <c r="BC88" i="5"/>
  <c r="I88" i="5" s="1"/>
  <c r="BC121" i="5"/>
  <c r="I121" i="5" s="1"/>
  <c r="BC58" i="5"/>
  <c r="I58" i="5" s="1"/>
  <c r="BC39" i="5"/>
  <c r="I39" i="5" s="1"/>
  <c r="BC122" i="5"/>
  <c r="I122" i="5" s="1"/>
  <c r="BC49" i="5"/>
  <c r="I49" i="5" s="1"/>
  <c r="BC72" i="5"/>
  <c r="I72" i="5" s="1"/>
  <c r="BC14" i="5"/>
  <c r="I14" i="5" s="1"/>
  <c r="BC105" i="5"/>
  <c r="I105" i="5" s="1"/>
  <c r="BC57" i="5"/>
  <c r="I57" i="5" s="1"/>
  <c r="BC104" i="5"/>
  <c r="I104" i="5" s="1"/>
  <c r="BC56" i="5"/>
  <c r="I56" i="5" s="1"/>
  <c r="BC112" i="5"/>
  <c r="I112" i="5" s="1"/>
  <c r="BC89" i="5"/>
  <c r="I89" i="5" s="1"/>
  <c r="BC6" i="5"/>
  <c r="I6" i="5" s="1"/>
  <c r="BC144" i="5"/>
  <c r="I144" i="5" s="1"/>
  <c r="BC113" i="5"/>
  <c r="I113" i="5" s="1"/>
  <c r="BC103" i="5"/>
  <c r="I103" i="5" s="1"/>
  <c r="BC140" i="5"/>
  <c r="I140" i="5" s="1"/>
  <c r="BC132" i="5"/>
  <c r="I132" i="5" s="1"/>
  <c r="BC124" i="5"/>
  <c r="I124" i="5" s="1"/>
  <c r="BC116" i="5"/>
  <c r="I116" i="5" s="1"/>
  <c r="BC108" i="5"/>
  <c r="I108" i="5" s="1"/>
  <c r="BC100" i="5"/>
  <c r="I100" i="5" s="1"/>
  <c r="BC92" i="5"/>
  <c r="I92" i="5" s="1"/>
  <c r="BC84" i="5"/>
  <c r="I84" i="5" s="1"/>
  <c r="BC76" i="5"/>
  <c r="I76" i="5" s="1"/>
  <c r="BC68" i="5"/>
  <c r="I68" i="5" s="1"/>
  <c r="BC60" i="5"/>
  <c r="I60" i="5" s="1"/>
  <c r="BC73" i="5"/>
  <c r="I73" i="5" s="1"/>
  <c r="BC8" i="5"/>
  <c r="I8" i="5" s="1"/>
  <c r="BC16" i="5"/>
  <c r="I16" i="5" s="1"/>
  <c r="BC135" i="5"/>
  <c r="I135" i="5" s="1"/>
  <c r="BC81" i="5"/>
  <c r="I81" i="5" s="1"/>
  <c r="BC71" i="5"/>
  <c r="I71" i="5" s="1"/>
  <c r="BC119" i="5"/>
  <c r="I119" i="5" s="1"/>
  <c r="BC65" i="5"/>
  <c r="I65" i="5" s="1"/>
  <c r="BC55" i="5"/>
  <c r="I55" i="5" s="1"/>
  <c r="BC128" i="5"/>
  <c r="I128" i="5" s="1"/>
  <c r="BC64" i="5"/>
  <c r="I64" i="5" s="1"/>
  <c r="BC139" i="5"/>
  <c r="I139" i="5" s="1"/>
  <c r="BC131" i="5"/>
  <c r="I131" i="5" s="1"/>
  <c r="BC123" i="5"/>
  <c r="I123" i="5" s="1"/>
  <c r="BC115" i="5"/>
  <c r="I115" i="5" s="1"/>
  <c r="BC107" i="5"/>
  <c r="I107" i="5" s="1"/>
  <c r="BC99" i="5"/>
  <c r="I99" i="5" s="1"/>
  <c r="BC91" i="5"/>
  <c r="I91" i="5" s="1"/>
  <c r="BC83" i="5"/>
  <c r="I83" i="5" s="1"/>
  <c r="BC75" i="5"/>
  <c r="I75" i="5" s="1"/>
  <c r="BC67" i="5"/>
  <c r="I67" i="5" s="1"/>
  <c r="BC59" i="5"/>
  <c r="I59" i="5" s="1"/>
  <c r="BC51" i="5"/>
  <c r="I51" i="5" s="1"/>
  <c r="BC19" i="5"/>
  <c r="I19" i="5" s="1"/>
  <c r="BC10" i="5"/>
  <c r="I10" i="5" s="1"/>
  <c r="BC137" i="5"/>
  <c r="I137" i="5" s="1"/>
  <c r="BC25" i="5"/>
  <c r="I25" i="5" s="1"/>
  <c r="BC96" i="5"/>
  <c r="I96" i="5" s="1"/>
  <c r="BC129" i="5"/>
  <c r="I129" i="5" s="1"/>
  <c r="BC80" i="5"/>
  <c r="I80" i="5" s="1"/>
  <c r="BC47" i="5"/>
  <c r="I47" i="5" s="1"/>
  <c r="BC97" i="5"/>
  <c r="I97" i="5" s="1"/>
  <c r="BC87" i="5"/>
  <c r="I87" i="5" s="1"/>
  <c r="BC130" i="5"/>
  <c r="I130" i="5" s="1"/>
  <c r="BC114" i="5"/>
  <c r="I114" i="5" s="1"/>
  <c r="BC98" i="5"/>
  <c r="I98" i="5" s="1"/>
  <c r="BC82" i="5"/>
  <c r="I82" i="5" s="1"/>
  <c r="BC66" i="5"/>
  <c r="I66" i="5" s="1"/>
  <c r="BC102" i="5"/>
  <c r="I102" i="5" s="1"/>
  <c r="BC143" i="5"/>
  <c r="I143" i="5" s="1"/>
  <c r="BC79" i="5"/>
  <c r="I79" i="5" s="1"/>
  <c r="BC33" i="5"/>
  <c r="I33" i="5" s="1"/>
  <c r="BC118" i="5"/>
  <c r="I118" i="5" s="1"/>
  <c r="BC127" i="5"/>
  <c r="I127" i="5" s="1"/>
  <c r="BC63" i="5"/>
  <c r="I63" i="5" s="1"/>
  <c r="BC142" i="5"/>
  <c r="I142" i="5" s="1"/>
  <c r="BC126" i="5"/>
  <c r="I126" i="5" s="1"/>
  <c r="BC110" i="5"/>
  <c r="I110" i="5" s="1"/>
  <c r="BC94" i="5"/>
  <c r="I94" i="5" s="1"/>
  <c r="BC78" i="5"/>
  <c r="I78" i="5" s="1"/>
  <c r="BC62" i="5"/>
  <c r="I62" i="5" s="1"/>
  <c r="BC134" i="5"/>
  <c r="I134" i="5" s="1"/>
  <c r="BC86" i="5"/>
  <c r="I86" i="5" s="1"/>
  <c r="BC35" i="5"/>
  <c r="I35" i="5" s="1"/>
  <c r="BC95" i="5"/>
  <c r="I95" i="5" s="1"/>
  <c r="BC70" i="5"/>
  <c r="I70" i="5" s="1"/>
  <c r="BC27" i="5"/>
  <c r="I27" i="5" s="1"/>
  <c r="BC111" i="5"/>
  <c r="I111" i="5" s="1"/>
  <c r="BC23" i="5"/>
  <c r="I23" i="5" s="1"/>
  <c r="BC141" i="5"/>
  <c r="I141" i="5" s="1"/>
  <c r="BC133" i="5"/>
  <c r="I133" i="5" s="1"/>
  <c r="BC125" i="5"/>
  <c r="I125" i="5" s="1"/>
  <c r="BC117" i="5"/>
  <c r="I117" i="5" s="1"/>
  <c r="BC109" i="5"/>
  <c r="I109" i="5" s="1"/>
  <c r="BC101" i="5"/>
  <c r="I101" i="5" s="1"/>
  <c r="BC93" i="5"/>
  <c r="I93" i="5" s="1"/>
  <c r="BC85" i="5"/>
  <c r="I85" i="5" s="1"/>
  <c r="BC77" i="5"/>
  <c r="I77" i="5" s="1"/>
  <c r="BC69" i="5"/>
  <c r="I69" i="5" s="1"/>
  <c r="BC61" i="5"/>
  <c r="I61" i="5" s="1"/>
  <c r="BC53" i="5"/>
  <c r="I53" i="5" s="1"/>
  <c r="BC45" i="5"/>
  <c r="I45" i="5" s="1"/>
  <c r="BC37" i="5"/>
  <c r="I37" i="5" s="1"/>
  <c r="BC21" i="5"/>
  <c r="I21" i="5" s="1"/>
  <c r="BC12" i="5"/>
  <c r="I12" i="5" s="1"/>
  <c r="BC4" i="5"/>
  <c r="I4" i="5" s="1"/>
  <c r="BC5" i="5"/>
  <c r="I5" i="5" s="1"/>
  <c r="BC7" i="5"/>
  <c r="I7" i="5" s="1"/>
  <c r="BC9" i="5"/>
  <c r="I9" i="5" s="1"/>
  <c r="BC13" i="5"/>
  <c r="I13" i="5" s="1"/>
  <c r="BC15" i="5"/>
  <c r="I15" i="5" s="1"/>
  <c r="BC18" i="5"/>
  <c r="I18" i="5" s="1"/>
  <c r="BC22" i="5"/>
  <c r="I22" i="5" s="1"/>
  <c r="BC24" i="5"/>
  <c r="I24" i="5" s="1"/>
  <c r="BC26" i="5"/>
  <c r="I26" i="5" s="1"/>
  <c r="BC30" i="5"/>
  <c r="I30" i="5" s="1"/>
  <c r="BC32" i="5"/>
  <c r="I32" i="5" s="1"/>
  <c r="BC34" i="5"/>
  <c r="I34" i="5" s="1"/>
  <c r="BC38" i="5"/>
  <c r="I38" i="5" s="1"/>
  <c r="BC40" i="5"/>
  <c r="I40" i="5" s="1"/>
  <c r="BC42" i="5"/>
  <c r="I42" i="5" s="1"/>
  <c r="BC46" i="5"/>
  <c r="I46" i="5" s="1"/>
  <c r="BC48" i="5"/>
  <c r="I48" i="5" s="1"/>
  <c r="BC50" i="5"/>
  <c r="I50" i="5" s="1"/>
  <c r="BC54" i="5"/>
  <c r="I54" i="5" s="1"/>
  <c r="BC11" i="5"/>
  <c r="I11" i="5" s="1"/>
  <c r="BC20" i="5"/>
  <c r="I20" i="5" s="1"/>
  <c r="BC28" i="5"/>
  <c r="I28" i="5" s="1"/>
  <c r="BC36" i="5"/>
  <c r="I36" i="5" s="1"/>
  <c r="BC44" i="5"/>
  <c r="I44" i="5" s="1"/>
  <c r="BC52" i="5"/>
  <c r="I52" i="5" s="1"/>
  <c r="Y118" i="5"/>
  <c r="J118" i="5" s="1"/>
  <c r="L118" i="5" s="1"/>
  <c r="Y117" i="5"/>
  <c r="J117" i="5" s="1"/>
  <c r="L117" i="5" s="1"/>
  <c r="Y115" i="5"/>
  <c r="J115" i="5" s="1"/>
  <c r="L115" i="5" s="1"/>
  <c r="Y116" i="5"/>
  <c r="J116" i="5" s="1"/>
  <c r="L116" i="5" s="1"/>
  <c r="Y113" i="5"/>
  <c r="J113" i="5" s="1"/>
  <c r="L113" i="5" s="1"/>
  <c r="Y112" i="5"/>
  <c r="J112" i="5" s="1"/>
  <c r="L112" i="5" s="1"/>
  <c r="Y108" i="5"/>
  <c r="J108" i="5" s="1"/>
  <c r="L108" i="5" s="1"/>
  <c r="Y110" i="5"/>
  <c r="J110" i="5" s="1"/>
  <c r="L110" i="5" s="1"/>
  <c r="Y107" i="5"/>
  <c r="J107" i="5" s="1"/>
  <c r="L107" i="5" s="1"/>
  <c r="Y111" i="5"/>
  <c r="J111" i="5" s="1"/>
  <c r="L111" i="5" s="1"/>
  <c r="Y109" i="5"/>
  <c r="J109" i="5" s="1"/>
  <c r="L109" i="5" s="1"/>
  <c r="AN144" i="5" l="1"/>
  <c r="K144" i="5" s="1"/>
  <c r="AN143" i="5"/>
  <c r="K143" i="5" s="1"/>
  <c r="AN142" i="5"/>
  <c r="K142" i="5" s="1"/>
  <c r="AN141" i="5"/>
  <c r="K141" i="5" s="1"/>
  <c r="AN140" i="5"/>
  <c r="K140" i="5" s="1"/>
  <c r="AN139" i="5"/>
  <c r="K139" i="5" s="1"/>
  <c r="AN138" i="5"/>
  <c r="K138" i="5" s="1"/>
  <c r="AN137" i="5"/>
  <c r="K137" i="5" s="1"/>
  <c r="AN136" i="5"/>
  <c r="K136" i="5" s="1"/>
  <c r="AN135" i="5"/>
  <c r="K135" i="5" s="1"/>
  <c r="AN134" i="5"/>
  <c r="K134" i="5" s="1"/>
  <c r="AN133" i="5"/>
  <c r="K133" i="5" s="1"/>
  <c r="AN132" i="5"/>
  <c r="K132" i="5" s="1"/>
  <c r="AN131" i="5"/>
  <c r="K131" i="5" s="1"/>
  <c r="AN130" i="5"/>
  <c r="K130" i="5" s="1"/>
  <c r="AN129" i="5"/>
  <c r="K129" i="5" s="1"/>
  <c r="AN128" i="5"/>
  <c r="K128" i="5" s="1"/>
  <c r="AN127" i="5"/>
  <c r="K127" i="5" s="1"/>
  <c r="AN126" i="5"/>
  <c r="K126" i="5" s="1"/>
  <c r="AN125" i="5"/>
  <c r="K125" i="5" s="1"/>
  <c r="AN124" i="5"/>
  <c r="K124" i="5" s="1"/>
  <c r="AN123" i="5"/>
  <c r="K123" i="5" s="1"/>
  <c r="AN122" i="5"/>
  <c r="K122" i="5" s="1"/>
  <c r="AN121" i="5"/>
  <c r="K121" i="5" s="1"/>
  <c r="AN120" i="5"/>
  <c r="K120" i="5" s="1"/>
  <c r="AN119" i="5"/>
  <c r="K119" i="5" s="1"/>
  <c r="AN114" i="5"/>
  <c r="K114" i="5" s="1"/>
  <c r="AN106" i="5"/>
  <c r="K106" i="5" s="1"/>
  <c r="AN105" i="5"/>
  <c r="K105" i="5" s="1"/>
  <c r="AN104" i="5"/>
  <c r="K104" i="5" s="1"/>
  <c r="AN103" i="5"/>
  <c r="K103" i="5" s="1"/>
  <c r="AN102" i="5"/>
  <c r="K102" i="5" s="1"/>
  <c r="AN101" i="5"/>
  <c r="K101" i="5" s="1"/>
  <c r="AN100" i="5"/>
  <c r="K100" i="5" s="1"/>
  <c r="AN99" i="5"/>
  <c r="K99" i="5" s="1"/>
  <c r="AN98" i="5"/>
  <c r="K98" i="5" s="1"/>
  <c r="AN97" i="5"/>
  <c r="K97" i="5" s="1"/>
  <c r="AN96" i="5"/>
  <c r="K96" i="5" s="1"/>
  <c r="AN95" i="5"/>
  <c r="K95" i="5" s="1"/>
  <c r="AN94" i="5"/>
  <c r="K94" i="5" s="1"/>
  <c r="AN93" i="5"/>
  <c r="K93" i="5" s="1"/>
  <c r="AN92" i="5"/>
  <c r="K92" i="5" s="1"/>
  <c r="AN91" i="5"/>
  <c r="K91" i="5" s="1"/>
  <c r="AN90" i="5"/>
  <c r="K90" i="5" s="1"/>
  <c r="AN89" i="5"/>
  <c r="K89" i="5" s="1"/>
  <c r="AN88" i="5"/>
  <c r="K88" i="5" s="1"/>
  <c r="AN87" i="5"/>
  <c r="K87" i="5" s="1"/>
  <c r="AN86" i="5"/>
  <c r="K86" i="5" s="1"/>
  <c r="AN85" i="5"/>
  <c r="K85" i="5" s="1"/>
  <c r="AN84" i="5"/>
  <c r="K84" i="5" s="1"/>
  <c r="AN83" i="5"/>
  <c r="K83" i="5" s="1"/>
  <c r="AN82" i="5"/>
  <c r="K82" i="5" s="1"/>
  <c r="AN81" i="5"/>
  <c r="K81" i="5" s="1"/>
  <c r="AN80" i="5"/>
  <c r="K80" i="5" s="1"/>
  <c r="AN79" i="5"/>
  <c r="K79" i="5" s="1"/>
  <c r="AN78" i="5"/>
  <c r="K78" i="5" s="1"/>
  <c r="AN77" i="5"/>
  <c r="K77" i="5" s="1"/>
  <c r="AN76" i="5"/>
  <c r="K76" i="5" s="1"/>
  <c r="AN75" i="5"/>
  <c r="K75" i="5" s="1"/>
  <c r="AN74" i="5"/>
  <c r="K74" i="5" s="1"/>
  <c r="AN73" i="5"/>
  <c r="K73" i="5" s="1"/>
  <c r="AN72" i="5"/>
  <c r="K72" i="5" s="1"/>
  <c r="AN71" i="5"/>
  <c r="K71" i="5" s="1"/>
  <c r="AN70" i="5"/>
  <c r="K70" i="5" s="1"/>
  <c r="AN69" i="5"/>
  <c r="K69" i="5" s="1"/>
  <c r="AN68" i="5"/>
  <c r="K68" i="5" s="1"/>
  <c r="AN67" i="5"/>
  <c r="K67" i="5" s="1"/>
  <c r="AN66" i="5"/>
  <c r="K66" i="5" s="1"/>
  <c r="AN65" i="5"/>
  <c r="K65" i="5" s="1"/>
  <c r="AN64" i="5"/>
  <c r="K64" i="5" s="1"/>
  <c r="AN63" i="5"/>
  <c r="K63" i="5" s="1"/>
  <c r="AN62" i="5"/>
  <c r="K62" i="5" s="1"/>
  <c r="AN61" i="5"/>
  <c r="K61" i="5" s="1"/>
  <c r="AN60" i="5"/>
  <c r="K60" i="5" s="1"/>
  <c r="AN59" i="5"/>
  <c r="K59" i="5" s="1"/>
  <c r="AN58" i="5"/>
  <c r="K58" i="5" s="1"/>
  <c r="AN57" i="5"/>
  <c r="K57" i="5" s="1"/>
  <c r="AN56" i="5"/>
  <c r="K56" i="5" s="1"/>
  <c r="AN55" i="5"/>
  <c r="K55" i="5" s="1"/>
  <c r="AN54" i="5"/>
  <c r="K54" i="5" s="1"/>
  <c r="AN53" i="5"/>
  <c r="K53" i="5" s="1"/>
  <c r="AN52" i="5"/>
  <c r="K52" i="5" s="1"/>
  <c r="AN51" i="5"/>
  <c r="K51" i="5" s="1"/>
  <c r="AN50" i="5"/>
  <c r="K50" i="5" s="1"/>
  <c r="AN49" i="5"/>
  <c r="K49" i="5" s="1"/>
  <c r="AN48" i="5"/>
  <c r="K48" i="5" s="1"/>
  <c r="AN47" i="5"/>
  <c r="K47" i="5" s="1"/>
  <c r="AN46" i="5"/>
  <c r="K46" i="5" s="1"/>
  <c r="AN45" i="5"/>
  <c r="K45" i="5" s="1"/>
  <c r="AN44" i="5"/>
  <c r="K44" i="5" s="1"/>
  <c r="AN43" i="5"/>
  <c r="K43" i="5" s="1"/>
  <c r="AN42" i="5"/>
  <c r="K42" i="5" s="1"/>
  <c r="AN41" i="5"/>
  <c r="K41" i="5" s="1"/>
  <c r="AN40" i="5"/>
  <c r="K40" i="5" s="1"/>
  <c r="AN39" i="5"/>
  <c r="K39" i="5" s="1"/>
  <c r="AN38" i="5"/>
  <c r="K38" i="5" s="1"/>
  <c r="AN37" i="5"/>
  <c r="K37" i="5" s="1"/>
  <c r="AN36" i="5"/>
  <c r="K36" i="5" s="1"/>
  <c r="AN35" i="5"/>
  <c r="K35" i="5" s="1"/>
  <c r="AN34" i="5"/>
  <c r="K34" i="5" s="1"/>
  <c r="AN33" i="5"/>
  <c r="K33" i="5" s="1"/>
  <c r="AN32" i="5"/>
  <c r="K32" i="5" s="1"/>
  <c r="AN31" i="5"/>
  <c r="K31" i="5" s="1"/>
  <c r="AN30" i="5"/>
  <c r="K30" i="5" s="1"/>
  <c r="AN29" i="5"/>
  <c r="K29" i="5" s="1"/>
  <c r="AN28" i="5"/>
  <c r="K28" i="5" s="1"/>
  <c r="AN27" i="5"/>
  <c r="K27" i="5" s="1"/>
  <c r="AN26" i="5"/>
  <c r="K26" i="5" s="1"/>
  <c r="AN25" i="5"/>
  <c r="K25" i="5" s="1"/>
  <c r="AN24" i="5"/>
  <c r="K24" i="5" s="1"/>
  <c r="AN23" i="5"/>
  <c r="K23" i="5" s="1"/>
  <c r="AN22" i="5"/>
  <c r="K22" i="5" s="1"/>
  <c r="AN21" i="5"/>
  <c r="K21" i="5" s="1"/>
  <c r="AN20" i="5"/>
  <c r="K20" i="5" s="1"/>
  <c r="AN19" i="5"/>
  <c r="K19" i="5" s="1"/>
  <c r="AN18" i="5"/>
  <c r="K18" i="5" s="1"/>
  <c r="AN16" i="5"/>
  <c r="K16" i="5" s="1"/>
  <c r="AN15" i="5"/>
  <c r="K15" i="5" s="1"/>
  <c r="AN14" i="5"/>
  <c r="K14" i="5" s="1"/>
  <c r="AN13" i="5"/>
  <c r="K13" i="5" s="1"/>
  <c r="AN11" i="5"/>
  <c r="K11" i="5" s="1"/>
  <c r="AN10" i="5"/>
  <c r="K10" i="5" s="1"/>
  <c r="AN9" i="5"/>
  <c r="K9" i="5" s="1"/>
  <c r="AN8" i="5"/>
  <c r="K8" i="5" s="1"/>
  <c r="AN7" i="5"/>
  <c r="K7" i="5" s="1"/>
  <c r="AN6" i="5"/>
  <c r="K6" i="5" s="1"/>
  <c r="AN5" i="5"/>
  <c r="K5" i="5" s="1"/>
  <c r="AN4" i="5"/>
  <c r="K4" i="5" s="1"/>
  <c r="AN12" i="5"/>
  <c r="K12" i="5" s="1"/>
  <c r="Y5" i="5" l="1"/>
  <c r="Y6" i="5"/>
  <c r="Y7" i="5"/>
  <c r="Y8" i="5"/>
  <c r="Y9" i="5"/>
  <c r="Y10" i="5"/>
  <c r="Y11" i="5"/>
  <c r="Y12" i="5"/>
  <c r="Y13" i="5"/>
  <c r="Y14" i="5"/>
  <c r="Y15" i="5"/>
  <c r="Y16" i="5"/>
  <c r="Y18" i="5"/>
  <c r="Y19" i="5"/>
  <c r="Y20" i="5"/>
  <c r="Y21" i="5"/>
  <c r="Y22" i="5"/>
  <c r="Y23" i="5"/>
  <c r="Y24" i="5"/>
  <c r="Y25" i="5"/>
  <c r="Y26" i="5"/>
  <c r="Y27" i="5"/>
  <c r="Y28" i="5"/>
  <c r="Y29" i="5"/>
  <c r="Y30" i="5"/>
  <c r="Y31" i="5"/>
  <c r="Y32" i="5"/>
  <c r="Y33" i="5"/>
  <c r="Y34" i="5"/>
  <c r="Y35" i="5"/>
  <c r="Y36" i="5"/>
  <c r="Y37" i="5"/>
  <c r="Y38" i="5"/>
  <c r="Y39" i="5"/>
  <c r="Y40" i="5"/>
  <c r="Y41" i="5"/>
  <c r="Y42" i="5"/>
  <c r="Y43" i="5"/>
  <c r="Y44" i="5"/>
  <c r="Y45" i="5"/>
  <c r="Y46" i="5"/>
  <c r="Y47" i="5"/>
  <c r="Y48" i="5"/>
  <c r="Y49" i="5"/>
  <c r="Y50" i="5"/>
  <c r="Y51" i="5"/>
  <c r="Y52" i="5"/>
  <c r="Y53" i="5"/>
  <c r="Y54" i="5"/>
  <c r="Y55" i="5"/>
  <c r="Y56" i="5"/>
  <c r="Y57" i="5"/>
  <c r="Y58" i="5"/>
  <c r="Y59" i="5"/>
  <c r="Y60" i="5"/>
  <c r="Y61" i="5"/>
  <c r="Y62" i="5"/>
  <c r="Y63" i="5"/>
  <c r="Y64" i="5"/>
  <c r="Y65" i="5"/>
  <c r="Y66" i="5"/>
  <c r="Y67" i="5"/>
  <c r="Y68" i="5"/>
  <c r="Y69" i="5"/>
  <c r="Y70" i="5"/>
  <c r="Y71" i="5"/>
  <c r="Y72" i="5"/>
  <c r="Y73" i="5"/>
  <c r="Y74" i="5"/>
  <c r="Y75" i="5"/>
  <c r="Y76" i="5"/>
  <c r="Y77" i="5"/>
  <c r="Y78" i="5"/>
  <c r="Y79" i="5"/>
  <c r="Y80" i="5"/>
  <c r="Y81" i="5"/>
  <c r="Y82" i="5"/>
  <c r="Y83" i="5"/>
  <c r="Y84" i="5"/>
  <c r="Y85" i="5"/>
  <c r="Y86" i="5"/>
  <c r="Y87" i="5"/>
  <c r="Y88" i="5"/>
  <c r="Y89" i="5"/>
  <c r="Y90" i="5"/>
  <c r="Y91" i="5"/>
  <c r="Y92" i="5"/>
  <c r="Y93" i="5"/>
  <c r="Y94" i="5"/>
  <c r="Y95" i="5"/>
  <c r="Y96" i="5"/>
  <c r="Y97" i="5"/>
  <c r="Y98" i="5"/>
  <c r="Y99" i="5"/>
  <c r="Y100" i="5"/>
  <c r="Y101" i="5"/>
  <c r="Y102" i="5"/>
  <c r="Y103" i="5"/>
  <c r="Y104" i="5"/>
  <c r="Y105" i="5"/>
  <c r="Y106" i="5"/>
  <c r="Y114" i="5"/>
  <c r="Y119" i="5"/>
  <c r="Y120" i="5"/>
  <c r="Y121" i="5"/>
  <c r="Y122" i="5"/>
  <c r="Y123" i="5"/>
  <c r="Y124" i="5"/>
  <c r="Y125" i="5"/>
  <c r="Y126" i="5"/>
  <c r="Y127" i="5"/>
  <c r="Y128" i="5"/>
  <c r="Y129" i="5"/>
  <c r="Y130" i="5"/>
  <c r="Y131" i="5"/>
  <c r="Y132" i="5"/>
  <c r="Y133" i="5"/>
  <c r="Y134" i="5"/>
  <c r="Y135" i="5"/>
  <c r="Y136" i="5"/>
  <c r="Y137" i="5"/>
  <c r="Y138" i="5"/>
  <c r="Y139" i="5"/>
  <c r="Y140" i="5"/>
  <c r="Y141" i="5"/>
  <c r="Y142" i="5"/>
  <c r="Y143" i="5"/>
  <c r="Y144" i="5"/>
  <c r="Y4" i="5"/>
  <c r="J144" i="5" l="1"/>
  <c r="L144" i="5" s="1"/>
  <c r="J143" i="5"/>
  <c r="L143" i="5" s="1"/>
  <c r="J142" i="5"/>
  <c r="L142" i="5" s="1"/>
  <c r="J141" i="5"/>
  <c r="L141" i="5" s="1"/>
  <c r="J140" i="5"/>
  <c r="L140" i="5" s="1"/>
  <c r="J139" i="5"/>
  <c r="L139" i="5" s="1"/>
  <c r="J138" i="5"/>
  <c r="L138" i="5" s="1"/>
  <c r="J137" i="5"/>
  <c r="L137" i="5" s="1"/>
  <c r="J136" i="5"/>
  <c r="L136" i="5" s="1"/>
  <c r="J135" i="5"/>
  <c r="L135" i="5" s="1"/>
  <c r="J134" i="5"/>
  <c r="L134" i="5" s="1"/>
  <c r="J133" i="5"/>
  <c r="L133" i="5" s="1"/>
  <c r="J132" i="5"/>
  <c r="L132" i="5" s="1"/>
  <c r="J131" i="5"/>
  <c r="L131" i="5" s="1"/>
  <c r="J130" i="5"/>
  <c r="L130" i="5" s="1"/>
  <c r="J129" i="5"/>
  <c r="L129" i="5" s="1"/>
  <c r="J128" i="5"/>
  <c r="L128" i="5" s="1"/>
  <c r="J127" i="5"/>
  <c r="L127" i="5" s="1"/>
  <c r="J126" i="5"/>
  <c r="L126" i="5" s="1"/>
  <c r="J125" i="5"/>
  <c r="L125" i="5" s="1"/>
  <c r="J124" i="5"/>
  <c r="L124" i="5" s="1"/>
  <c r="J123" i="5"/>
  <c r="L123" i="5" s="1"/>
  <c r="J122" i="5"/>
  <c r="L122" i="5" s="1"/>
  <c r="J121" i="5"/>
  <c r="L121" i="5" s="1"/>
  <c r="J120" i="5"/>
  <c r="L120" i="5" s="1"/>
  <c r="J119" i="5"/>
  <c r="L119" i="5" s="1"/>
  <c r="J114" i="5"/>
  <c r="L114" i="5" s="1"/>
  <c r="J106" i="5"/>
  <c r="L106" i="5" s="1"/>
  <c r="J105" i="5"/>
  <c r="L105" i="5" s="1"/>
  <c r="J104" i="5"/>
  <c r="L104" i="5" s="1"/>
  <c r="J103" i="5"/>
  <c r="L103" i="5" s="1"/>
  <c r="J102" i="5"/>
  <c r="L102" i="5" s="1"/>
  <c r="J101" i="5"/>
  <c r="L101" i="5" s="1"/>
  <c r="J100" i="5"/>
  <c r="L100" i="5" s="1"/>
  <c r="J99" i="5"/>
  <c r="L99" i="5" s="1"/>
  <c r="J98" i="5"/>
  <c r="L98" i="5" s="1"/>
  <c r="J97" i="5"/>
  <c r="L97" i="5" s="1"/>
  <c r="J96" i="5"/>
  <c r="L96" i="5" s="1"/>
  <c r="J95" i="5"/>
  <c r="L95" i="5" s="1"/>
  <c r="J94" i="5"/>
  <c r="L94" i="5" s="1"/>
  <c r="J93" i="5"/>
  <c r="L93" i="5" s="1"/>
  <c r="J92" i="5"/>
  <c r="L92" i="5" s="1"/>
  <c r="J91" i="5"/>
  <c r="L91" i="5" s="1"/>
  <c r="J90" i="5"/>
  <c r="L90" i="5" s="1"/>
  <c r="J89" i="5"/>
  <c r="L89" i="5" s="1"/>
  <c r="J88" i="5"/>
  <c r="L88" i="5" s="1"/>
  <c r="J87" i="5"/>
  <c r="L87" i="5" s="1"/>
  <c r="J86" i="5"/>
  <c r="L86" i="5" s="1"/>
  <c r="J85" i="5"/>
  <c r="L85" i="5" s="1"/>
  <c r="J84" i="5"/>
  <c r="L84" i="5" s="1"/>
  <c r="J83" i="5"/>
  <c r="L83" i="5" s="1"/>
  <c r="J82" i="5"/>
  <c r="L82" i="5" s="1"/>
  <c r="J81" i="5"/>
  <c r="L81" i="5" s="1"/>
  <c r="J71" i="5" l="1"/>
  <c r="L71" i="5" s="1"/>
  <c r="J72" i="5"/>
  <c r="L72" i="5" s="1"/>
  <c r="J73" i="5"/>
  <c r="L73" i="5" s="1"/>
  <c r="J74" i="5"/>
  <c r="L74" i="5" s="1"/>
  <c r="J75" i="5"/>
  <c r="L75" i="5" s="1"/>
  <c r="J76" i="5"/>
  <c r="L76" i="5" s="1"/>
  <c r="J77" i="5"/>
  <c r="L77" i="5" s="1"/>
  <c r="J78" i="5"/>
  <c r="L78" i="5" s="1"/>
  <c r="J79" i="5"/>
  <c r="L79" i="5" s="1"/>
  <c r="J80" i="5"/>
  <c r="L80" i="5" s="1"/>
  <c r="J70" i="5"/>
  <c r="L70" i="5" s="1"/>
  <c r="J65" i="5"/>
  <c r="L65" i="5" s="1"/>
  <c r="J66" i="5"/>
  <c r="L66" i="5" s="1"/>
  <c r="J67" i="5"/>
  <c r="L67" i="5" s="1"/>
  <c r="J68" i="5"/>
  <c r="L68" i="5" s="1"/>
  <c r="J69" i="5"/>
  <c r="L69" i="5" s="1"/>
  <c r="J64" i="5"/>
  <c r="L64" i="5" s="1"/>
  <c r="J47" i="5"/>
  <c r="L47" i="5" s="1"/>
  <c r="J48" i="5"/>
  <c r="L48" i="5" s="1"/>
  <c r="J49" i="5"/>
  <c r="L49" i="5" s="1"/>
  <c r="J50" i="5"/>
  <c r="L50" i="5" s="1"/>
  <c r="J51" i="5"/>
  <c r="L51" i="5" s="1"/>
  <c r="J52" i="5"/>
  <c r="L52" i="5" s="1"/>
  <c r="J53" i="5"/>
  <c r="L53" i="5" s="1"/>
  <c r="J54" i="5"/>
  <c r="L54" i="5" s="1"/>
  <c r="J55" i="5"/>
  <c r="L55" i="5" s="1"/>
  <c r="J56" i="5"/>
  <c r="L56" i="5" s="1"/>
  <c r="J57" i="5"/>
  <c r="L57" i="5" s="1"/>
  <c r="J58" i="5"/>
  <c r="L58" i="5" s="1"/>
  <c r="J59" i="5"/>
  <c r="L59" i="5" s="1"/>
  <c r="J60" i="5"/>
  <c r="L60" i="5" s="1"/>
  <c r="J61" i="5"/>
  <c r="L61" i="5" s="1"/>
  <c r="J62" i="5"/>
  <c r="L62" i="5" s="1"/>
  <c r="J63" i="5"/>
  <c r="L63" i="5" s="1"/>
  <c r="J46" i="5"/>
  <c r="L46" i="5" s="1"/>
  <c r="J45" i="5"/>
  <c r="L45" i="5" s="1"/>
  <c r="J44" i="5"/>
  <c r="L44" i="5" s="1"/>
  <c r="J43" i="5"/>
  <c r="L43" i="5" s="1"/>
  <c r="J42" i="5"/>
  <c r="L42" i="5" s="1"/>
  <c r="J41" i="5"/>
  <c r="L41" i="5" s="1"/>
  <c r="J40" i="5"/>
  <c r="L40" i="5" s="1"/>
  <c r="J39" i="5"/>
  <c r="L39" i="5" s="1"/>
  <c r="J38" i="5"/>
  <c r="L38" i="5" s="1"/>
  <c r="J37" i="5"/>
  <c r="L37" i="5" s="1"/>
  <c r="J36" i="5"/>
  <c r="L36" i="5" s="1"/>
  <c r="J35" i="5"/>
  <c r="L35" i="5" s="1"/>
  <c r="J34" i="5"/>
  <c r="L34" i="5" s="1"/>
  <c r="J33" i="5"/>
  <c r="L33" i="5" s="1"/>
  <c r="J32" i="5"/>
  <c r="L32" i="5" s="1"/>
  <c r="J31" i="5"/>
  <c r="L31" i="5" s="1"/>
  <c r="J30" i="5"/>
  <c r="L30" i="5" s="1"/>
  <c r="J29" i="5"/>
  <c r="L29" i="5" s="1"/>
  <c r="J28" i="5"/>
  <c r="L28" i="5" s="1"/>
  <c r="J27" i="5"/>
  <c r="L27" i="5" s="1"/>
  <c r="J26" i="5"/>
  <c r="L26" i="5" s="1"/>
  <c r="J5" i="5"/>
  <c r="L5" i="5" s="1"/>
  <c r="J6" i="5"/>
  <c r="L6" i="5" s="1"/>
  <c r="J7" i="5"/>
  <c r="L7" i="5" s="1"/>
  <c r="J8" i="5"/>
  <c r="L8" i="5" s="1"/>
  <c r="J9" i="5"/>
  <c r="L9" i="5" s="1"/>
  <c r="J10" i="5"/>
  <c r="L10" i="5" s="1"/>
  <c r="J11" i="5"/>
  <c r="L11" i="5" s="1"/>
  <c r="J12" i="5"/>
  <c r="L12" i="5" s="1"/>
  <c r="J13" i="5"/>
  <c r="L13" i="5" s="1"/>
  <c r="J14" i="5"/>
  <c r="L14" i="5" s="1"/>
  <c r="J15" i="5"/>
  <c r="L15" i="5" s="1"/>
  <c r="J16" i="5"/>
  <c r="L16" i="5" s="1"/>
  <c r="J18" i="5"/>
  <c r="L18" i="5" s="1"/>
  <c r="J19" i="5"/>
  <c r="L19" i="5" s="1"/>
  <c r="J20" i="5"/>
  <c r="L20" i="5" s="1"/>
  <c r="J21" i="5"/>
  <c r="L21" i="5" s="1"/>
  <c r="J22" i="5"/>
  <c r="L22" i="5" s="1"/>
  <c r="J23" i="5"/>
  <c r="L23" i="5" s="1"/>
  <c r="J24" i="5"/>
  <c r="L24" i="5" s="1"/>
  <c r="J25" i="5"/>
  <c r="L25" i="5" s="1"/>
  <c r="J4" i="5" l="1"/>
  <c r="L4" i="5" l="1"/>
</calcChain>
</file>

<file path=xl/sharedStrings.xml><?xml version="1.0" encoding="utf-8"?>
<sst xmlns="http://schemas.openxmlformats.org/spreadsheetml/2006/main" count="30878" uniqueCount="2696">
  <si>
    <t>비고</t>
  </si>
  <si>
    <t>ONU</t>
  </si>
  <si>
    <t>합계</t>
  </si>
  <si>
    <t>PI</t>
  </si>
  <si>
    <t>2WAY</t>
  </si>
  <si>
    <t>자재명</t>
  </si>
  <si>
    <t>수량</t>
  </si>
  <si>
    <t>불량</t>
    <phoneticPr fontId="5" type="noConversion"/>
  </si>
  <si>
    <t>SA - GM ONU(3PORT) DFB 1*1</t>
  </si>
  <si>
    <t>SA - GS-7000 DFB 1*1</t>
  </si>
  <si>
    <t>SA - GS-7000 DFB 2*2</t>
  </si>
  <si>
    <t>하모닉 - HLN3142-42-AS</t>
  </si>
  <si>
    <t>하모닉 - HLN3144-AS</t>
  </si>
  <si>
    <t>Mini ONU, VTN200(1x1, DFBT)</t>
  </si>
  <si>
    <t>텔라움 - NO4000G(1*1)</t>
  </si>
  <si>
    <t xml:space="preserve">모토로라 - SG4-100SK/SXX-CNN-S </t>
  </si>
  <si>
    <t>동양 DFORT-G104 (1*1)</t>
  </si>
  <si>
    <t>모토로라 - SG2440-87KS/DSTX-XAXB</t>
  </si>
  <si>
    <t>아리스 RFOG R-ONU (CP861TU)_(48dBmv)_PON 포트 미 제공</t>
  </si>
  <si>
    <t>모델명</t>
    <phoneticPr fontId="5" type="noConversion"/>
  </si>
  <si>
    <t>SA - GM HGBT AGC</t>
  </si>
  <si>
    <t>모토로라 - MB-87K</t>
  </si>
  <si>
    <t>모토로라 - MBE-87K</t>
  </si>
  <si>
    <t>텔라움 - NT-1G</t>
  </si>
  <si>
    <t>동양 - SDA-G403D</t>
  </si>
  <si>
    <t>동양 - STBA-G402D</t>
  </si>
  <si>
    <t>텔라움 - ND-3500G</t>
  </si>
  <si>
    <t>CA-G35P-고급형</t>
  </si>
  <si>
    <t>LCA-1030_1Ghz (저가형)</t>
  </si>
  <si>
    <t>구내증폭기(철거자재)</t>
  </si>
  <si>
    <t>간선증폭기</t>
    <phoneticPr fontId="5" type="noConversion"/>
  </si>
  <si>
    <t>구내증폭기</t>
    <phoneticPr fontId="5" type="noConversion"/>
  </si>
  <si>
    <t>선로증폭기</t>
    <phoneticPr fontId="5" type="noConversion"/>
  </si>
  <si>
    <t>단방향 선로증폭기(750Mhz)</t>
  </si>
  <si>
    <t>연장증폭기</t>
    <phoneticPr fontId="5" type="noConversion"/>
  </si>
  <si>
    <t xml:space="preserve">모토로라 - BLE-100K </t>
  </si>
  <si>
    <t>SA - GM LE MANUAL</t>
  </si>
  <si>
    <t>텔라움 - NE-1G</t>
  </si>
  <si>
    <t>동양 - SEA-G401D</t>
  </si>
  <si>
    <t>ES-M1000-소형</t>
  </si>
  <si>
    <t>ES-EJ-1000LU</t>
  </si>
  <si>
    <t>UPS 규격외 모델 (철거자재)</t>
  </si>
  <si>
    <t>PS 규격외 모델 (철거자재)</t>
  </si>
  <si>
    <t>자동복구기</t>
    <phoneticPr fontId="5" type="noConversion"/>
  </si>
  <si>
    <t>자동복구기 Set (3종)</t>
  </si>
  <si>
    <t>자동복구기 규격외모델 (철거자재)</t>
  </si>
  <si>
    <t>3WAY-B</t>
  </si>
  <si>
    <t>3WAY-U</t>
  </si>
  <si>
    <t>DC-08</t>
  </si>
  <si>
    <t>08TAP 23DB</t>
  </si>
  <si>
    <t>08TAP 20DB</t>
  </si>
  <si>
    <t>08TAP 17DB</t>
  </si>
  <si>
    <t>08TAP 14DB</t>
  </si>
  <si>
    <t>08TAP 11DB</t>
  </si>
  <si>
    <t>2차TAP -11DB</t>
  </si>
  <si>
    <t>AS-772B</t>
  </si>
  <si>
    <t>TV8-14</t>
  </si>
  <si>
    <t>TV8-17</t>
  </si>
  <si>
    <t>TV8-20</t>
  </si>
  <si>
    <t>SV8</t>
  </si>
  <si>
    <t>수동소자류</t>
    <phoneticPr fontId="5" type="noConversion"/>
  </si>
  <si>
    <t>커넥터</t>
    <phoneticPr fontId="5" type="noConversion"/>
  </si>
  <si>
    <t>SCL011C(7C 압착)</t>
  </si>
  <si>
    <t>SCL011PT (7C핀 커넥터)</t>
  </si>
  <si>
    <t>SCL500P3PT(12C 핀 커넥터)</t>
  </si>
  <si>
    <t>SCL500P3PT-JJ(12c JJ)</t>
  </si>
  <si>
    <t xml:space="preserve">HPF-54A </t>
  </si>
  <si>
    <t>열수축관</t>
    <phoneticPr fontId="5" type="noConversion"/>
  </si>
  <si>
    <t>7C-PIN용(15CM*1개)</t>
  </si>
  <si>
    <t>암타이밴드 220㎜</t>
  </si>
  <si>
    <t>암타이밴드 250㎜</t>
  </si>
  <si>
    <t>암타이밴드 280㎜</t>
  </si>
  <si>
    <t>지선밴드 220㎜</t>
  </si>
  <si>
    <t>지선밴드 250㎜</t>
  </si>
  <si>
    <t>지선밴드 280㎜</t>
  </si>
  <si>
    <t>필름밴드 1.5M</t>
  </si>
  <si>
    <t>지선그립</t>
  </si>
  <si>
    <t>HFC 부대 바인드선 (1.0mm ,500m)</t>
  </si>
  <si>
    <t>3B</t>
  </si>
  <si>
    <t>광접속함체(RN포함) - TAP802 (1x8)</t>
  </si>
  <si>
    <t>RN Splitter 1*2</t>
  </si>
  <si>
    <t>RN Splitter 1*4</t>
  </si>
  <si>
    <t>RN Splitter 1*8</t>
  </si>
  <si>
    <t>스터브케이블 8C*10m(SC/APC)</t>
  </si>
  <si>
    <t>광케이블[단일모드,단일쉬스,24C]</t>
  </si>
  <si>
    <t>광 유지보수자재</t>
    <phoneticPr fontId="5" type="noConversion"/>
  </si>
  <si>
    <t>7C(검정:300M)_3중 90%</t>
  </si>
  <si>
    <t>7C-SS(검정;1.8mm,300M)_3중 90%</t>
  </si>
  <si>
    <t xml:space="preserve">5C케이블(흰색: 200M) </t>
  </si>
  <si>
    <t>단위</t>
    <phoneticPr fontId="5" type="noConversion"/>
  </si>
  <si>
    <t>M</t>
    <phoneticPr fontId="5" type="noConversion"/>
  </si>
  <si>
    <r>
      <t>2월</t>
    </r>
    <r>
      <rPr>
        <sz val="11"/>
        <color rgb="FF000000"/>
        <rFont val="&quot;Malgun Gothic&quot;"/>
      </rPr>
      <t/>
    </r>
  </si>
  <si>
    <r>
      <t>3월</t>
    </r>
    <r>
      <rPr>
        <sz val="11"/>
        <color rgb="FF000000"/>
        <rFont val="&quot;Malgun Gothic&quot;"/>
      </rPr>
      <t/>
    </r>
  </si>
  <si>
    <r>
      <t>4월</t>
    </r>
    <r>
      <rPr>
        <sz val="11"/>
        <color rgb="FF000000"/>
        <rFont val="&quot;Malgun Gothic&quot;"/>
      </rPr>
      <t/>
    </r>
  </si>
  <si>
    <r>
      <t>5월</t>
    </r>
    <r>
      <rPr>
        <sz val="11"/>
        <color rgb="FF000000"/>
        <rFont val="&quot;Malgun Gothic&quot;"/>
      </rPr>
      <t/>
    </r>
  </si>
  <si>
    <r>
      <t>6월</t>
    </r>
    <r>
      <rPr>
        <sz val="11"/>
        <color rgb="FF000000"/>
        <rFont val="&quot;Malgun Gothic&quot;"/>
      </rPr>
      <t/>
    </r>
  </si>
  <si>
    <r>
      <t>7월</t>
    </r>
    <r>
      <rPr>
        <sz val="11"/>
        <color rgb="FF000000"/>
        <rFont val="&quot;Malgun Gothic&quot;"/>
      </rPr>
      <t/>
    </r>
  </si>
  <si>
    <r>
      <t>8월</t>
    </r>
    <r>
      <rPr>
        <sz val="11"/>
        <color rgb="FF000000"/>
        <rFont val="&quot;Malgun Gothic&quot;"/>
      </rPr>
      <t/>
    </r>
  </si>
  <si>
    <r>
      <t>9월</t>
    </r>
    <r>
      <rPr>
        <sz val="11"/>
        <color rgb="FF000000"/>
        <rFont val="&quot;Malgun Gothic&quot;"/>
      </rPr>
      <t/>
    </r>
  </si>
  <si>
    <r>
      <t>10월</t>
    </r>
    <r>
      <rPr>
        <sz val="11"/>
        <color rgb="FF000000"/>
        <rFont val="&quot;Malgun Gothic&quot;"/>
      </rPr>
      <t/>
    </r>
  </si>
  <si>
    <r>
      <t>11월</t>
    </r>
    <r>
      <rPr>
        <sz val="11"/>
        <color rgb="FF000000"/>
        <rFont val="&quot;Malgun Gothic&quot;"/>
      </rPr>
      <t/>
    </r>
  </si>
  <si>
    <r>
      <t>12월</t>
    </r>
    <r>
      <rPr>
        <sz val="11"/>
        <color rgb="FF000000"/>
        <rFont val="&quot;Malgun Gothic&quot;"/>
      </rPr>
      <t/>
    </r>
  </si>
  <si>
    <t>NO</t>
  </si>
  <si>
    <t>주소(설치장소)</t>
  </si>
  <si>
    <t>작업일자</t>
  </si>
  <si>
    <t>사용장비</t>
  </si>
  <si>
    <t>규     격</t>
  </si>
  <si>
    <t>작업구분</t>
  </si>
  <si>
    <t>작업내용</t>
  </si>
  <si>
    <t>작업자</t>
  </si>
  <si>
    <t>협업사명</t>
  </si>
  <si>
    <t>한전_계량기함체</t>
  </si>
  <si>
    <t>텔라움 V-ONU(RF_Overlay) TOV10P-H(49dBmv)</t>
  </si>
  <si>
    <r>
      <t>2월</t>
    </r>
    <r>
      <rPr>
        <sz val="11"/>
        <color rgb="FF000000"/>
        <rFont val="돋움"/>
        <family val="3"/>
        <charset val="129"/>
      </rPr>
      <t/>
    </r>
  </si>
  <si>
    <r>
      <t>3월</t>
    </r>
    <r>
      <rPr>
        <sz val="11"/>
        <color rgb="FF000000"/>
        <rFont val="돋움"/>
        <family val="3"/>
        <charset val="129"/>
      </rPr>
      <t/>
    </r>
  </si>
  <si>
    <r>
      <t>4월</t>
    </r>
    <r>
      <rPr>
        <sz val="11"/>
        <color rgb="FF000000"/>
        <rFont val="돋움"/>
        <family val="3"/>
        <charset val="129"/>
      </rPr>
      <t/>
    </r>
  </si>
  <si>
    <r>
      <t>5월</t>
    </r>
    <r>
      <rPr>
        <sz val="11"/>
        <color rgb="FF000000"/>
        <rFont val="돋움"/>
        <family val="3"/>
        <charset val="129"/>
      </rPr>
      <t/>
    </r>
  </si>
  <si>
    <r>
      <t>6월</t>
    </r>
    <r>
      <rPr>
        <sz val="11"/>
        <color rgb="FF000000"/>
        <rFont val="돋움"/>
        <family val="3"/>
        <charset val="129"/>
      </rPr>
      <t/>
    </r>
  </si>
  <si>
    <r>
      <t>7월</t>
    </r>
    <r>
      <rPr>
        <sz val="11"/>
        <color rgb="FF000000"/>
        <rFont val="돋움"/>
        <family val="3"/>
        <charset val="129"/>
      </rPr>
      <t/>
    </r>
  </si>
  <si>
    <r>
      <t>8월</t>
    </r>
    <r>
      <rPr>
        <sz val="11"/>
        <color rgb="FF000000"/>
        <rFont val="돋움"/>
        <family val="3"/>
        <charset val="129"/>
      </rPr>
      <t/>
    </r>
  </si>
  <si>
    <r>
      <t>9월</t>
    </r>
    <r>
      <rPr>
        <sz val="11"/>
        <color rgb="FF000000"/>
        <rFont val="돋움"/>
        <family val="3"/>
        <charset val="129"/>
      </rPr>
      <t/>
    </r>
  </si>
  <si>
    <r>
      <t>10월</t>
    </r>
    <r>
      <rPr>
        <sz val="11"/>
        <color rgb="FF000000"/>
        <rFont val="돋움"/>
        <family val="3"/>
        <charset val="129"/>
      </rPr>
      <t/>
    </r>
  </si>
  <si>
    <r>
      <t>11월</t>
    </r>
    <r>
      <rPr>
        <sz val="11"/>
        <color rgb="FF000000"/>
        <rFont val="돋움"/>
        <family val="3"/>
        <charset val="129"/>
      </rPr>
      <t/>
    </r>
  </si>
  <si>
    <r>
      <t>12월</t>
    </r>
    <r>
      <rPr>
        <sz val="11"/>
        <color rgb="FF000000"/>
        <rFont val="돋움"/>
        <family val="3"/>
        <charset val="129"/>
      </rPr>
      <t/>
    </r>
  </si>
  <si>
    <t>비고</t>
    <phoneticPr fontId="5" type="noConversion"/>
  </si>
  <si>
    <t>SCLPF(FT어댑터) 5C</t>
  </si>
  <si>
    <t>동양 V-ONU(RF_Overlay) FOR-G50R(49dBmv)</t>
  </si>
  <si>
    <t>합계</t>
    <phoneticPr fontId="5" type="noConversion"/>
  </si>
  <si>
    <r>
      <t>1월</t>
    </r>
    <r>
      <rPr>
        <sz val="11"/>
        <color rgb="FF000000"/>
        <rFont val="&quot;Malgun Gothic&quot;"/>
      </rPr>
      <t/>
    </r>
    <phoneticPr fontId="5" type="noConversion"/>
  </si>
  <si>
    <t>EA</t>
    <phoneticPr fontId="5" type="noConversion"/>
  </si>
  <si>
    <t>EA</t>
    <phoneticPr fontId="5" type="noConversion"/>
  </si>
  <si>
    <t>EA</t>
    <phoneticPr fontId="5" type="noConversion"/>
  </si>
  <si>
    <t>EA</t>
    <phoneticPr fontId="5" type="noConversion"/>
  </si>
  <si>
    <t>1월</t>
    <phoneticPr fontId="5" type="noConversion"/>
  </si>
  <si>
    <t>2월</t>
    <phoneticPr fontId="5" type="noConversion"/>
  </si>
  <si>
    <t>3월</t>
    <phoneticPr fontId="5" type="noConversion"/>
  </si>
  <si>
    <t>4월</t>
    <phoneticPr fontId="5" type="noConversion"/>
  </si>
  <si>
    <t>5월</t>
    <phoneticPr fontId="5" type="noConversion"/>
  </si>
  <si>
    <t>6월</t>
    <phoneticPr fontId="5" type="noConversion"/>
  </si>
  <si>
    <t>7월</t>
    <phoneticPr fontId="5" type="noConversion"/>
  </si>
  <si>
    <t>8월</t>
    <phoneticPr fontId="5" type="noConversion"/>
  </si>
  <si>
    <t>9월</t>
    <phoneticPr fontId="5" type="noConversion"/>
  </si>
  <si>
    <t>10월</t>
    <phoneticPr fontId="5" type="noConversion"/>
  </si>
  <si>
    <t>11월</t>
    <phoneticPr fontId="5" type="noConversion"/>
  </si>
  <si>
    <t>12월</t>
    <phoneticPr fontId="5" type="noConversion"/>
  </si>
  <si>
    <t>CATV 사업부</t>
  </si>
  <si>
    <t>모토로라 - MBV3-100K</t>
    <phoneticPr fontId="5" type="noConversion"/>
  </si>
  <si>
    <t>모토로라 - SG4-87SK/SXX-CNN-S</t>
  </si>
  <si>
    <t>아리스 VTN (1*1 , DFBT)</t>
  </si>
  <si>
    <t>ES_FA-1000P</t>
  </si>
  <si>
    <t>ES_PS(구망용)</t>
  </si>
  <si>
    <t>누전차단기 ( IOP-32 )</t>
  </si>
  <si>
    <t>누전차단기 ( ME32CS )</t>
  </si>
  <si>
    <t>위험(명찰)</t>
  </si>
  <si>
    <t>방호관</t>
  </si>
  <si>
    <t>케이블</t>
    <phoneticPr fontId="5" type="noConversion"/>
  </si>
  <si>
    <t>전원공급기( UPS )</t>
    <phoneticPr fontId="5" type="noConversion"/>
  </si>
  <si>
    <t>전원공급기( PS )</t>
    <phoneticPr fontId="5" type="noConversion"/>
  </si>
  <si>
    <t>공사성 자재</t>
    <phoneticPr fontId="5" type="noConversion"/>
  </si>
  <si>
    <t>케이블 명찰 (파랑/노랑)</t>
  </si>
  <si>
    <t>GV-25SQ (접지선)</t>
  </si>
  <si>
    <t>38SQ (조가선)</t>
  </si>
  <si>
    <t>종단기 GTR-M (핀타입)</t>
  </si>
  <si>
    <t>광접속함체 (돔형) - 24C</t>
  </si>
  <si>
    <t>광접속함체 (직선형) - 24C</t>
  </si>
  <si>
    <t>SM-simplex-sc/pc-sc/pc 1-5M (OJC케이블)</t>
  </si>
  <si>
    <t>APU-990N</t>
    <phoneticPr fontId="5" type="noConversion"/>
  </si>
  <si>
    <t>APU-960N</t>
    <phoneticPr fontId="5" type="noConversion"/>
  </si>
  <si>
    <t>APP-990P</t>
    <phoneticPr fontId="5" type="noConversion"/>
  </si>
  <si>
    <t>APP-960P</t>
    <phoneticPr fontId="5" type="noConversion"/>
  </si>
  <si>
    <t>SCLPF(FT어댑터)</t>
    <phoneticPr fontId="5" type="noConversion"/>
  </si>
  <si>
    <t>SA - GM UNBT AGC</t>
    <phoneticPr fontId="5" type="noConversion"/>
  </si>
  <si>
    <t>12C-PIN용 (20Cm*1개)</t>
    <phoneticPr fontId="5" type="noConversion"/>
  </si>
  <si>
    <t>FOSC-400D5/B(144C)</t>
    <phoneticPr fontId="5" type="noConversion"/>
  </si>
  <si>
    <t>입  고  수  량</t>
    <phoneticPr fontId="5" type="noConversion"/>
  </si>
  <si>
    <t>출  고  수  량</t>
    <phoneticPr fontId="5" type="noConversion"/>
  </si>
  <si>
    <t>TBA_규격외 모델(870M) (철거자재)</t>
    <phoneticPr fontId="5" type="noConversion"/>
  </si>
  <si>
    <t>EA_규격외 모델(870M) (철거자재)</t>
    <phoneticPr fontId="5" type="noConversion"/>
  </si>
  <si>
    <t>■ 수원운용 권역 사급자재 사용 내역</t>
    <phoneticPr fontId="5" type="noConversion"/>
  </si>
  <si>
    <t>경완금 [45*75*1400]</t>
  </si>
  <si>
    <t>경완금 [45*75*1800]</t>
  </si>
  <si>
    <t>경완금 [45*75*2400]</t>
  </si>
  <si>
    <t>각암타이 900mm</t>
  </si>
  <si>
    <t>각암타이 1400mm</t>
  </si>
  <si>
    <t>탭브라켓(스탠) - L브라켓</t>
  </si>
  <si>
    <t>12C 동축케이블</t>
    <phoneticPr fontId="5" type="noConversion"/>
  </si>
  <si>
    <t>아리스 - BT100K</t>
    <phoneticPr fontId="5" type="noConversion"/>
  </si>
  <si>
    <t>접지동봉 [1.2mm]</t>
  </si>
  <si>
    <t>공청용필터 BPF-3337-V(LS)</t>
  </si>
  <si>
    <t>공청용필터 BPF-3340-V(LS)</t>
  </si>
  <si>
    <t>U밴드 - 270mm</t>
  </si>
  <si>
    <t>U볼트 - 14mm(스텐)</t>
  </si>
  <si>
    <t>UPS 받침대 (SCL)</t>
  </si>
  <si>
    <t>인입벽철(경제형)</t>
  </si>
  <si>
    <t>사용</t>
    <phoneticPr fontId="5" type="noConversion"/>
  </si>
  <si>
    <t>입고</t>
    <phoneticPr fontId="5" type="noConversion"/>
  </si>
  <si>
    <t>현재고</t>
    <phoneticPr fontId="5" type="noConversion"/>
  </si>
  <si>
    <t>정상</t>
    <phoneticPr fontId="5" type="noConversion"/>
  </si>
  <si>
    <t xml:space="preserve">수리 </t>
    <phoneticPr fontId="5" type="noConversion"/>
  </si>
  <si>
    <t>폐기</t>
    <phoneticPr fontId="5" type="noConversion"/>
  </si>
  <si>
    <t>계량기함체</t>
    <phoneticPr fontId="5" type="noConversion"/>
  </si>
  <si>
    <t>불량재고</t>
    <phoneticPr fontId="5" type="noConversion"/>
  </si>
  <si>
    <t>불  량  자  재 ( 입 고 )</t>
    <phoneticPr fontId="5" type="noConversion"/>
  </si>
  <si>
    <t>전기선 [CV-6-3C]</t>
    <phoneticPr fontId="5" type="noConversion"/>
  </si>
  <si>
    <t>동양 DFORT-G204 (2*2)</t>
    <phoneticPr fontId="5" type="noConversion"/>
  </si>
  <si>
    <t>규격외 모델(870M) (철거자재)</t>
    <phoneticPr fontId="5" type="noConversion"/>
  </si>
  <si>
    <t>탭브라켓(스탠) [원형(대)]</t>
  </si>
  <si>
    <t>공청용필터 BPF-239A</t>
  </si>
  <si>
    <t>공청용필터 BPF-239B</t>
  </si>
  <si>
    <t>공청용필터 BPF-250B</t>
  </si>
  <si>
    <t>EA</t>
  </si>
  <si>
    <t>필터</t>
    <phoneticPr fontId="5" type="noConversion"/>
  </si>
  <si>
    <t xml:space="preserve">계량기함 속판(신형,농사용) </t>
    <phoneticPr fontId="5" type="noConversion"/>
  </si>
  <si>
    <t>2월 300EA 컴피아 인수</t>
    <phoneticPr fontId="5" type="noConversion"/>
  </si>
  <si>
    <t>2월 1000m 컴피아 인수</t>
    <phoneticPr fontId="5" type="noConversion"/>
  </si>
  <si>
    <t>동양 DFORT-G104 (1*2)</t>
    <phoneticPr fontId="5" type="noConversion"/>
  </si>
  <si>
    <t>공청용필터 BPF-244B</t>
  </si>
  <si>
    <t>누전차단기(자동복구형) KJ-32</t>
    <phoneticPr fontId="5" type="noConversion"/>
  </si>
  <si>
    <t>GF-625-CH-S-T(PP커넥터)</t>
    <phoneticPr fontId="5" type="noConversion"/>
  </si>
  <si>
    <t>SCL006C(5C압착)</t>
    <phoneticPr fontId="5" type="noConversion"/>
  </si>
  <si>
    <t>코팅와이어 (3.18SQ)</t>
    <phoneticPr fontId="5" type="noConversion"/>
  </si>
  <si>
    <t>동양 DFORT-G204 (1*1)</t>
    <phoneticPr fontId="5" type="noConversion"/>
  </si>
  <si>
    <t>D.K (스터브케이블용)</t>
    <phoneticPr fontId="5" type="noConversion"/>
  </si>
  <si>
    <t>25년 자재</t>
    <phoneticPr fontId="5" type="noConversion"/>
  </si>
  <si>
    <t>26년 불량자재 (누적)</t>
    <phoneticPr fontId="5" type="noConversion"/>
  </si>
  <si>
    <t>26년 자재 사용</t>
    <phoneticPr fontId="5" type="noConversion"/>
  </si>
  <si>
    <r>
      <rPr>
        <b/>
        <sz val="11"/>
        <color theme="1"/>
        <rFont val="맑은 고딕"/>
        <family val="3"/>
        <charset val="129"/>
      </rPr>
      <t>기간</t>
    </r>
    <r>
      <rPr>
        <b/>
        <sz val="11"/>
        <color theme="1"/>
        <rFont val="Calibri"/>
        <family val="2"/>
        <scheme val="minor"/>
      </rPr>
      <t xml:space="preserve"> : 2026</t>
    </r>
    <r>
      <rPr>
        <b/>
        <sz val="11"/>
        <color theme="1"/>
        <rFont val="맑은 고딕"/>
        <family val="3"/>
        <charset val="129"/>
      </rPr>
      <t>년</t>
    </r>
    <r>
      <rPr>
        <b/>
        <sz val="11"/>
        <color theme="1"/>
        <rFont val="Calibri"/>
        <family val="2"/>
        <scheme val="minor"/>
      </rPr>
      <t xml:space="preserve"> 01</t>
    </r>
    <r>
      <rPr>
        <b/>
        <sz val="11"/>
        <color theme="1"/>
        <rFont val="맑은 고딕"/>
        <family val="3"/>
        <charset val="129"/>
      </rPr>
      <t>월</t>
    </r>
    <r>
      <rPr>
        <b/>
        <sz val="11"/>
        <color theme="1"/>
        <rFont val="Calibri"/>
        <family val="2"/>
        <scheme val="minor"/>
      </rPr>
      <t xml:space="preserve"> 01</t>
    </r>
    <r>
      <rPr>
        <b/>
        <sz val="11"/>
        <color theme="1"/>
        <rFont val="맑은 고딕"/>
        <family val="3"/>
        <charset val="129"/>
      </rPr>
      <t>일</t>
    </r>
    <r>
      <rPr>
        <b/>
        <sz val="11"/>
        <color theme="1"/>
        <rFont val="Calibri"/>
        <family val="2"/>
        <scheme val="minor"/>
      </rPr>
      <t xml:space="preserve"> ~ 2026</t>
    </r>
    <r>
      <rPr>
        <b/>
        <sz val="11"/>
        <color theme="1"/>
        <rFont val="맑은 고딕"/>
        <family val="3"/>
        <charset val="129"/>
      </rPr>
      <t>년</t>
    </r>
    <r>
      <rPr>
        <b/>
        <sz val="11"/>
        <color theme="1"/>
        <rFont val="Calibri"/>
        <family val="2"/>
        <scheme val="minor"/>
      </rPr>
      <t xml:space="preserve"> 01</t>
    </r>
    <r>
      <rPr>
        <b/>
        <sz val="11"/>
        <color theme="1"/>
        <rFont val="맑은 고딕"/>
        <family val="3"/>
        <charset val="129"/>
      </rPr>
      <t>월</t>
    </r>
    <r>
      <rPr>
        <b/>
        <sz val="11"/>
        <color theme="1"/>
        <rFont val="Calibri"/>
        <family val="2"/>
        <scheme val="minor"/>
      </rPr>
      <t xml:space="preserve"> 31</t>
    </r>
    <r>
      <rPr>
        <b/>
        <sz val="11"/>
        <color theme="1"/>
        <rFont val="맑은 고딕"/>
        <family val="3"/>
        <charset val="129"/>
      </rPr>
      <t>일</t>
    </r>
    <phoneticPr fontId="9" type="noConversion"/>
  </si>
  <si>
    <r>
      <rPr>
        <b/>
        <sz val="11"/>
        <color theme="1"/>
        <rFont val="맑은 고딕"/>
        <family val="3"/>
        <charset val="129"/>
      </rPr>
      <t>기간</t>
    </r>
    <r>
      <rPr>
        <b/>
        <sz val="11"/>
        <color theme="1"/>
        <rFont val="Calibri"/>
        <family val="2"/>
        <scheme val="minor"/>
      </rPr>
      <t xml:space="preserve"> : 2026</t>
    </r>
    <r>
      <rPr>
        <b/>
        <sz val="11"/>
        <color theme="1"/>
        <rFont val="맑은 고딕"/>
        <family val="3"/>
        <charset val="129"/>
      </rPr>
      <t>년</t>
    </r>
    <r>
      <rPr>
        <b/>
        <sz val="11"/>
        <color theme="1"/>
        <rFont val="Calibri"/>
        <family val="2"/>
        <scheme val="minor"/>
      </rPr>
      <t xml:space="preserve"> 02</t>
    </r>
    <r>
      <rPr>
        <b/>
        <sz val="11"/>
        <color theme="1"/>
        <rFont val="맑은 고딕"/>
        <family val="3"/>
        <charset val="129"/>
      </rPr>
      <t>월</t>
    </r>
    <r>
      <rPr>
        <b/>
        <sz val="11"/>
        <color theme="1"/>
        <rFont val="Calibri"/>
        <family val="2"/>
        <scheme val="minor"/>
      </rPr>
      <t xml:space="preserve"> 01</t>
    </r>
    <r>
      <rPr>
        <b/>
        <sz val="11"/>
        <color theme="1"/>
        <rFont val="맑은 고딕"/>
        <family val="3"/>
        <charset val="129"/>
      </rPr>
      <t>일</t>
    </r>
    <r>
      <rPr>
        <b/>
        <sz val="11"/>
        <color theme="1"/>
        <rFont val="Calibri"/>
        <family val="2"/>
        <scheme val="minor"/>
      </rPr>
      <t xml:space="preserve"> ~ 2026</t>
    </r>
    <r>
      <rPr>
        <b/>
        <sz val="11"/>
        <color theme="1"/>
        <rFont val="맑은 고딕"/>
        <family val="3"/>
        <charset val="129"/>
      </rPr>
      <t>년</t>
    </r>
    <r>
      <rPr>
        <b/>
        <sz val="11"/>
        <color theme="1"/>
        <rFont val="Calibri"/>
        <family val="2"/>
        <scheme val="minor"/>
      </rPr>
      <t xml:space="preserve"> 02</t>
    </r>
    <r>
      <rPr>
        <b/>
        <sz val="11"/>
        <color theme="1"/>
        <rFont val="맑은 고딕"/>
        <family val="3"/>
        <charset val="129"/>
      </rPr>
      <t>월</t>
    </r>
    <r>
      <rPr>
        <b/>
        <sz val="11"/>
        <color theme="1"/>
        <rFont val="Calibri"/>
        <family val="2"/>
        <scheme val="minor"/>
      </rPr>
      <t xml:space="preserve"> 28</t>
    </r>
    <r>
      <rPr>
        <b/>
        <sz val="11"/>
        <color theme="1"/>
        <rFont val="맑은 고딕"/>
        <family val="3"/>
        <charset val="129"/>
      </rPr>
      <t>일</t>
    </r>
    <phoneticPr fontId="9" type="noConversion"/>
  </si>
  <si>
    <r>
      <rPr>
        <b/>
        <sz val="11"/>
        <color theme="1"/>
        <rFont val="맑은 고딕"/>
        <family val="3"/>
        <charset val="129"/>
      </rPr>
      <t>기간</t>
    </r>
    <r>
      <rPr>
        <b/>
        <sz val="11"/>
        <color theme="1"/>
        <rFont val="Calibri"/>
        <family val="2"/>
        <scheme val="minor"/>
      </rPr>
      <t xml:space="preserve"> : 2026</t>
    </r>
    <r>
      <rPr>
        <b/>
        <sz val="11"/>
        <color theme="1"/>
        <rFont val="맑은 고딕"/>
        <family val="3"/>
        <charset val="129"/>
      </rPr>
      <t>년</t>
    </r>
    <r>
      <rPr>
        <b/>
        <sz val="11"/>
        <color theme="1"/>
        <rFont val="Calibri"/>
        <family val="2"/>
        <scheme val="minor"/>
      </rPr>
      <t xml:space="preserve"> 03</t>
    </r>
    <r>
      <rPr>
        <b/>
        <sz val="11"/>
        <color theme="1"/>
        <rFont val="맑은 고딕"/>
        <family val="3"/>
        <charset val="129"/>
      </rPr>
      <t>월</t>
    </r>
    <r>
      <rPr>
        <b/>
        <sz val="11"/>
        <color theme="1"/>
        <rFont val="Calibri"/>
        <family val="2"/>
        <scheme val="minor"/>
      </rPr>
      <t xml:space="preserve"> 01</t>
    </r>
    <r>
      <rPr>
        <b/>
        <sz val="11"/>
        <color theme="1"/>
        <rFont val="맑은 고딕"/>
        <family val="3"/>
        <charset val="129"/>
      </rPr>
      <t>일</t>
    </r>
    <r>
      <rPr>
        <b/>
        <sz val="11"/>
        <color theme="1"/>
        <rFont val="Calibri"/>
        <family val="2"/>
        <scheme val="minor"/>
      </rPr>
      <t xml:space="preserve"> ~ 2026</t>
    </r>
    <r>
      <rPr>
        <b/>
        <sz val="11"/>
        <color theme="1"/>
        <rFont val="맑은 고딕"/>
        <family val="3"/>
        <charset val="129"/>
      </rPr>
      <t>년</t>
    </r>
    <r>
      <rPr>
        <b/>
        <sz val="11"/>
        <color theme="1"/>
        <rFont val="Calibri"/>
        <family val="2"/>
        <scheme val="minor"/>
      </rPr>
      <t xml:space="preserve"> 03</t>
    </r>
    <r>
      <rPr>
        <b/>
        <sz val="11"/>
        <color theme="1"/>
        <rFont val="맑은 고딕"/>
        <family val="3"/>
        <charset val="129"/>
      </rPr>
      <t>월</t>
    </r>
    <r>
      <rPr>
        <b/>
        <sz val="11"/>
        <color theme="1"/>
        <rFont val="Calibri"/>
        <family val="2"/>
        <scheme val="minor"/>
      </rPr>
      <t xml:space="preserve"> 31</t>
    </r>
    <r>
      <rPr>
        <b/>
        <sz val="11"/>
        <color theme="1"/>
        <rFont val="맑은 고딕"/>
        <family val="3"/>
        <charset val="129"/>
      </rPr>
      <t>일</t>
    </r>
    <phoneticPr fontId="9" type="noConversion"/>
  </si>
  <si>
    <r>
      <rPr>
        <b/>
        <sz val="11"/>
        <color theme="1"/>
        <rFont val="맑은 고딕"/>
        <family val="3"/>
        <charset val="129"/>
      </rPr>
      <t>기간</t>
    </r>
    <r>
      <rPr>
        <b/>
        <sz val="11"/>
        <color theme="1"/>
        <rFont val="Calibri"/>
        <family val="2"/>
        <scheme val="minor"/>
      </rPr>
      <t xml:space="preserve"> : 2026</t>
    </r>
    <r>
      <rPr>
        <b/>
        <sz val="11"/>
        <color theme="1"/>
        <rFont val="맑은 고딕"/>
        <family val="3"/>
        <charset val="129"/>
      </rPr>
      <t>년</t>
    </r>
    <r>
      <rPr>
        <b/>
        <sz val="11"/>
        <color theme="1"/>
        <rFont val="Calibri"/>
        <family val="2"/>
        <scheme val="minor"/>
      </rPr>
      <t xml:space="preserve"> 04</t>
    </r>
    <r>
      <rPr>
        <b/>
        <sz val="11"/>
        <color theme="1"/>
        <rFont val="맑은 고딕"/>
        <family val="3"/>
        <charset val="129"/>
      </rPr>
      <t>월</t>
    </r>
    <r>
      <rPr>
        <b/>
        <sz val="11"/>
        <color theme="1"/>
        <rFont val="Calibri"/>
        <family val="2"/>
        <scheme val="minor"/>
      </rPr>
      <t xml:space="preserve"> 01</t>
    </r>
    <r>
      <rPr>
        <b/>
        <sz val="11"/>
        <color theme="1"/>
        <rFont val="맑은 고딕"/>
        <family val="3"/>
        <charset val="129"/>
      </rPr>
      <t>일</t>
    </r>
    <r>
      <rPr>
        <b/>
        <sz val="11"/>
        <color theme="1"/>
        <rFont val="Calibri"/>
        <family val="2"/>
        <scheme val="minor"/>
      </rPr>
      <t xml:space="preserve"> ~ 2026</t>
    </r>
    <r>
      <rPr>
        <b/>
        <sz val="11"/>
        <color theme="1"/>
        <rFont val="맑은 고딕"/>
        <family val="3"/>
        <charset val="129"/>
      </rPr>
      <t>년</t>
    </r>
    <r>
      <rPr>
        <b/>
        <sz val="11"/>
        <color theme="1"/>
        <rFont val="Calibri"/>
        <family val="2"/>
        <scheme val="minor"/>
      </rPr>
      <t xml:space="preserve"> 04</t>
    </r>
    <r>
      <rPr>
        <b/>
        <sz val="11"/>
        <color theme="1"/>
        <rFont val="맑은 고딕"/>
        <family val="3"/>
        <charset val="129"/>
      </rPr>
      <t>월</t>
    </r>
    <r>
      <rPr>
        <b/>
        <sz val="11"/>
        <color theme="1"/>
        <rFont val="Calibri"/>
        <family val="2"/>
        <scheme val="minor"/>
      </rPr>
      <t xml:space="preserve"> 30</t>
    </r>
    <r>
      <rPr>
        <b/>
        <sz val="11"/>
        <color theme="1"/>
        <rFont val="맑은 고딕"/>
        <family val="3"/>
        <charset val="129"/>
      </rPr>
      <t>일</t>
    </r>
    <phoneticPr fontId="9" type="noConversion"/>
  </si>
  <si>
    <r>
      <rPr>
        <b/>
        <sz val="11"/>
        <color theme="1"/>
        <rFont val="맑은 고딕"/>
        <family val="3"/>
        <charset val="129"/>
      </rPr>
      <t>기간</t>
    </r>
    <r>
      <rPr>
        <b/>
        <sz val="11"/>
        <color theme="1"/>
        <rFont val="Calibri"/>
        <family val="2"/>
        <scheme val="minor"/>
      </rPr>
      <t xml:space="preserve"> : 2026</t>
    </r>
    <r>
      <rPr>
        <b/>
        <sz val="11"/>
        <color theme="1"/>
        <rFont val="맑은 고딕"/>
        <family val="3"/>
        <charset val="129"/>
      </rPr>
      <t>년</t>
    </r>
    <r>
      <rPr>
        <b/>
        <sz val="11"/>
        <color theme="1"/>
        <rFont val="Calibri"/>
        <family val="2"/>
        <scheme val="minor"/>
      </rPr>
      <t xml:space="preserve"> 05</t>
    </r>
    <r>
      <rPr>
        <b/>
        <sz val="11"/>
        <color theme="1"/>
        <rFont val="맑은 고딕"/>
        <family val="3"/>
        <charset val="129"/>
      </rPr>
      <t>월</t>
    </r>
    <r>
      <rPr>
        <b/>
        <sz val="11"/>
        <color theme="1"/>
        <rFont val="Calibri"/>
        <family val="2"/>
        <scheme val="minor"/>
      </rPr>
      <t xml:space="preserve"> 01</t>
    </r>
    <r>
      <rPr>
        <b/>
        <sz val="11"/>
        <color theme="1"/>
        <rFont val="맑은 고딕"/>
        <family val="3"/>
        <charset val="129"/>
      </rPr>
      <t>일</t>
    </r>
    <r>
      <rPr>
        <b/>
        <sz val="11"/>
        <color theme="1"/>
        <rFont val="Calibri"/>
        <family val="2"/>
        <scheme val="minor"/>
      </rPr>
      <t xml:space="preserve"> ~ 2026</t>
    </r>
    <r>
      <rPr>
        <b/>
        <sz val="11"/>
        <color theme="1"/>
        <rFont val="맑은 고딕"/>
        <family val="3"/>
        <charset val="129"/>
      </rPr>
      <t>년</t>
    </r>
    <r>
      <rPr>
        <b/>
        <sz val="11"/>
        <color theme="1"/>
        <rFont val="Calibri"/>
        <family val="2"/>
        <scheme val="minor"/>
      </rPr>
      <t xml:space="preserve"> 05</t>
    </r>
    <r>
      <rPr>
        <b/>
        <sz val="11"/>
        <color theme="1"/>
        <rFont val="맑은 고딕"/>
        <family val="3"/>
        <charset val="129"/>
      </rPr>
      <t>월</t>
    </r>
    <r>
      <rPr>
        <b/>
        <sz val="11"/>
        <color theme="1"/>
        <rFont val="Calibri"/>
        <family val="2"/>
        <scheme val="minor"/>
      </rPr>
      <t xml:space="preserve"> 31</t>
    </r>
    <r>
      <rPr>
        <b/>
        <sz val="11"/>
        <color theme="1"/>
        <rFont val="맑은 고딕"/>
        <family val="3"/>
        <charset val="129"/>
      </rPr>
      <t>일</t>
    </r>
    <phoneticPr fontId="9" type="noConversion"/>
  </si>
  <si>
    <r>
      <rPr>
        <b/>
        <sz val="11"/>
        <color theme="1"/>
        <rFont val="맑은 고딕"/>
        <family val="3"/>
        <charset val="129"/>
      </rPr>
      <t>기간</t>
    </r>
    <r>
      <rPr>
        <b/>
        <sz val="11"/>
        <color theme="1"/>
        <rFont val="Calibri"/>
        <family val="2"/>
        <scheme val="minor"/>
      </rPr>
      <t xml:space="preserve"> : 2026</t>
    </r>
    <r>
      <rPr>
        <b/>
        <sz val="11"/>
        <color theme="1"/>
        <rFont val="맑은 고딕"/>
        <family val="3"/>
        <charset val="129"/>
      </rPr>
      <t>년</t>
    </r>
    <r>
      <rPr>
        <b/>
        <sz val="11"/>
        <color theme="1"/>
        <rFont val="Calibri"/>
        <family val="2"/>
        <scheme val="minor"/>
      </rPr>
      <t xml:space="preserve"> 06</t>
    </r>
    <r>
      <rPr>
        <b/>
        <sz val="11"/>
        <color theme="1"/>
        <rFont val="맑은 고딕"/>
        <family val="3"/>
        <charset val="129"/>
      </rPr>
      <t>월</t>
    </r>
    <r>
      <rPr>
        <b/>
        <sz val="11"/>
        <color theme="1"/>
        <rFont val="Calibri"/>
        <family val="2"/>
        <scheme val="minor"/>
      </rPr>
      <t xml:space="preserve"> 01</t>
    </r>
    <r>
      <rPr>
        <b/>
        <sz val="11"/>
        <color theme="1"/>
        <rFont val="맑은 고딕"/>
        <family val="3"/>
        <charset val="129"/>
      </rPr>
      <t>일</t>
    </r>
    <r>
      <rPr>
        <b/>
        <sz val="11"/>
        <color theme="1"/>
        <rFont val="Calibri"/>
        <family val="2"/>
        <scheme val="minor"/>
      </rPr>
      <t xml:space="preserve"> ~ 2026</t>
    </r>
    <r>
      <rPr>
        <b/>
        <sz val="11"/>
        <color theme="1"/>
        <rFont val="맑은 고딕"/>
        <family val="3"/>
        <charset val="129"/>
      </rPr>
      <t>년</t>
    </r>
    <r>
      <rPr>
        <b/>
        <sz val="11"/>
        <color theme="1"/>
        <rFont val="Calibri"/>
        <family val="2"/>
        <scheme val="minor"/>
      </rPr>
      <t xml:space="preserve"> 06</t>
    </r>
    <r>
      <rPr>
        <b/>
        <sz val="11"/>
        <color theme="1"/>
        <rFont val="맑은 고딕"/>
        <family val="3"/>
        <charset val="129"/>
      </rPr>
      <t>월</t>
    </r>
    <r>
      <rPr>
        <b/>
        <sz val="11"/>
        <color theme="1"/>
        <rFont val="Calibri"/>
        <family val="2"/>
        <scheme val="minor"/>
      </rPr>
      <t xml:space="preserve"> 30</t>
    </r>
    <r>
      <rPr>
        <b/>
        <sz val="11"/>
        <color theme="1"/>
        <rFont val="맑은 고딕"/>
        <family val="3"/>
        <charset val="129"/>
      </rPr>
      <t>일</t>
    </r>
    <phoneticPr fontId="9" type="noConversion"/>
  </si>
  <si>
    <r>
      <rPr>
        <b/>
        <sz val="11"/>
        <color theme="1"/>
        <rFont val="맑은 고딕"/>
        <family val="3"/>
        <charset val="129"/>
      </rPr>
      <t>기간</t>
    </r>
    <r>
      <rPr>
        <b/>
        <sz val="11"/>
        <color theme="1"/>
        <rFont val="Calibri"/>
        <family val="2"/>
        <scheme val="minor"/>
      </rPr>
      <t xml:space="preserve"> : 2026</t>
    </r>
    <r>
      <rPr>
        <b/>
        <sz val="11"/>
        <color theme="1"/>
        <rFont val="맑은 고딕"/>
        <family val="3"/>
        <charset val="129"/>
      </rPr>
      <t>년</t>
    </r>
    <r>
      <rPr>
        <b/>
        <sz val="11"/>
        <color theme="1"/>
        <rFont val="Calibri"/>
        <family val="2"/>
        <scheme val="minor"/>
      </rPr>
      <t xml:space="preserve"> 07</t>
    </r>
    <r>
      <rPr>
        <b/>
        <sz val="11"/>
        <color theme="1"/>
        <rFont val="맑은 고딕"/>
        <family val="3"/>
        <charset val="129"/>
      </rPr>
      <t>월</t>
    </r>
    <r>
      <rPr>
        <b/>
        <sz val="11"/>
        <color theme="1"/>
        <rFont val="Calibri"/>
        <family val="2"/>
        <scheme val="minor"/>
      </rPr>
      <t xml:space="preserve"> 01</t>
    </r>
    <r>
      <rPr>
        <b/>
        <sz val="11"/>
        <color theme="1"/>
        <rFont val="맑은 고딕"/>
        <family val="3"/>
        <charset val="129"/>
      </rPr>
      <t>일</t>
    </r>
    <r>
      <rPr>
        <b/>
        <sz val="11"/>
        <color theme="1"/>
        <rFont val="Calibri"/>
        <family val="2"/>
        <scheme val="minor"/>
      </rPr>
      <t xml:space="preserve"> ~ 2026</t>
    </r>
    <r>
      <rPr>
        <b/>
        <sz val="11"/>
        <color theme="1"/>
        <rFont val="맑은 고딕"/>
        <family val="3"/>
        <charset val="129"/>
      </rPr>
      <t>년</t>
    </r>
    <r>
      <rPr>
        <b/>
        <sz val="11"/>
        <color theme="1"/>
        <rFont val="Calibri"/>
        <family val="2"/>
        <scheme val="minor"/>
      </rPr>
      <t xml:space="preserve"> 07</t>
    </r>
    <r>
      <rPr>
        <b/>
        <sz val="11"/>
        <color theme="1"/>
        <rFont val="맑은 고딕"/>
        <family val="3"/>
        <charset val="129"/>
      </rPr>
      <t>월</t>
    </r>
    <r>
      <rPr>
        <b/>
        <sz val="11"/>
        <color theme="1"/>
        <rFont val="Calibri"/>
        <family val="2"/>
        <scheme val="minor"/>
      </rPr>
      <t xml:space="preserve"> 31</t>
    </r>
    <r>
      <rPr>
        <b/>
        <sz val="11"/>
        <color theme="1"/>
        <rFont val="맑은 고딕"/>
        <family val="3"/>
        <charset val="129"/>
      </rPr>
      <t>일</t>
    </r>
    <phoneticPr fontId="9" type="noConversion"/>
  </si>
  <si>
    <r>
      <rPr>
        <b/>
        <sz val="11"/>
        <color theme="1"/>
        <rFont val="맑은 고딕"/>
        <family val="3"/>
        <charset val="129"/>
      </rPr>
      <t>기간</t>
    </r>
    <r>
      <rPr>
        <b/>
        <sz val="11"/>
        <color theme="1"/>
        <rFont val="Calibri"/>
        <family val="2"/>
        <scheme val="minor"/>
      </rPr>
      <t xml:space="preserve"> : 2026</t>
    </r>
    <r>
      <rPr>
        <b/>
        <sz val="11"/>
        <color theme="1"/>
        <rFont val="맑은 고딕"/>
        <family val="3"/>
        <charset val="129"/>
      </rPr>
      <t>년</t>
    </r>
    <r>
      <rPr>
        <b/>
        <sz val="11"/>
        <color theme="1"/>
        <rFont val="Calibri"/>
        <family val="2"/>
        <scheme val="minor"/>
      </rPr>
      <t xml:space="preserve"> 08</t>
    </r>
    <r>
      <rPr>
        <b/>
        <sz val="11"/>
        <color theme="1"/>
        <rFont val="맑은 고딕"/>
        <family val="3"/>
        <charset val="129"/>
      </rPr>
      <t>월</t>
    </r>
    <r>
      <rPr>
        <b/>
        <sz val="11"/>
        <color theme="1"/>
        <rFont val="Calibri"/>
        <family val="2"/>
        <scheme val="minor"/>
      </rPr>
      <t xml:space="preserve"> 01</t>
    </r>
    <r>
      <rPr>
        <b/>
        <sz val="11"/>
        <color theme="1"/>
        <rFont val="맑은 고딕"/>
        <family val="3"/>
        <charset val="129"/>
      </rPr>
      <t>일</t>
    </r>
    <r>
      <rPr>
        <b/>
        <sz val="11"/>
        <color theme="1"/>
        <rFont val="Calibri"/>
        <family val="2"/>
        <scheme val="minor"/>
      </rPr>
      <t xml:space="preserve"> ~ 2026</t>
    </r>
    <r>
      <rPr>
        <b/>
        <sz val="11"/>
        <color theme="1"/>
        <rFont val="맑은 고딕"/>
        <family val="3"/>
        <charset val="129"/>
      </rPr>
      <t>년</t>
    </r>
    <r>
      <rPr>
        <b/>
        <sz val="11"/>
        <color theme="1"/>
        <rFont val="Calibri"/>
        <family val="2"/>
        <scheme val="minor"/>
      </rPr>
      <t xml:space="preserve"> 08</t>
    </r>
    <r>
      <rPr>
        <b/>
        <sz val="11"/>
        <color theme="1"/>
        <rFont val="맑은 고딕"/>
        <family val="3"/>
        <charset val="129"/>
      </rPr>
      <t>월</t>
    </r>
    <r>
      <rPr>
        <b/>
        <sz val="11"/>
        <color theme="1"/>
        <rFont val="Calibri"/>
        <family val="2"/>
        <scheme val="minor"/>
      </rPr>
      <t xml:space="preserve"> 31</t>
    </r>
    <r>
      <rPr>
        <b/>
        <sz val="11"/>
        <color theme="1"/>
        <rFont val="맑은 고딕"/>
        <family val="3"/>
        <charset val="129"/>
      </rPr>
      <t>일</t>
    </r>
    <phoneticPr fontId="9" type="noConversion"/>
  </si>
  <si>
    <r>
      <rPr>
        <b/>
        <sz val="11"/>
        <color theme="1"/>
        <rFont val="맑은 고딕"/>
        <family val="3"/>
        <charset val="129"/>
      </rPr>
      <t>기간</t>
    </r>
    <r>
      <rPr>
        <b/>
        <sz val="11"/>
        <color theme="1"/>
        <rFont val="Calibri"/>
        <family val="2"/>
        <scheme val="minor"/>
      </rPr>
      <t xml:space="preserve"> : 2026</t>
    </r>
    <r>
      <rPr>
        <b/>
        <sz val="11"/>
        <color theme="1"/>
        <rFont val="맑은 고딕"/>
        <family val="3"/>
        <charset val="129"/>
      </rPr>
      <t>년</t>
    </r>
    <r>
      <rPr>
        <b/>
        <sz val="11"/>
        <color theme="1"/>
        <rFont val="Calibri"/>
        <family val="2"/>
        <scheme val="minor"/>
      </rPr>
      <t xml:space="preserve"> 09</t>
    </r>
    <r>
      <rPr>
        <b/>
        <sz val="11"/>
        <color theme="1"/>
        <rFont val="맑은 고딕"/>
        <family val="3"/>
        <charset val="129"/>
      </rPr>
      <t>월</t>
    </r>
    <r>
      <rPr>
        <b/>
        <sz val="11"/>
        <color theme="1"/>
        <rFont val="Calibri"/>
        <family val="2"/>
        <scheme val="minor"/>
      </rPr>
      <t xml:space="preserve"> 01</t>
    </r>
    <r>
      <rPr>
        <b/>
        <sz val="11"/>
        <color theme="1"/>
        <rFont val="맑은 고딕"/>
        <family val="3"/>
        <charset val="129"/>
      </rPr>
      <t>일</t>
    </r>
    <r>
      <rPr>
        <b/>
        <sz val="11"/>
        <color theme="1"/>
        <rFont val="Calibri"/>
        <family val="2"/>
        <scheme val="minor"/>
      </rPr>
      <t xml:space="preserve"> ~ 2026</t>
    </r>
    <r>
      <rPr>
        <b/>
        <sz val="11"/>
        <color theme="1"/>
        <rFont val="맑은 고딕"/>
        <family val="3"/>
        <charset val="129"/>
      </rPr>
      <t>년</t>
    </r>
    <r>
      <rPr>
        <b/>
        <sz val="11"/>
        <color theme="1"/>
        <rFont val="Calibri"/>
        <family val="2"/>
        <scheme val="minor"/>
      </rPr>
      <t xml:space="preserve"> 09</t>
    </r>
    <r>
      <rPr>
        <b/>
        <sz val="11"/>
        <color theme="1"/>
        <rFont val="맑은 고딕"/>
        <family val="3"/>
        <charset val="129"/>
      </rPr>
      <t>월</t>
    </r>
    <r>
      <rPr>
        <b/>
        <sz val="11"/>
        <color theme="1"/>
        <rFont val="Calibri"/>
        <family val="2"/>
        <scheme val="minor"/>
      </rPr>
      <t xml:space="preserve"> 30</t>
    </r>
    <r>
      <rPr>
        <b/>
        <sz val="11"/>
        <color theme="1"/>
        <rFont val="맑은 고딕"/>
        <family val="3"/>
        <charset val="129"/>
      </rPr>
      <t>일</t>
    </r>
    <phoneticPr fontId="9" type="noConversion"/>
  </si>
  <si>
    <r>
      <rPr>
        <b/>
        <sz val="11"/>
        <color theme="1"/>
        <rFont val="맑은 고딕"/>
        <family val="3"/>
        <charset val="129"/>
      </rPr>
      <t>기간</t>
    </r>
    <r>
      <rPr>
        <b/>
        <sz val="11"/>
        <color theme="1"/>
        <rFont val="Calibri"/>
        <family val="2"/>
        <scheme val="minor"/>
      </rPr>
      <t xml:space="preserve"> : 2026</t>
    </r>
    <r>
      <rPr>
        <b/>
        <sz val="11"/>
        <color theme="1"/>
        <rFont val="맑은 고딕"/>
        <family val="3"/>
        <charset val="129"/>
      </rPr>
      <t>년</t>
    </r>
    <r>
      <rPr>
        <b/>
        <sz val="11"/>
        <color theme="1"/>
        <rFont val="Calibri"/>
        <family val="2"/>
        <scheme val="minor"/>
      </rPr>
      <t xml:space="preserve"> 10</t>
    </r>
    <r>
      <rPr>
        <b/>
        <sz val="11"/>
        <color theme="1"/>
        <rFont val="맑은 고딕"/>
        <family val="3"/>
        <charset val="129"/>
      </rPr>
      <t>월</t>
    </r>
    <r>
      <rPr>
        <b/>
        <sz val="11"/>
        <color theme="1"/>
        <rFont val="Calibri"/>
        <family val="2"/>
        <scheme val="minor"/>
      </rPr>
      <t xml:space="preserve"> 01</t>
    </r>
    <r>
      <rPr>
        <b/>
        <sz val="11"/>
        <color theme="1"/>
        <rFont val="맑은 고딕"/>
        <family val="3"/>
        <charset val="129"/>
      </rPr>
      <t>일</t>
    </r>
    <r>
      <rPr>
        <b/>
        <sz val="11"/>
        <color theme="1"/>
        <rFont val="Calibri"/>
        <family val="2"/>
        <scheme val="minor"/>
      </rPr>
      <t xml:space="preserve"> ~ 2026</t>
    </r>
    <r>
      <rPr>
        <b/>
        <sz val="11"/>
        <color theme="1"/>
        <rFont val="맑은 고딕"/>
        <family val="3"/>
        <charset val="129"/>
      </rPr>
      <t>년</t>
    </r>
    <r>
      <rPr>
        <b/>
        <sz val="11"/>
        <color theme="1"/>
        <rFont val="Calibri"/>
        <family val="2"/>
        <scheme val="minor"/>
      </rPr>
      <t xml:space="preserve"> 10</t>
    </r>
    <r>
      <rPr>
        <b/>
        <sz val="11"/>
        <color theme="1"/>
        <rFont val="맑은 고딕"/>
        <family val="3"/>
        <charset val="129"/>
      </rPr>
      <t>월</t>
    </r>
    <r>
      <rPr>
        <b/>
        <sz val="11"/>
        <color theme="1"/>
        <rFont val="Calibri"/>
        <family val="2"/>
        <scheme val="minor"/>
      </rPr>
      <t xml:space="preserve"> 31</t>
    </r>
    <r>
      <rPr>
        <b/>
        <sz val="11"/>
        <color theme="1"/>
        <rFont val="맑은 고딕"/>
        <family val="3"/>
        <charset val="129"/>
      </rPr>
      <t>일</t>
    </r>
    <phoneticPr fontId="9" type="noConversion"/>
  </si>
  <si>
    <r>
      <rPr>
        <b/>
        <sz val="11"/>
        <color theme="1"/>
        <rFont val="맑은 고딕"/>
        <family val="3"/>
        <charset val="129"/>
      </rPr>
      <t>기간</t>
    </r>
    <r>
      <rPr>
        <b/>
        <sz val="11"/>
        <color theme="1"/>
        <rFont val="Calibri"/>
        <family val="2"/>
        <scheme val="minor"/>
      </rPr>
      <t xml:space="preserve"> : 2026</t>
    </r>
    <r>
      <rPr>
        <b/>
        <sz val="11"/>
        <color theme="1"/>
        <rFont val="맑은 고딕"/>
        <family val="3"/>
        <charset val="129"/>
      </rPr>
      <t>년</t>
    </r>
    <r>
      <rPr>
        <b/>
        <sz val="11"/>
        <color theme="1"/>
        <rFont val="Calibri"/>
        <family val="2"/>
        <scheme val="minor"/>
      </rPr>
      <t xml:space="preserve"> 11</t>
    </r>
    <r>
      <rPr>
        <b/>
        <sz val="11"/>
        <color theme="1"/>
        <rFont val="맑은 고딕"/>
        <family val="3"/>
        <charset val="129"/>
      </rPr>
      <t>월</t>
    </r>
    <r>
      <rPr>
        <b/>
        <sz val="11"/>
        <color theme="1"/>
        <rFont val="Calibri"/>
        <family val="2"/>
        <scheme val="minor"/>
      </rPr>
      <t xml:space="preserve"> 01</t>
    </r>
    <r>
      <rPr>
        <b/>
        <sz val="11"/>
        <color theme="1"/>
        <rFont val="맑은 고딕"/>
        <family val="3"/>
        <charset val="129"/>
      </rPr>
      <t>일</t>
    </r>
    <r>
      <rPr>
        <b/>
        <sz val="11"/>
        <color theme="1"/>
        <rFont val="Calibri"/>
        <family val="2"/>
        <scheme val="minor"/>
      </rPr>
      <t xml:space="preserve"> ~ 2026</t>
    </r>
    <r>
      <rPr>
        <b/>
        <sz val="11"/>
        <color theme="1"/>
        <rFont val="맑은 고딕"/>
        <family val="3"/>
        <charset val="129"/>
      </rPr>
      <t>년</t>
    </r>
    <r>
      <rPr>
        <b/>
        <sz val="11"/>
        <color theme="1"/>
        <rFont val="Calibri"/>
        <family val="2"/>
        <scheme val="minor"/>
      </rPr>
      <t xml:space="preserve"> 11</t>
    </r>
    <r>
      <rPr>
        <b/>
        <sz val="11"/>
        <color theme="1"/>
        <rFont val="맑은 고딕"/>
        <family val="3"/>
        <charset val="129"/>
      </rPr>
      <t>월</t>
    </r>
    <r>
      <rPr>
        <b/>
        <sz val="11"/>
        <color theme="1"/>
        <rFont val="Calibri"/>
        <family val="2"/>
        <scheme val="minor"/>
      </rPr>
      <t xml:space="preserve"> 30</t>
    </r>
    <r>
      <rPr>
        <b/>
        <sz val="11"/>
        <color theme="1"/>
        <rFont val="맑은 고딕"/>
        <family val="3"/>
        <charset val="129"/>
      </rPr>
      <t>일</t>
    </r>
    <phoneticPr fontId="9" type="noConversion"/>
  </si>
  <si>
    <r>
      <rPr>
        <b/>
        <sz val="11"/>
        <color theme="1"/>
        <rFont val="맑은 고딕"/>
        <family val="3"/>
        <charset val="129"/>
      </rPr>
      <t>기간</t>
    </r>
    <r>
      <rPr>
        <b/>
        <sz val="11"/>
        <color theme="1"/>
        <rFont val="Calibri"/>
        <family val="2"/>
        <scheme val="minor"/>
      </rPr>
      <t xml:space="preserve"> : 2026</t>
    </r>
    <r>
      <rPr>
        <b/>
        <sz val="11"/>
        <color theme="1"/>
        <rFont val="맑은 고딕"/>
        <family val="3"/>
        <charset val="129"/>
      </rPr>
      <t>년</t>
    </r>
    <r>
      <rPr>
        <b/>
        <sz val="11"/>
        <color theme="1"/>
        <rFont val="Calibri"/>
        <family val="2"/>
        <scheme val="minor"/>
      </rPr>
      <t xml:space="preserve"> 12</t>
    </r>
    <r>
      <rPr>
        <b/>
        <sz val="11"/>
        <color theme="1"/>
        <rFont val="맑은 고딕"/>
        <family val="3"/>
        <charset val="129"/>
      </rPr>
      <t>월</t>
    </r>
    <r>
      <rPr>
        <b/>
        <sz val="11"/>
        <color theme="1"/>
        <rFont val="Calibri"/>
        <family val="2"/>
        <scheme val="minor"/>
      </rPr>
      <t xml:space="preserve"> 01</t>
    </r>
    <r>
      <rPr>
        <b/>
        <sz val="11"/>
        <color theme="1"/>
        <rFont val="맑은 고딕"/>
        <family val="3"/>
        <charset val="129"/>
      </rPr>
      <t>일</t>
    </r>
    <r>
      <rPr>
        <b/>
        <sz val="11"/>
        <color theme="1"/>
        <rFont val="Calibri"/>
        <family val="2"/>
        <scheme val="minor"/>
      </rPr>
      <t xml:space="preserve"> ~ 2026</t>
    </r>
    <r>
      <rPr>
        <b/>
        <sz val="11"/>
        <color theme="1"/>
        <rFont val="맑은 고딕"/>
        <family val="3"/>
        <charset val="129"/>
      </rPr>
      <t>년</t>
    </r>
    <r>
      <rPr>
        <b/>
        <sz val="11"/>
        <color theme="1"/>
        <rFont val="Calibri"/>
        <family val="2"/>
        <scheme val="minor"/>
      </rPr>
      <t xml:space="preserve"> 12</t>
    </r>
    <r>
      <rPr>
        <b/>
        <sz val="11"/>
        <color theme="1"/>
        <rFont val="맑은 고딕"/>
        <family val="3"/>
        <charset val="129"/>
      </rPr>
      <t>월</t>
    </r>
    <r>
      <rPr>
        <b/>
        <sz val="11"/>
        <color theme="1"/>
        <rFont val="Calibri"/>
        <family val="2"/>
        <scheme val="minor"/>
      </rPr>
      <t xml:space="preserve"> 31</t>
    </r>
    <r>
      <rPr>
        <b/>
        <sz val="11"/>
        <color theme="1"/>
        <rFont val="맑은 고딕"/>
        <family val="3"/>
        <charset val="129"/>
      </rPr>
      <t>일</t>
    </r>
    <phoneticPr fontId="9" type="noConversion"/>
  </si>
  <si>
    <t>CA-1030WSH(N)(동양)</t>
    <phoneticPr fontId="5" type="noConversion"/>
  </si>
  <si>
    <t>1</t>
  </si>
  <si>
    <t xml:space="preserve">수원시 구운동 949-14 </t>
  </si>
  <si>
    <t>구내증폭기</t>
  </si>
  <si>
    <t>교체</t>
  </si>
  <si>
    <t>전원부 불량교체</t>
  </si>
  <si>
    <t>임노홍</t>
  </si>
  <si>
    <t>2</t>
  </si>
  <si>
    <t>불량</t>
  </si>
  <si>
    <t>3</t>
  </si>
  <si>
    <t>수원시 세류동 1035-78</t>
  </si>
  <si>
    <t>하향 MER 불량교체</t>
  </si>
  <si>
    <t>4</t>
  </si>
  <si>
    <t>5</t>
  </si>
  <si>
    <t>용인시 처인구 이동읍 송전리 241-19 성지아파트</t>
  </si>
  <si>
    <t>이재능</t>
  </si>
  <si>
    <t>6</t>
  </si>
  <si>
    <t>7</t>
  </si>
  <si>
    <t>용인시 처인구 김량장동 343-24</t>
  </si>
  <si>
    <t>하향 신호 증폭 불량교체</t>
  </si>
  <si>
    <t>심재성</t>
  </si>
  <si>
    <t>8</t>
  </si>
  <si>
    <t>9</t>
  </si>
  <si>
    <t>커넥터</t>
  </si>
  <si>
    <t>10</t>
  </si>
  <si>
    <t>평택시 비전동 813 럭키덕동 상가</t>
  </si>
  <si>
    <t>연장증폭기</t>
  </si>
  <si>
    <t>연장증폭기 전원부 불량 교체</t>
  </si>
  <si>
    <t>박천후</t>
  </si>
  <si>
    <t>11</t>
  </si>
  <si>
    <t>12</t>
  </si>
  <si>
    <t>13</t>
  </si>
  <si>
    <t>열수축관</t>
  </si>
  <si>
    <t>12C-PIN용 (20Cm*1개)</t>
  </si>
  <si>
    <t>14</t>
  </si>
  <si>
    <t>오산시 원동 556-2</t>
  </si>
  <si>
    <t>하향증폭 불량교체</t>
  </si>
  <si>
    <t>이준환</t>
  </si>
  <si>
    <t>15</t>
  </si>
  <si>
    <t>16</t>
  </si>
  <si>
    <t>화성시 산척동 동탄순환대로10길30-23</t>
  </si>
  <si>
    <t>17</t>
  </si>
  <si>
    <t>18</t>
  </si>
  <si>
    <t>SCL006C(5C압착)</t>
  </si>
  <si>
    <t>19</t>
  </si>
  <si>
    <t>수원시 영통구 매탄동1258 주공그린1단지 107동</t>
  </si>
  <si>
    <t>김정재</t>
  </si>
  <si>
    <t>20</t>
  </si>
  <si>
    <t>21</t>
  </si>
  <si>
    <t>22</t>
  </si>
  <si>
    <t>용인시 기흥구 언남동 495 삼성래미안2차아파트 209동</t>
  </si>
  <si>
    <t>서진환</t>
  </si>
  <si>
    <t>23</t>
  </si>
  <si>
    <t>24</t>
  </si>
  <si>
    <t>수원시 세류동 1093-5</t>
  </si>
  <si>
    <t>25</t>
  </si>
  <si>
    <t>26</t>
  </si>
  <si>
    <t>용인시 처인구 마평주공아파트 101동 8층 eps실</t>
  </si>
  <si>
    <t>27</t>
  </si>
  <si>
    <t>28</t>
  </si>
  <si>
    <t>용인시 기흥구 상갈동 260-4</t>
  </si>
  <si>
    <t>간선증폭기</t>
  </si>
  <si>
    <t>29</t>
  </si>
  <si>
    <t>30</t>
  </si>
  <si>
    <t>31</t>
  </si>
  <si>
    <t>32</t>
  </si>
  <si>
    <t>용인시 처인구 김량장동 254-134</t>
  </si>
  <si>
    <t>33</t>
  </si>
  <si>
    <t>34</t>
  </si>
  <si>
    <t>35</t>
  </si>
  <si>
    <t>36</t>
  </si>
  <si>
    <t xml:space="preserve"> 용인시 기흥구 언남동 495 삼성래미안2차아파트 205동1~2라인3층</t>
  </si>
  <si>
    <t>하향신호 증폭 불량교체</t>
  </si>
  <si>
    <t>고재희</t>
  </si>
  <si>
    <t>37</t>
  </si>
  <si>
    <t>38</t>
  </si>
  <si>
    <t>39</t>
  </si>
  <si>
    <t>용인시 기흥구 언남동 495 삼성래미안2차아파트 201동1~2라인3층</t>
  </si>
  <si>
    <t>하향MER 변동 선재적 교체</t>
  </si>
  <si>
    <t>40</t>
  </si>
  <si>
    <t>41</t>
  </si>
  <si>
    <t>오산시 수청동 수청로31우미린 104동 1-2라인 2층</t>
  </si>
  <si>
    <t>하향신호 증폭불량교체</t>
  </si>
  <si>
    <t>42</t>
  </si>
  <si>
    <t>43</t>
  </si>
  <si>
    <t>수원시 영통구 영통동 955-1 147동 3층</t>
  </si>
  <si>
    <t>44</t>
  </si>
  <si>
    <t>45</t>
  </si>
  <si>
    <t>46</t>
  </si>
  <si>
    <t>안성시 공도읍 마정리561 베르빌아파트101동 1-2라인 2층</t>
  </si>
  <si>
    <t>하향MER 불량교체</t>
  </si>
  <si>
    <t>목승철</t>
  </si>
  <si>
    <t>47</t>
  </si>
  <si>
    <t>48</t>
  </si>
  <si>
    <t>49</t>
  </si>
  <si>
    <t xml:space="preserve">안성시 대덕면 진현리248 단독주택 </t>
  </si>
  <si>
    <t>50</t>
  </si>
  <si>
    <t>51</t>
  </si>
  <si>
    <t>수원시 팔달구 화서동 71-90</t>
  </si>
  <si>
    <t>진성두</t>
  </si>
  <si>
    <t>52</t>
  </si>
  <si>
    <t>53</t>
  </si>
  <si>
    <t>수원시 세류동 579-1</t>
  </si>
  <si>
    <t>구내증폭기 입력포트 불량교체</t>
  </si>
  <si>
    <t>54</t>
  </si>
  <si>
    <t>55</t>
  </si>
  <si>
    <t>수원시 세류동 460-1</t>
  </si>
  <si>
    <t>56</t>
  </si>
  <si>
    <t>57</t>
  </si>
  <si>
    <t>수원시 곡반정동 538-15</t>
  </si>
  <si>
    <t>구내증폭기 노후 선제적 교체</t>
  </si>
  <si>
    <t>58</t>
  </si>
  <si>
    <t>59</t>
  </si>
  <si>
    <t>용인시 수지구 상현동 860 아이파크 3단지 302동 1~2</t>
  </si>
  <si>
    <t>노이즈 유입 선재적 교체</t>
  </si>
  <si>
    <t>60</t>
  </si>
  <si>
    <t>61</t>
  </si>
  <si>
    <t>62</t>
  </si>
  <si>
    <t>화성시 봉담읍 와우리 177-3</t>
  </si>
  <si>
    <t>전호준</t>
  </si>
  <si>
    <t>63</t>
  </si>
  <si>
    <t>64</t>
  </si>
  <si>
    <t>옥내용분배기</t>
  </si>
  <si>
    <t>65</t>
  </si>
  <si>
    <t>수원시 권선구 오목천동 318-4</t>
  </si>
  <si>
    <t>김동현</t>
  </si>
  <si>
    <t>66</t>
  </si>
  <si>
    <t>67</t>
  </si>
  <si>
    <t>수원시 권선구 서둔동 27-65</t>
  </si>
  <si>
    <t>상향 신호 불량교체</t>
  </si>
  <si>
    <t>68</t>
  </si>
  <si>
    <t>69</t>
  </si>
  <si>
    <t>70</t>
  </si>
  <si>
    <t xml:space="preserve">수원시 장안구 정자동 871백셀 예듀빌아파트563동 1-2라인 9층 </t>
  </si>
  <si>
    <t>71</t>
  </si>
  <si>
    <t>72</t>
  </si>
  <si>
    <t>용인시 처인구 지삼로 530 앞</t>
  </si>
  <si>
    <t>73</t>
  </si>
  <si>
    <t>모토로라 - MBV3-100K</t>
  </si>
  <si>
    <t>74</t>
  </si>
  <si>
    <t>75</t>
  </si>
  <si>
    <t>76</t>
  </si>
  <si>
    <t>용인시 처인구 양지면 남곡리 107-8 106동</t>
  </si>
  <si>
    <t>77</t>
  </si>
  <si>
    <t>78</t>
  </si>
  <si>
    <t>수원시  매탄동 176 현대힐스테이트 113동1.2라인 지층</t>
  </si>
  <si>
    <t>79</t>
  </si>
  <si>
    <t>80</t>
  </si>
  <si>
    <t>용인시 수지구 신봉동911 lg자이2차A  202동3~4라인 3층 티비함체</t>
  </si>
  <si>
    <t>상향신호 변동불량교체</t>
  </si>
  <si>
    <t>안석철</t>
  </si>
  <si>
    <t>81</t>
  </si>
  <si>
    <t>82</t>
  </si>
  <si>
    <t>83</t>
  </si>
  <si>
    <t>용인시 처인구 김량장동 408</t>
  </si>
  <si>
    <t>84</t>
  </si>
  <si>
    <t>85</t>
  </si>
  <si>
    <t>옥내용_8분기기</t>
  </si>
  <si>
    <t>86</t>
  </si>
  <si>
    <t>수원시 세류동 1143-11</t>
  </si>
  <si>
    <t>87</t>
  </si>
  <si>
    <t>88</t>
  </si>
  <si>
    <t>용인시 수지구 죽전동 대지로19 진흥더블테크 1403동3~4라인 2층</t>
  </si>
  <si>
    <t>89</t>
  </si>
  <si>
    <t>90</t>
  </si>
  <si>
    <t>91</t>
  </si>
  <si>
    <t>수원시  매탄동 1260 그린빌2단지 206동5.6라인 3층</t>
  </si>
  <si>
    <t>92</t>
  </si>
  <si>
    <t>93</t>
  </si>
  <si>
    <t>용인시 기흥구 서천로172번길21-3 1층티비함체</t>
  </si>
  <si>
    <t>하향 신호 불량교체</t>
  </si>
  <si>
    <t>94</t>
  </si>
  <si>
    <t>95</t>
  </si>
  <si>
    <t>용인시 수지구 성복동731 602동 B1지하주차장 공동구</t>
  </si>
  <si>
    <t>96</t>
  </si>
  <si>
    <t>97</t>
  </si>
  <si>
    <t>안성시 공도읍 부영아파트 106동8층1~7라인</t>
  </si>
  <si>
    <t>김강수</t>
  </si>
  <si>
    <t>98</t>
  </si>
  <si>
    <t>99</t>
  </si>
  <si>
    <t>용인시 처인구 마평동703 용인실내체육관</t>
  </si>
  <si>
    <t>구내증폭기 노후 선재적교체</t>
  </si>
  <si>
    <t>100</t>
  </si>
  <si>
    <t>101</t>
  </si>
  <si>
    <t>용인시 처인구 마평동703 용인실내체육관(메인구내증폭기)</t>
  </si>
  <si>
    <t>상향신호 증폭 불량교체</t>
  </si>
  <si>
    <t>102</t>
  </si>
  <si>
    <t>103</t>
  </si>
  <si>
    <t xml:space="preserve"> 수원시 권선구 1235</t>
  </si>
  <si>
    <t>104</t>
  </si>
  <si>
    <t>105</t>
  </si>
  <si>
    <t>수원시 권선구 1235 307동 5-6</t>
  </si>
  <si>
    <t>106</t>
  </si>
  <si>
    <t>107</t>
  </si>
  <si>
    <t>용인시 기흥구 언남동 342-1 구성주민센터</t>
  </si>
  <si>
    <t>108</t>
  </si>
  <si>
    <t>109</t>
  </si>
  <si>
    <t>110</t>
  </si>
  <si>
    <t>용인시 기흥구 상하동656  107동 1~2라인 9층</t>
  </si>
  <si>
    <t>111</t>
  </si>
  <si>
    <t>112</t>
  </si>
  <si>
    <t>113</t>
  </si>
  <si>
    <t>화성시 병점동 859  주공4단지  401동 1-2라인3층</t>
  </si>
  <si>
    <t>114</t>
  </si>
  <si>
    <t>115</t>
  </si>
  <si>
    <t>수원시 팔달구 매교동 77-27</t>
  </si>
  <si>
    <t>116</t>
  </si>
  <si>
    <t>117</t>
  </si>
  <si>
    <t>118</t>
  </si>
  <si>
    <t>수원시 팔달구 매교동 25-4</t>
  </si>
  <si>
    <t>119</t>
  </si>
  <si>
    <t>120</t>
  </si>
  <si>
    <t>121</t>
  </si>
  <si>
    <t>122</t>
  </si>
  <si>
    <t>용인시 기흥구 상하동636  808동 5층함체</t>
  </si>
  <si>
    <t>123</t>
  </si>
  <si>
    <t>124</t>
  </si>
  <si>
    <t>용인시 기흥구 상하동636  808동 11층</t>
  </si>
  <si>
    <t>125</t>
  </si>
  <si>
    <t>126</t>
  </si>
  <si>
    <t>127</t>
  </si>
  <si>
    <t>용인시 기흥구 구갈동 597  502동 3~4 라인 15층</t>
  </si>
  <si>
    <t>128</t>
  </si>
  <si>
    <t>129</t>
  </si>
  <si>
    <t>용인시 기흥구 구갈동 597  502동 3~4 라인 3층</t>
  </si>
  <si>
    <t>130</t>
  </si>
  <si>
    <t>131</t>
  </si>
  <si>
    <t>수원시 권선구 권선동 1267 벽산한성 APT 803동 10층</t>
  </si>
  <si>
    <t>132</t>
  </si>
  <si>
    <t>133</t>
  </si>
  <si>
    <t>134</t>
  </si>
  <si>
    <t xml:space="preserve">용인시 기흥구 영덕동 975-2  흥덕웰스프라자 1층 </t>
  </si>
  <si>
    <t>상향 신호 증폭 불량교체</t>
  </si>
  <si>
    <t>135</t>
  </si>
  <si>
    <t>136</t>
  </si>
  <si>
    <t>용인시 처인구 모현읍 초부리 191</t>
  </si>
  <si>
    <t>하향 MER 변동 불량교체</t>
  </si>
  <si>
    <t>137</t>
  </si>
  <si>
    <t>138</t>
  </si>
  <si>
    <t>139</t>
  </si>
  <si>
    <t>140</t>
  </si>
  <si>
    <t>수원시 권선구 당수동 287 104동 3층</t>
  </si>
  <si>
    <t>141</t>
  </si>
  <si>
    <t>142</t>
  </si>
  <si>
    <t>143</t>
  </si>
  <si>
    <t>화성시 남양읍 남양리1172-3</t>
  </si>
  <si>
    <t>서도남</t>
  </si>
  <si>
    <t>144</t>
  </si>
  <si>
    <t>145</t>
  </si>
  <si>
    <t>용인시 수지구 심곡로 87 수지제일아이조움 B2 EPS실</t>
  </si>
  <si>
    <t>146</t>
  </si>
  <si>
    <t>147</t>
  </si>
  <si>
    <t>수원시 영통구 이의동 1370 .5302동 3층</t>
  </si>
  <si>
    <t>구내증폭기 선재적 교체</t>
  </si>
  <si>
    <t>148</t>
  </si>
  <si>
    <t>149</t>
  </si>
  <si>
    <t>용인시 기흥구 구갈동 276 롯데캐슬아파트 인입 맨홀</t>
  </si>
  <si>
    <t>150</t>
  </si>
  <si>
    <t>151</t>
  </si>
  <si>
    <t>수원시 권선구 서둔동 39-22</t>
  </si>
  <si>
    <t>152</t>
  </si>
  <si>
    <t>153</t>
  </si>
  <si>
    <t>수동소자</t>
  </si>
  <si>
    <t>154</t>
  </si>
  <si>
    <t>155</t>
  </si>
  <si>
    <t>공사성자재</t>
  </si>
  <si>
    <t>156</t>
  </si>
  <si>
    <t>용인시 기흥구 마북동163-1 인입 간선</t>
  </si>
  <si>
    <t>하향 틸트 불량교체</t>
  </si>
  <si>
    <t>157</t>
  </si>
  <si>
    <t>158</t>
  </si>
  <si>
    <t>용인시 수지구 신봉동911 lg자이2차A 인입 간선</t>
  </si>
  <si>
    <t>159</t>
  </si>
  <si>
    <t>160</t>
  </si>
  <si>
    <t>화성시 남양읍 역골동로10-17</t>
  </si>
  <si>
    <t>상향 증폭 불량교체</t>
  </si>
  <si>
    <t>박현오</t>
  </si>
  <si>
    <t>161</t>
  </si>
  <si>
    <t>162</t>
  </si>
  <si>
    <t>화성시 팔탄면 기천리 531</t>
  </si>
  <si>
    <t>상향신호 불량교체</t>
  </si>
  <si>
    <t>163</t>
  </si>
  <si>
    <t>164</t>
  </si>
  <si>
    <t>165</t>
  </si>
  <si>
    <t>수원시 권선구 권선동 1312 주공 127동 지하</t>
  </si>
  <si>
    <t>166</t>
  </si>
  <si>
    <t>167</t>
  </si>
  <si>
    <t xml:space="preserve">수원시 장안구 영화동 428-25 </t>
  </si>
  <si>
    <t>전원부 및 모듈 불량교체</t>
  </si>
  <si>
    <t>168</t>
  </si>
  <si>
    <t>169</t>
  </si>
  <si>
    <t>170</t>
  </si>
  <si>
    <t>평택시 포승읍 원정리 86-121</t>
  </si>
  <si>
    <t>하향 증폭 불량 및 MER 불량교체</t>
  </si>
  <si>
    <t>손종선</t>
  </si>
  <si>
    <t>171</t>
  </si>
  <si>
    <t>172</t>
  </si>
  <si>
    <t>용인시 기흥구 보라동570 현대모닝사이드아파트 8동1~2라인</t>
  </si>
  <si>
    <t>상향증폭 불량교체</t>
  </si>
  <si>
    <t>173</t>
  </si>
  <si>
    <t>174</t>
  </si>
  <si>
    <t>175</t>
  </si>
  <si>
    <t>용인시 처인구 포곡읍 마성리 45-2</t>
  </si>
  <si>
    <t>176</t>
  </si>
  <si>
    <t>177</t>
  </si>
  <si>
    <t>178</t>
  </si>
  <si>
    <t>179</t>
  </si>
  <si>
    <t>180</t>
  </si>
  <si>
    <t>181</t>
  </si>
  <si>
    <t>용인시 기흥구 한보라1로 134-2 유링빌딩 3층 티비함체</t>
  </si>
  <si>
    <t>전웢부 불량교체</t>
  </si>
  <si>
    <t>182</t>
  </si>
  <si>
    <t>183</t>
  </si>
  <si>
    <t>184</t>
  </si>
  <si>
    <t>용인시 기흥구 고매동 542-19</t>
  </si>
  <si>
    <t>185</t>
  </si>
  <si>
    <t>186</t>
  </si>
  <si>
    <t>187</t>
  </si>
  <si>
    <t>용인시 기흥구 서천동322-2 1층함체</t>
  </si>
  <si>
    <t>188</t>
  </si>
  <si>
    <t>189</t>
  </si>
  <si>
    <t>수원시 세류동 1168-1</t>
  </si>
  <si>
    <t>하향 신호불량교체</t>
  </si>
  <si>
    <t>190</t>
  </si>
  <si>
    <t>191</t>
  </si>
  <si>
    <t>평택시 팽성읍 객사리164-74</t>
  </si>
  <si>
    <t>전원공급기_UPS</t>
  </si>
  <si>
    <t>APU-960N</t>
  </si>
  <si>
    <t>UPS 노후 교체</t>
  </si>
  <si>
    <t>192</t>
  </si>
  <si>
    <t>193</t>
  </si>
  <si>
    <t>194</t>
  </si>
  <si>
    <t>195</t>
  </si>
  <si>
    <t>196</t>
  </si>
  <si>
    <t>평택시 고덕면 문곡리623</t>
  </si>
  <si>
    <t>197</t>
  </si>
  <si>
    <t>198</t>
  </si>
  <si>
    <t>199</t>
  </si>
  <si>
    <t>200</t>
  </si>
  <si>
    <t>201</t>
  </si>
  <si>
    <t>용인시 처인구 양지읍 남곡리 152-7 센텀시티 403동</t>
  </si>
  <si>
    <t>노이즈 작업 구내증폭기 선재적 교체</t>
  </si>
  <si>
    <t>202</t>
  </si>
  <si>
    <t>203</t>
  </si>
  <si>
    <t>수원시 569-4</t>
  </si>
  <si>
    <t>204</t>
  </si>
  <si>
    <t>205</t>
  </si>
  <si>
    <t>수원시 영통구 영통동1030-13</t>
  </si>
  <si>
    <t>신규</t>
  </si>
  <si>
    <t>신호불량 구내증폭기 신설</t>
  </si>
  <si>
    <t>206</t>
  </si>
  <si>
    <t>수원시 영통동970-3 벽족골주공9단지 906동3.4라인 3층</t>
  </si>
  <si>
    <t>하향MER 불량</t>
  </si>
  <si>
    <t>207</t>
  </si>
  <si>
    <t>208</t>
  </si>
  <si>
    <t>209</t>
  </si>
  <si>
    <t>화성시 봉담읍 분천리 337-5</t>
  </si>
  <si>
    <t>210</t>
  </si>
  <si>
    <t>211</t>
  </si>
  <si>
    <t>화성시 향남읍 구문천리 151-31</t>
  </si>
  <si>
    <t>수도 동파로 인한 침수 불량교체</t>
  </si>
  <si>
    <t>212</t>
  </si>
  <si>
    <t>213</t>
  </si>
  <si>
    <t>경기도  안성시 공도읍   양기리 송정아파트 103동8층1~2라인 2층</t>
  </si>
  <si>
    <t>214</t>
  </si>
  <si>
    <t>215</t>
  </si>
  <si>
    <t xml:space="preserve">용인시 기흥구 보라동 570 현대모닝사이드 1차 315동 1~2라인 </t>
  </si>
  <si>
    <t>박명근</t>
  </si>
  <si>
    <t>216</t>
  </si>
  <si>
    <t>217</t>
  </si>
  <si>
    <t>오산시 원동 551 원동 태영아파트</t>
  </si>
  <si>
    <t>김동민</t>
  </si>
  <si>
    <t>218</t>
  </si>
  <si>
    <t>219</t>
  </si>
  <si>
    <t>220</t>
  </si>
  <si>
    <t>221</t>
  </si>
  <si>
    <t>수원시 천천동 일성아파트</t>
  </si>
  <si>
    <t>하향 신호증폭 불량교체</t>
  </si>
  <si>
    <t>강병수</t>
  </si>
  <si>
    <t>222</t>
  </si>
  <si>
    <t>223</t>
  </si>
  <si>
    <t>용인시 기흥구 신갈동60-18 4층함체</t>
  </si>
  <si>
    <t>224</t>
  </si>
  <si>
    <t>225</t>
  </si>
  <si>
    <t>용인시 처인구 삼가동 537 우남퍼스트빌 105/3~4 5층</t>
  </si>
  <si>
    <t>전원불량 PS 임시 시설</t>
  </si>
  <si>
    <t>226</t>
  </si>
  <si>
    <t>227</t>
  </si>
  <si>
    <t>228</t>
  </si>
  <si>
    <t>평택시 장당동 경기대로1155</t>
  </si>
  <si>
    <t>추성원</t>
  </si>
  <si>
    <t>229</t>
  </si>
  <si>
    <t>230</t>
  </si>
  <si>
    <t>231</t>
  </si>
  <si>
    <t>용인시 수지구 신봉동876 벽산아파트2동3~4라인 3층함체</t>
  </si>
  <si>
    <t>상향신호 불량교체(불량교체후 신품불량 재교체)</t>
  </si>
  <si>
    <t>232</t>
  </si>
  <si>
    <t>233</t>
  </si>
  <si>
    <t>용인시 수지구 신봉동876 벽산아파트4동4~5라인 3층함체</t>
  </si>
  <si>
    <t>234</t>
  </si>
  <si>
    <t>235</t>
  </si>
  <si>
    <t>용인시 수지구 죽전동 1216 모아미래도 301동 3~5라인 2층 함체</t>
  </si>
  <si>
    <t>236</t>
  </si>
  <si>
    <t>237</t>
  </si>
  <si>
    <t>238</t>
  </si>
  <si>
    <t>용인시 수지구 죽전동 1216 모아미래A 지하주차장  트레이 간선 303동지하</t>
  </si>
  <si>
    <t>239</t>
  </si>
  <si>
    <t>240</t>
  </si>
  <si>
    <t>용인시 처인구 이동읍 천리 1119 신미주아파트 101동</t>
  </si>
  <si>
    <t>241</t>
  </si>
  <si>
    <t>242</t>
  </si>
  <si>
    <t>화성시 기안동 290 광도와이드빌아파트</t>
  </si>
  <si>
    <t>쇼트로 인한 전원부 및 모듈 불량교체</t>
  </si>
  <si>
    <t>243</t>
  </si>
  <si>
    <t>244</t>
  </si>
  <si>
    <t>화성시 반송동 135 쌍용예가아파트</t>
  </si>
  <si>
    <t>245</t>
  </si>
  <si>
    <t>246</t>
  </si>
  <si>
    <t>용인시 죽전동1165힐스테이트 아파트713동앞 주차장 공동구</t>
  </si>
  <si>
    <t>동양 DFORT-G204 (1*1)</t>
  </si>
  <si>
    <t>247</t>
  </si>
  <si>
    <t>규격외 모델(870M) (철거자재)</t>
  </si>
  <si>
    <t>248</t>
  </si>
  <si>
    <t>249</t>
  </si>
  <si>
    <t>250</t>
  </si>
  <si>
    <t>D.K (스터브케이블용)</t>
  </si>
  <si>
    <t>251</t>
  </si>
  <si>
    <t>전원공급기_PS</t>
  </si>
  <si>
    <t>APP-990P</t>
  </si>
  <si>
    <t>PS 소음 불량교체</t>
  </si>
  <si>
    <t>252</t>
  </si>
  <si>
    <t>253</t>
  </si>
  <si>
    <t>254</t>
  </si>
  <si>
    <t>용인시 기흥구 상갈동468-6번지앞 가공</t>
  </si>
  <si>
    <t>동양 DFORT-G204 (2*2)</t>
  </si>
  <si>
    <t>ONU 하향 MER변동 교체</t>
  </si>
  <si>
    <t>255</t>
  </si>
  <si>
    <t>256</t>
  </si>
  <si>
    <t>257</t>
  </si>
  <si>
    <t>258</t>
  </si>
  <si>
    <t>259</t>
  </si>
  <si>
    <t>260</t>
  </si>
  <si>
    <t>261</t>
  </si>
  <si>
    <t>용인시 수지구 상현동827 금호베스트빌 154동앞 지하주차장</t>
  </si>
  <si>
    <t>262</t>
  </si>
  <si>
    <t>263</t>
  </si>
  <si>
    <t>264</t>
  </si>
  <si>
    <t>265</t>
  </si>
  <si>
    <t>266</t>
  </si>
  <si>
    <t>평택시 서정동 552-46</t>
  </si>
  <si>
    <t>DC08 침수 불량교체</t>
  </si>
  <si>
    <t>267</t>
  </si>
  <si>
    <t>268</t>
  </si>
  <si>
    <t>269</t>
  </si>
  <si>
    <t>평택시 신장동203</t>
  </si>
  <si>
    <t>1차TAP 침수 불량교체</t>
  </si>
  <si>
    <t>270</t>
  </si>
  <si>
    <t>화성시 우정읍 이화리 산47-1</t>
  </si>
  <si>
    <t>동축케이블</t>
  </si>
  <si>
    <t>7C 케이블 단선 재포설</t>
  </si>
  <si>
    <t>271</t>
  </si>
  <si>
    <t>272</t>
  </si>
  <si>
    <t>용인시 처인구 이동읍 천리 285-32</t>
  </si>
  <si>
    <t>273</t>
  </si>
  <si>
    <t>용인시 처인구 양지면 남곡리 117-37번지</t>
  </si>
  <si>
    <t>274</t>
  </si>
  <si>
    <t>275</t>
  </si>
  <si>
    <t>276</t>
  </si>
  <si>
    <t>277</t>
  </si>
  <si>
    <t>용인시 처인구 삼가동 296-2 앞 전주</t>
  </si>
  <si>
    <t>278</t>
  </si>
  <si>
    <t>279</t>
  </si>
  <si>
    <t>용인시 처인구 모현읍 오산리 183-3</t>
  </si>
  <si>
    <t>계량기함체</t>
  </si>
  <si>
    <t>계량기 함 파손 교체</t>
  </si>
  <si>
    <t>280</t>
  </si>
  <si>
    <t>자동복구기</t>
  </si>
  <si>
    <t>누전차단기(자동복구형) KJ-32</t>
  </si>
  <si>
    <t>281</t>
  </si>
  <si>
    <t>화성시 정남면 문학리 595</t>
  </si>
  <si>
    <t>282</t>
  </si>
  <si>
    <t>283</t>
  </si>
  <si>
    <t>284</t>
  </si>
  <si>
    <t>오산시 부산동 830</t>
  </si>
  <si>
    <t>노이즈 유입 커넥터 교체</t>
  </si>
  <si>
    <t>285</t>
  </si>
  <si>
    <t>용인시 수지구 동천동 859 현대홈타운 1단지 107동</t>
  </si>
  <si>
    <t>286</t>
  </si>
  <si>
    <t>화성시 남양읍 문호리 440-1</t>
  </si>
  <si>
    <t>287</t>
  </si>
  <si>
    <t>288</t>
  </si>
  <si>
    <t xml:space="preserve">오산시 내삼미동 895 자이아파트107동 </t>
  </si>
  <si>
    <t>289</t>
  </si>
  <si>
    <t>용인시 처인구 양지면 남곡리 117-11</t>
  </si>
  <si>
    <t>TAP 포트 불량교체</t>
  </si>
  <si>
    <t>290</t>
  </si>
  <si>
    <t>수원시 정자동 80-3</t>
  </si>
  <si>
    <t>7C 커넥터 노후 불량교체</t>
  </si>
  <si>
    <t>291</t>
  </si>
  <si>
    <t>용인시 처인구 김량장동 502-1 김량주공아파트 201동</t>
  </si>
  <si>
    <t>292</t>
  </si>
  <si>
    <t>화성시 청계동 516 대원칸타빌아파트</t>
  </si>
  <si>
    <t>293</t>
  </si>
  <si>
    <t>용인시 수지구 죽전동 1321-5 앞 맨홀</t>
  </si>
  <si>
    <t>3WAY 침수 불량교체</t>
  </si>
  <si>
    <t>294</t>
  </si>
  <si>
    <t>295</t>
  </si>
  <si>
    <t>296</t>
  </si>
  <si>
    <t>297</t>
  </si>
  <si>
    <t>298</t>
  </si>
  <si>
    <t>화성시 남양읍 활초리 일대</t>
  </si>
  <si>
    <t>노이즈 유입 수동소자 및 커넥터 교체</t>
  </si>
  <si>
    <t>299</t>
  </si>
  <si>
    <t>300</t>
  </si>
  <si>
    <t>301</t>
  </si>
  <si>
    <t>SCLPF(FT어댑터)</t>
  </si>
  <si>
    <t>302</t>
  </si>
  <si>
    <t>화성시 마도면 쌍송리670-9</t>
  </si>
  <si>
    <t>커넥터 불량 교체</t>
  </si>
  <si>
    <t>303</t>
  </si>
  <si>
    <t>수원시 원천동 72-39</t>
  </si>
  <si>
    <t>2차TAP 침수 불량교체</t>
  </si>
  <si>
    <t>304</t>
  </si>
  <si>
    <t>305</t>
  </si>
  <si>
    <t>용인시 처인구 호동 10-13번지</t>
  </si>
  <si>
    <t>306</t>
  </si>
  <si>
    <t>307</t>
  </si>
  <si>
    <t>308</t>
  </si>
  <si>
    <t>안성시 미양면 구수리85-2</t>
  </si>
  <si>
    <t>309</t>
  </si>
  <si>
    <t>310</t>
  </si>
  <si>
    <t>311</t>
  </si>
  <si>
    <t>화성시 팔탄면 기천리 536</t>
  </si>
  <si>
    <t>1차TAP 신호 불량교체</t>
  </si>
  <si>
    <t>312</t>
  </si>
  <si>
    <t>313</t>
  </si>
  <si>
    <t>314</t>
  </si>
  <si>
    <t>용인시 처인구 백암면 백암리 479-2번지 앞 전주</t>
  </si>
  <si>
    <t>315</t>
  </si>
  <si>
    <t>화성시 봉담읍 내리 일대</t>
  </si>
  <si>
    <t>케이블 단선 임시 복구</t>
  </si>
  <si>
    <t>316</t>
  </si>
  <si>
    <t>317</t>
  </si>
  <si>
    <t>수원시 윈천동606 호반베르디움 10006동</t>
  </si>
  <si>
    <t>318</t>
  </si>
  <si>
    <t>용인시 처인구 포곡읍 마성리 48-1</t>
  </si>
  <si>
    <t>계량기 함체 파손 교체</t>
  </si>
  <si>
    <t>319</t>
  </si>
  <si>
    <t>320</t>
  </si>
  <si>
    <t>용인시 수지구 동천동 910</t>
  </si>
  <si>
    <t>321</t>
  </si>
  <si>
    <t>322</t>
  </si>
  <si>
    <t>323</t>
  </si>
  <si>
    <t>용인시 처인구 모현읍 초부리 22-18</t>
  </si>
  <si>
    <t>324</t>
  </si>
  <si>
    <t>325</t>
  </si>
  <si>
    <t>326</t>
  </si>
  <si>
    <t>용인시 기흥구 언남동 342-1</t>
  </si>
  <si>
    <t>327</t>
  </si>
  <si>
    <t>328</t>
  </si>
  <si>
    <t>329</t>
  </si>
  <si>
    <t>330</t>
  </si>
  <si>
    <t>331</t>
  </si>
  <si>
    <t>평택시 신장동253-36</t>
  </si>
  <si>
    <t>332</t>
  </si>
  <si>
    <t>333</t>
  </si>
  <si>
    <t>화성시 향남읍 행정리 465</t>
  </si>
  <si>
    <t>334</t>
  </si>
  <si>
    <t>용인시 처인구 양지면 평창리 325-5</t>
  </si>
  <si>
    <t>동축케이블 단선 임시 복구</t>
  </si>
  <si>
    <t>335</t>
  </si>
  <si>
    <t>336</t>
  </si>
  <si>
    <t>337</t>
  </si>
  <si>
    <t>용인시 기흥구 공세동 476-111</t>
  </si>
  <si>
    <t>338</t>
  </si>
  <si>
    <t>339</t>
  </si>
  <si>
    <t>용인시 처인구 역북동 590-62</t>
  </si>
  <si>
    <t>340</t>
  </si>
  <si>
    <t>341</t>
  </si>
  <si>
    <t>342</t>
  </si>
  <si>
    <t>343</t>
  </si>
  <si>
    <t>화성시 서신면 매화리472</t>
  </si>
  <si>
    <t>344</t>
  </si>
  <si>
    <t>345</t>
  </si>
  <si>
    <t>346</t>
  </si>
  <si>
    <t>화성시 송산면 삼존리 247 마을회관</t>
  </si>
  <si>
    <t>347</t>
  </si>
  <si>
    <t>홈앤서비스 보라점</t>
  </si>
  <si>
    <t>홈앤서비스 구내증폭기 인계</t>
  </si>
  <si>
    <t>유진덕</t>
  </si>
  <si>
    <t>348</t>
  </si>
  <si>
    <t>홈앤서비스 남부지점</t>
  </si>
  <si>
    <t>최장빈</t>
  </si>
  <si>
    <t>349</t>
  </si>
  <si>
    <t>화성시 산척동 744 반도유보라아이비파크10차그린힐</t>
  </si>
  <si>
    <t>350</t>
  </si>
  <si>
    <t>용인시 처인구 남시읍 아곡리 681 한숲아파트 5단지</t>
  </si>
  <si>
    <t>노이즈 유입 커넥터 동교체</t>
  </si>
  <si>
    <t>351</t>
  </si>
  <si>
    <t>용인시 처인구 모현읍 동림리 140-1일대</t>
  </si>
  <si>
    <t>차량사고로 인한 동축케이블 단선 복구</t>
  </si>
  <si>
    <t>352</t>
  </si>
  <si>
    <t>353</t>
  </si>
  <si>
    <t>354</t>
  </si>
  <si>
    <t>355</t>
  </si>
  <si>
    <t>12C 동축케이블</t>
  </si>
  <si>
    <t>356</t>
  </si>
  <si>
    <t>화성시 송산면  지화리40-15</t>
  </si>
  <si>
    <t>7C케이블 단선 복구</t>
  </si>
  <si>
    <t>357</t>
  </si>
  <si>
    <t>화성시 반송동 80  윌드메르디앙  348동 22  24층</t>
  </si>
  <si>
    <t>358</t>
  </si>
  <si>
    <t>용인시 처인구 포곡읍 전대리 106-2 일대</t>
  </si>
  <si>
    <t>건물철거로 인한 2차TAP 이설</t>
  </si>
  <si>
    <t>359</t>
  </si>
  <si>
    <t>360</t>
  </si>
  <si>
    <t>수원시 영화동 434-1</t>
  </si>
  <si>
    <t>TAP 침수 불량교체</t>
  </si>
  <si>
    <t>361</t>
  </si>
  <si>
    <t>362</t>
  </si>
  <si>
    <t>363</t>
  </si>
  <si>
    <t>오산시 원동 888  e편한세상  112동</t>
  </si>
  <si>
    <t>364</t>
  </si>
  <si>
    <t>용인시 기흥구 청덕동 491-13</t>
  </si>
  <si>
    <t>365</t>
  </si>
  <si>
    <t>366</t>
  </si>
  <si>
    <t>367</t>
  </si>
  <si>
    <t>용인시 처인구 남동 584-67</t>
  </si>
  <si>
    <t>2WAY 침수 불량교체</t>
  </si>
  <si>
    <t>368</t>
  </si>
  <si>
    <t>369</t>
  </si>
  <si>
    <t>370</t>
  </si>
  <si>
    <t>화성시 향남읍 하길리 1444</t>
  </si>
  <si>
    <t>노이즈 유입커넥터 교체</t>
  </si>
  <si>
    <t>371</t>
  </si>
  <si>
    <t>수원시 영통구 하동 991</t>
  </si>
  <si>
    <t>372</t>
  </si>
  <si>
    <t>용인시 처인구 백암면 백암리 450-14번지</t>
  </si>
  <si>
    <t>2차TAP 신호불량교체</t>
  </si>
  <si>
    <t>373</t>
  </si>
  <si>
    <t>374</t>
  </si>
  <si>
    <t>용인시 처인구 역북동 736 우미린아파트 108동</t>
  </si>
  <si>
    <t>375</t>
  </si>
  <si>
    <t>용인시 처인구 포곡읍 둔전리 449 삼성쉐르빌 103동</t>
  </si>
  <si>
    <t>376</t>
  </si>
  <si>
    <t>화성시 송동693 3622동</t>
  </si>
  <si>
    <t>377</t>
  </si>
  <si>
    <t>용인시 처인구 역북동 439-23일대</t>
  </si>
  <si>
    <t>378</t>
  </si>
  <si>
    <t>379</t>
  </si>
  <si>
    <t>용인시 수지구 성복동 753 경남아너스빌아파트 102/1~4</t>
  </si>
  <si>
    <t>380</t>
  </si>
  <si>
    <t>수원시 정자동 풍림아파트</t>
  </si>
  <si>
    <t>381</t>
  </si>
  <si>
    <t>화성시 산척동 733 동탄호수공원역레이크시티</t>
  </si>
  <si>
    <t>382</t>
  </si>
  <si>
    <t>화성시 반월동 944 신동탄SK뷰파크아파트</t>
  </si>
  <si>
    <t>383</t>
  </si>
  <si>
    <t>화성시 향남읍 하길리 1475 부영사랑으로 6단지</t>
  </si>
  <si>
    <t>384</t>
  </si>
  <si>
    <t>화성시 향남읍 하길리 1441</t>
  </si>
  <si>
    <t>385</t>
  </si>
  <si>
    <t>386</t>
  </si>
  <si>
    <t>387</t>
  </si>
  <si>
    <t>홈앤서비스 평택지점</t>
  </si>
  <si>
    <t>388</t>
  </si>
  <si>
    <t>용인시 평택시 일대</t>
  </si>
  <si>
    <t>필터</t>
  </si>
  <si>
    <t>공청 필터 교체</t>
  </si>
  <si>
    <t>389</t>
  </si>
  <si>
    <t>수원시 일대</t>
  </si>
  <si>
    <t>안성시 가현동40번지</t>
  </si>
  <si>
    <t>하향MER 변동불량교체</t>
  </si>
  <si>
    <t>수원시 세류동 1118-25 한라녹턴몠</t>
  </si>
  <si>
    <t>PS 소음 민원건 교체</t>
  </si>
  <si>
    <t>화성시 향남읍 구문천리 151~30</t>
  </si>
  <si>
    <t>용인시 처인구 김량장동 296-53</t>
  </si>
  <si>
    <t>수원시 인계동 952-10</t>
  </si>
  <si>
    <t>경기 화성시 동탄역로 102</t>
  </si>
  <si>
    <t>ONU 노후 선제적 교체</t>
  </si>
  <si>
    <t>김승철</t>
  </si>
  <si>
    <t>수원시 매산로3가 72-44</t>
  </si>
  <si>
    <t>APU-990N</t>
  </si>
  <si>
    <t>PS 임시 운용개소 UPS 교체</t>
  </si>
  <si>
    <t>수원시 장안구 파장동 591-5</t>
  </si>
  <si>
    <t>오산시 원동 551  태영아파트 105동 5-6라인</t>
  </si>
  <si>
    <t>화성시 송산면 쌍정리1146</t>
  </si>
  <si>
    <t>하향신호 변동 불량교체</t>
  </si>
  <si>
    <t>용인시 처인구 포곡읍 둔전리 168</t>
  </si>
  <si>
    <t>화성시 석우동 2-7</t>
  </si>
  <si>
    <t>안성시 대덕면 내리691-1 코사보아 앞</t>
  </si>
  <si>
    <t>하향 MER 변동으로 인한 ONU 선제적 교체</t>
  </si>
  <si>
    <t>수원시 영통구 영통동973-3 우성두산한신아파트 801동5.6라인 3층</t>
  </si>
  <si>
    <t>구내증폭기 노후로 인한 선재적 교체</t>
  </si>
  <si>
    <t>용인시 수지구 풍덕천동 1186 앞 맨홀</t>
  </si>
  <si>
    <t>용인시 기흥구 청덕동 502-9 한양프라자 1층</t>
  </si>
  <si>
    <t>수원시 장안구 연무동 237-25</t>
  </si>
  <si>
    <t>UPS 인버터 및 밧데리 불량교체</t>
  </si>
  <si>
    <t>용인시 처인구 이동읍 송전리 1227 세광아파트 103동</t>
  </si>
  <si>
    <t xml:space="preserve">용인시 수지구 죽전동501 동성1차A 105동 3~4라인 </t>
  </si>
  <si>
    <t>용인시 기흥구 중동 819 월드메르디앙아파트 111동1~2라인</t>
  </si>
  <si>
    <t>평택시 오성면 숙성리 977-1 오성그린빌102동 3-4라인  2층</t>
  </si>
  <si>
    <t>하향신호증폭 불량교체</t>
  </si>
  <si>
    <t>용인시 처인구 포곡읍 신원리 119-2</t>
  </si>
  <si>
    <t>구내증폭기 노후 선재적 교체</t>
  </si>
  <si>
    <t>수원시 고등동 35-10</t>
  </si>
  <si>
    <t>평택시 안중읍 현화리828-1 103동 5-6라인지하</t>
  </si>
  <si>
    <t>EA_규격외 모델(870M) (철거자재)</t>
  </si>
  <si>
    <t xml:space="preserve">평택시 안중읍 현화리828-1 110동 3-4라인 지하 </t>
  </si>
  <si>
    <t xml:space="preserve">평택시 안중읍 현화리828-1 109동 3-4라인 지하 </t>
  </si>
  <si>
    <t>경기도 화성시 봉담읍 동화리 572-2</t>
  </si>
  <si>
    <t>용인시 수지구 성복2로76번길31 대우푸르지오106동104호</t>
  </si>
  <si>
    <t>평택시 안중읍 현화리828-1 안중늘푸른아파트 110동 5-6라인 지하</t>
  </si>
  <si>
    <t>연장증폭기 전원부 불량교체</t>
  </si>
  <si>
    <t>용인시 처인구 김량장동 254-243</t>
  </si>
  <si>
    <t>화성시 병점동 809  주공1단지 109동 3-4라인9층</t>
  </si>
  <si>
    <t>하향 증폭 불량교체</t>
  </si>
  <si>
    <t>수원시 곡반정동 515-6</t>
  </si>
  <si>
    <t>수원시 세류동 1158-45</t>
  </si>
  <si>
    <t>스터프 케이블 침수로 인한 수축관 교체</t>
  </si>
  <si>
    <t>수원시 권선동 1265</t>
  </si>
  <si>
    <t>수원시 영통구 매탄동153-52</t>
  </si>
  <si>
    <t xml:space="preserve">용인시 기흥구 용구대로2394번길 27 삼성래미안1차A 110동 3~4라인 </t>
  </si>
  <si>
    <t>화성시 마도면 청원리171-4</t>
  </si>
  <si>
    <t>구망 PS 전원인가 불량교체</t>
  </si>
  <si>
    <t>오산시 원동 752-8  1층</t>
  </si>
  <si>
    <t>수원시 서둔동 177-2</t>
  </si>
  <si>
    <t>노후 구내증폭기 선재적 교체</t>
  </si>
  <si>
    <t>수원시 탑동 822-11</t>
  </si>
  <si>
    <t xml:space="preserve"> 용인시 구갈동 347-6</t>
  </si>
  <si>
    <t>수원시 권선동 1330 자이 10동 8층</t>
  </si>
  <si>
    <t>용인시 주지구 신봉동 873 LG자이1차아파트 106동 3층</t>
  </si>
  <si>
    <t>노이즈 유입 구내증폭기 선제적교체</t>
  </si>
  <si>
    <t>수원시 장안구 조원동 780ㅡ14</t>
  </si>
  <si>
    <t>수원시 조원동 751-9</t>
  </si>
  <si>
    <t>한진구</t>
  </si>
  <si>
    <t>평택시 안중읍 현화리828-1 안중늘푸른아파트111동 3-4라인지하</t>
  </si>
  <si>
    <t>평택시 비전동 751 신세계아파트 105동</t>
  </si>
  <si>
    <t>박정태</t>
  </si>
  <si>
    <t>용인시 기흥구 보라동558-0 민속마을신창미션휠아파트211동3~4 2층</t>
  </si>
  <si>
    <t>용인시 기흥구 보라동558-0 민속마을신창미션휠아파트202동3~4 2층</t>
  </si>
  <si>
    <t>수원시 조원동 754-5</t>
  </si>
  <si>
    <t>수원시 고색동 890-281</t>
  </si>
  <si>
    <t>수원시 장안구 송죽동 277-26</t>
  </si>
  <si>
    <t>ONU 보드 전원인가 불량교체</t>
  </si>
  <si>
    <t>수원시 세류동 419-9</t>
  </si>
  <si>
    <t>수원시 권선구 탑동 794-3</t>
  </si>
  <si>
    <t>용인시 기흥구 보라동 564 101동 1~2라인 B1 휴게실</t>
  </si>
  <si>
    <t>수원시 곡반정동 514-4</t>
  </si>
  <si>
    <t>용인시 수지구 죽전동1319-3 맨홀</t>
  </si>
  <si>
    <t>용인시 수지구 죽전동 1172-7</t>
  </si>
  <si>
    <t>오산시 오산동 609-14</t>
  </si>
  <si>
    <t>수원시 평동151 동남 105동</t>
  </si>
  <si>
    <t>용인시 수지구 죽전동 488 퍼스트하임 아파트 201동 1~2라인 1,7층</t>
  </si>
  <si>
    <t>CA-1030WSH(N)(동양)</t>
  </si>
  <si>
    <t>노이즈 블록커 구내증폭기 선재적 교체</t>
  </si>
  <si>
    <t>용인시 수지구 죽전동 488 퍼스트하임 아파트 202동 1~2라인</t>
  </si>
  <si>
    <t>용인시 수지구 죽전동 488 퍼스트하임 아파트 202동 3~4라인</t>
  </si>
  <si>
    <t>용인시 수지구 죽전동 488 퍼스트하임 아파트 202동 5~6라인</t>
  </si>
  <si>
    <t>용인시 수지구 죽전동 488 퍼스트하임 아파트 203동 1~2라인</t>
  </si>
  <si>
    <t>용인시 수지구 죽전동 488 퍼스트하임 아파트 203동 3~4라인</t>
  </si>
  <si>
    <t>용인시 수지구 죽전동 488 퍼스트하임 아파트 203동 5~6라인</t>
  </si>
  <si>
    <t>용인시 수지구 죽전동 488 퍼스트하임 아파트 203동 7~8라인</t>
  </si>
  <si>
    <t>용인시 수지구 죽전동 488 퍼스트하임 아파트 204동 1~2라인</t>
  </si>
  <si>
    <t>용인시 수지구 죽전동 488 퍼스트하임 아파트 204동 3~4라인</t>
  </si>
  <si>
    <t>용인시 수지구 죽전동 488 퍼스트하임 아파트 205동 1~2라인</t>
  </si>
  <si>
    <t>용인시 수지구 죽전동 488 퍼스트하임 아파트 205동 3~4라인</t>
  </si>
  <si>
    <t>수원시 권선구 호매실동 1388</t>
  </si>
  <si>
    <t>화성시 향남읍 행정리 475</t>
  </si>
  <si>
    <t>화성시 오산동 973 반도아이비파크8.0 206동</t>
  </si>
  <si>
    <t>화성시 정남면 보통리136-5</t>
  </si>
  <si>
    <t>화성시 향남읍 하길리 1473</t>
  </si>
  <si>
    <t>화성시 우정읍 호곡리11-18</t>
  </si>
  <si>
    <t>화성시 새솔동14</t>
  </si>
  <si>
    <t>화성시 남양읍 남양리2365</t>
  </si>
  <si>
    <t>오산시 원동 888 오산역e편한세상1단지아파트</t>
  </si>
  <si>
    <t>105동 12층 신호변동으로  커넥터교체</t>
  </si>
  <si>
    <t>용인시 기흥구 신갈동116-2드림랜드아파트</t>
  </si>
  <si>
    <t>오산시 세교동 528-80</t>
  </si>
  <si>
    <t>용인시 처인구 김량장동 293-17</t>
  </si>
  <si>
    <t>동축12C 단선 임시복구</t>
  </si>
  <si>
    <t>수원시 영통구 망포동537-4</t>
  </si>
  <si>
    <t>인입케이블 불량교체</t>
  </si>
  <si>
    <t>수원시 망포동 693 롯데아이파크캐슬 107동</t>
  </si>
  <si>
    <t>노이즈 유입 커넥터 노후 선재적교체</t>
  </si>
  <si>
    <t>평택시 서탄면 수월암2리165</t>
  </si>
  <si>
    <t>광유지보수자재</t>
  </si>
  <si>
    <t>광케이블 단선 임시복구</t>
  </si>
  <si>
    <t>평택시 진위면 가곡리404-2</t>
  </si>
  <si>
    <t>화재로 인한 동축12C 전소 복구</t>
  </si>
  <si>
    <t>용인시 처인구 유방동 238-14</t>
  </si>
  <si>
    <t>용인시 처인구 포곡읍 전대리 410-1</t>
  </si>
  <si>
    <t>화성시 향남읍 행정리 470</t>
  </si>
  <si>
    <t>수원시 권선구 호매실동 1389</t>
  </si>
  <si>
    <t>용인시 기흥구 동백동 618-3</t>
  </si>
  <si>
    <t>용인시 수지구 보정동 1266-6</t>
  </si>
  <si>
    <t>화성시 향남읍 장짐리 203-4</t>
  </si>
  <si>
    <t>노이즈 유입 커넥터교체</t>
  </si>
  <si>
    <t>화성시 서신면 용두리921-2</t>
  </si>
  <si>
    <t>12C 핀 커넥터 불량교체</t>
  </si>
  <si>
    <t>화성시 반송동 80  윌드메르디앙 342동</t>
  </si>
  <si>
    <t>화성시 반송동 101 롯데케슬 304동</t>
  </si>
  <si>
    <t>용인시 처인구 이동읍 천리 1142 에이스카운티아파트 103동</t>
  </si>
  <si>
    <t>노이즈 유입 커넥터 선재적 교체</t>
  </si>
  <si>
    <t>경기도 안성시 대덕면 내리691-19</t>
  </si>
  <si>
    <t>2WAY 및 PI 노후 불량교체</t>
  </si>
  <si>
    <t>화성시 서신면 용두리 11-1</t>
  </si>
  <si>
    <t>인입선 단선 재포설</t>
  </si>
  <si>
    <t>화성시 기안동 349 우림그린빌리지 104동</t>
  </si>
  <si>
    <t>경기도  평택시 서탄면 금암리 374-4</t>
  </si>
  <si>
    <t>화성시 목동 477 동탄2신도시베라체아파트 2142동</t>
  </si>
  <si>
    <t>경기도 안성시 대덕면 신령리52-3</t>
  </si>
  <si>
    <t>지장이설로 처리</t>
  </si>
  <si>
    <t>화성시 오산동 1089 동탄역롯데캐슬 102동</t>
  </si>
  <si>
    <t>수원시 권선구 서둔동 17-199</t>
  </si>
  <si>
    <t>용인시 처인구 삼가동 563 두산위브2단지 204동</t>
  </si>
  <si>
    <t>용인시 처인구 포곡읍 영문리 395-5</t>
  </si>
  <si>
    <t>지중 7C 압착 불량교체</t>
  </si>
  <si>
    <t>용인시 처인구 모현읍 일산리 524</t>
  </si>
  <si>
    <t>계량기 파손으로 인한 직결개소 계량기 교체</t>
  </si>
  <si>
    <t>화성시 봉담읍 왕림리 417</t>
  </si>
  <si>
    <t>2차TAP 포스 불량교체</t>
  </si>
  <si>
    <t>2차TAP 포트 불량교체</t>
  </si>
  <si>
    <t>수원시 정자동 493</t>
  </si>
  <si>
    <t>오산시 누읍동621 누읍휴먼시아1단지 102동</t>
  </si>
  <si>
    <t xml:space="preserve">화성시 향남읍 하길리 1475  </t>
  </si>
  <si>
    <t>경기도 안성시 개내길5길13 창면연립</t>
  </si>
  <si>
    <t>신호불량 2WAY 증설</t>
  </si>
  <si>
    <t>화성시 능동 1126 리체더 포레스트  891동</t>
  </si>
  <si>
    <t>화성시 향남읍 행정리 443</t>
  </si>
  <si>
    <t>용인시 처인구 유방동 323-1</t>
  </si>
  <si>
    <t>경기도  안성시 공도읍 마정리112-3</t>
  </si>
  <si>
    <t>수원시 인계동 983-14</t>
  </si>
  <si>
    <t>화성시 오산동 1047 금강펜테리움센트럴파크</t>
  </si>
  <si>
    <t>7C 압착 커넥터 불량교체</t>
  </si>
  <si>
    <t>오산시 부산동 830 오산센트럴푸르지오 108동</t>
  </si>
  <si>
    <t>화성시 영천동 720  에듀벨리사랑으로 482동</t>
  </si>
  <si>
    <t>화성시 동탄구 목동 485 한신더휴아파트 2221동</t>
  </si>
  <si>
    <t>평택시 신장동270-6</t>
  </si>
  <si>
    <t>용인시 기흥구 서천동 787-1번지</t>
  </si>
  <si>
    <t>용인시 처인구 역북동 808 골드클래스아파트 106/3~4 층간</t>
  </si>
  <si>
    <t>용인시 수지구 동천동 859 현대홈타운1단지아파트 101동</t>
  </si>
  <si>
    <t>화성시  능동 1081능동주공2단지</t>
  </si>
  <si>
    <t>용인시 처인구 원삼면 맹리282-1</t>
  </si>
  <si>
    <t>용인시 수지구 죽전동 1112 중앙하이츠빌아파트 103동</t>
  </si>
  <si>
    <t>노이즈 유입커넥터 교체(동전체)</t>
  </si>
  <si>
    <t>용인시 수지구 신봉동 976 동일하이빌 4단지 406동</t>
  </si>
  <si>
    <t>화성시 능동 1282 앞 맨홀</t>
  </si>
  <si>
    <t>:화성시 동탄구 산척동 745 반도유보라아이비파크10.2단지 3609동</t>
  </si>
  <si>
    <t>평택시 신장동 211-4</t>
  </si>
  <si>
    <t>용인시 처인구 모현읍 왕산리 256-9</t>
  </si>
  <si>
    <t>지중 커넥터 침수 불량교체</t>
  </si>
  <si>
    <t>화성시 동탄구 목동 480 엔에이치에프경남아너스빌</t>
  </si>
  <si>
    <t>홈앤서비스 보라점 구내증폭기 인계</t>
  </si>
  <si>
    <t>평택시 신장동 274-253</t>
  </si>
  <si>
    <t>평택시 지산동762-1</t>
  </si>
  <si>
    <t>2차 TAP 침수 불량교체</t>
  </si>
  <si>
    <t>경기도 안성시 대덕면 명당리21</t>
  </si>
  <si>
    <t>1차 TAP 및 7C압착 커넥터 불량교체</t>
  </si>
  <si>
    <t>평택시 지산동691-18</t>
  </si>
  <si>
    <t>경기 평택시 팽성읍 부용로 69-2</t>
  </si>
  <si>
    <t>2WAY 신호불량교체</t>
  </si>
  <si>
    <t>경기 평택시 평택5로34번길 43-5</t>
  </si>
  <si>
    <t>경기 평택시 평택5로34번길 69</t>
  </si>
  <si>
    <t>오산시 오산동 911-16</t>
  </si>
  <si>
    <t>1차TAP 및 7C 압착 불량교체</t>
  </si>
  <si>
    <t>수원시 송죽동 213-4</t>
  </si>
  <si>
    <t>수원시 팔달구 인계동 974-3</t>
  </si>
  <si>
    <t>12C동축케이블 불량교체</t>
  </si>
  <si>
    <t>경기도  평택시 안중읍 현화리850-11</t>
  </si>
  <si>
    <t>7C케이블 단선 재포설</t>
  </si>
  <si>
    <t>용인시 처인구 역북동 우미린아파트 105/1~2 층간</t>
  </si>
  <si>
    <t xml:space="preserve">화성시 향남읍 하길리 1475 </t>
  </si>
  <si>
    <t>화성시 팔탄면 매산리길28</t>
  </si>
  <si>
    <t>용인 평택 일대</t>
  </si>
  <si>
    <t>수원 화성 일대</t>
  </si>
  <si>
    <t>CA-1030_1Ghz(동양)</t>
    <phoneticPr fontId="5" type="noConversion"/>
  </si>
  <si>
    <t>용인시 처인구 삼가동 217-60</t>
  </si>
  <si>
    <t>평택시 장당동633 우미1차104동8층</t>
  </si>
  <si>
    <t>용인시 수지구 동천동 868</t>
  </si>
  <si>
    <t>노이즈 유입 교체</t>
  </si>
  <si>
    <t>용인시 기흥구 동백동 608-1</t>
  </si>
  <si>
    <t>하향신호불량 간선증폭기 및 1차TAP 교체</t>
  </si>
  <si>
    <t>용인시 기흥구 공세동 663 105동5~6라인 5층 /3~4라인 11층</t>
  </si>
  <si>
    <t>용인시 기흥구 공세동 663 105동1~2라인 11층</t>
  </si>
  <si>
    <t>수원시  탑동 855-3</t>
  </si>
  <si>
    <t>용인시 기흥구 영덕동1132-9</t>
  </si>
  <si>
    <t xml:space="preserve">안성시 현수동370-3 </t>
  </si>
  <si>
    <t>용인시 수지구 풍덕천로 240-3</t>
  </si>
  <si>
    <t>용인시 기흥구 보라동349</t>
  </si>
  <si>
    <t>용인시 기흥구 하갈동183-2</t>
  </si>
  <si>
    <t>수원시 이목동 65-2</t>
  </si>
  <si>
    <t>용인시 수지구 죽전로144번길 14-12</t>
  </si>
  <si>
    <t>화성시 동탄구 석우동 12-4</t>
  </si>
  <si>
    <t>수원시 권선동 1357 405동 6층</t>
  </si>
  <si>
    <t>간선증폭기 하향신호 증폭 불량교체</t>
  </si>
  <si>
    <t>평택시 비전동 1089 해링턴 플레이스 106동</t>
  </si>
  <si>
    <t>UPS 노후로 인한 선재적 교체</t>
  </si>
  <si>
    <t>용인시 처인구 모현읍 왕산리 496-1</t>
  </si>
  <si>
    <t>용인시 처인구 모현읍 갈담리 225-1</t>
  </si>
  <si>
    <t>하향 신호 변동으로 인한 교체</t>
  </si>
  <si>
    <t>화성시 향남읍 행정리 482 1508동</t>
  </si>
  <si>
    <t>경기도  안성시 공도읍  만정리 벽산블루밍 아파트 112동  지하 주차장</t>
  </si>
  <si>
    <t xml:space="preserve">수원시 권선동 1311-6 2F / 7F </t>
  </si>
  <si>
    <t>구내증폭기 노후로 인한 선재적교체</t>
  </si>
  <si>
    <t>수원시 권선동 1311-6 3층</t>
  </si>
  <si>
    <t>수원시 권선구 탑동 751-4</t>
  </si>
  <si>
    <t>용인시 기흥구 영덕동 3-3 한국도로공사 수원지사 1층 식당</t>
  </si>
  <si>
    <t>용인시 처인구 역북동 767-3</t>
  </si>
  <si>
    <t>용인시 기흥구 영덕동 3-3 한국도로공사 수원지사 1층 기숙사</t>
  </si>
  <si>
    <t>수원시 영통구 윈천동620-3 앞 지중맨홀</t>
  </si>
  <si>
    <t xml:space="preserve">용인시 수지구 동천동 167-3 </t>
  </si>
  <si>
    <t>용인시 처인구 남동 49</t>
  </si>
  <si>
    <t>수원시 영화동 99-2</t>
  </si>
  <si>
    <t>CA-1030_1Ghz(동양)</t>
  </si>
  <si>
    <t>평택시 청북읍 옥길리 1104 부영2차 209동지하</t>
  </si>
  <si>
    <t>용인시 기흥구 중동 1041</t>
  </si>
  <si>
    <t>평택시 오성면 창내리 351-2</t>
  </si>
  <si>
    <t>용인시 처인구 역북동 267-5</t>
  </si>
  <si>
    <t>노이즈 유입 구내증폭기 및 커넥터 교체</t>
  </si>
  <si>
    <t>용인시 처인구 포곡읍 영문리 555 101/3~4</t>
  </si>
  <si>
    <t>용인시 기흥구 신갈동 52-4</t>
  </si>
  <si>
    <t xml:space="preserve"> 수원시 세류동 419-9</t>
  </si>
  <si>
    <t>화성시 남양읍 남양리1399</t>
  </si>
  <si>
    <t>오산시 부산동 778-1 운암주공1단지아파트 109동 3-4라인 3층</t>
  </si>
  <si>
    <t>오산시 부산동 778-1 운암주공1단지아파트 109동 5-6라인 3층</t>
  </si>
  <si>
    <t>수원시 권선동 1289-1</t>
  </si>
  <si>
    <t>수원시 매탄동1352 두산위브아파트 128동 3~4라인 9층</t>
  </si>
  <si>
    <t>오산시 궐동 707-11</t>
  </si>
  <si>
    <t>오산시 오산동 502-89 1층</t>
  </si>
  <si>
    <t>수원시 영통구 원천동260-13 4층</t>
  </si>
  <si>
    <t>평택시 합정동 904-2</t>
  </si>
  <si>
    <t>화성시 남양읍 남양리468</t>
  </si>
  <si>
    <t xml:space="preserve"> 오산시 부산동 778-1 운암주공1단지아파트 112동 4-6라인 3층</t>
  </si>
  <si>
    <t>용인시 처인구 삼가동 216-3</t>
  </si>
  <si>
    <t>노이즈 유입 구내증폭기 교체</t>
  </si>
  <si>
    <t>용인시 기흥구 보라동570현대모닝 사이드 아파트 307동</t>
  </si>
  <si>
    <t>정전복전후 전원부 불량교체</t>
  </si>
  <si>
    <t>용인시 기흥구 보라동570현대모닝 사이드 아파트 306동</t>
  </si>
  <si>
    <t>용인시 기흥구 보라동570현대모닝 사이드 아파트 309동 1~2라인</t>
  </si>
  <si>
    <t>용인시 기흥구 보라동570현대모닝 사이드 아파트 309동 3~4라인</t>
  </si>
  <si>
    <t>용인시 기흥구 보라동570현대모닝 사이드 아파트 308동</t>
  </si>
  <si>
    <t>용인시 기흥구 보라동570현대모닝 사이드 아파트 313동 1~2라인</t>
  </si>
  <si>
    <t>용인시 기흥구 보라동570현대모닝 사이드 아파트 313동 3~4라인</t>
  </si>
  <si>
    <t>용인시 기흥구 보라동558번지신창 미션힐 아파트</t>
  </si>
  <si>
    <t>용인시 수지구 풍덕천동1141-14번지</t>
  </si>
  <si>
    <t xml:space="preserve">용인시 수지구 죽전동1367주공5단지 아파트 </t>
  </si>
  <si>
    <t>용인시 기흥구 보라동570현대모닝 사이드 아파트 314동 1~2라인</t>
  </si>
  <si>
    <t>용인시 수지구 동천동880-11번지</t>
  </si>
  <si>
    <t>용인시 수지구 풍덕천동69-115번지</t>
  </si>
  <si>
    <t>용인시 수지구 죽전동89-1창죽 현대 아파트</t>
  </si>
  <si>
    <t>용인시 기흥구 마북동520-21</t>
  </si>
  <si>
    <t>용인시  기흥구 구갈동274번지 세종그랑시아 아파트</t>
  </si>
  <si>
    <t>용인시 기흥구 중동 968-8</t>
  </si>
  <si>
    <t xml:space="preserve">용인시 처인구 모현읍 초부리515-13 </t>
  </si>
  <si>
    <t>용인시 기흥구 구갈동274-14번지</t>
  </si>
  <si>
    <t>용인시 상갈동456-6번지</t>
  </si>
  <si>
    <t>용인시 수지구 동천동177-12번지 앞 멘홀</t>
  </si>
  <si>
    <t>용인시 죽전동1384번지 앞 멘홀</t>
  </si>
  <si>
    <t>하향신호 불량 모듈 및 전원부 교체</t>
  </si>
  <si>
    <t>수원시 매탄동1230 원천주공1단지 101동5.6라인 15층</t>
  </si>
  <si>
    <t>수원시 세류동 868-16</t>
  </si>
  <si>
    <t>수원시 고등동 85-7</t>
  </si>
  <si>
    <t>용인시 수지구 죽전동 1165 죽전힐스테이트713동3~4라인14층</t>
  </si>
  <si>
    <t>수원시 영통구 매탄동111-153  1층</t>
  </si>
  <si>
    <t>용인시 수지구 동천동910원천마을푸르지오아파트103동3~4라인2층</t>
  </si>
  <si>
    <t>용인시 수지구 동천동 910 101동 1~2라인</t>
  </si>
  <si>
    <t xml:space="preserve">용인시 기흥구 영덕동992-5 1층 </t>
  </si>
  <si>
    <t>수원시 영통구 영통동1042-10  지층</t>
  </si>
  <si>
    <t>용인시 강남서로58번길7-1</t>
  </si>
  <si>
    <t>용인시 강남서로58번길 7-5 1층</t>
  </si>
  <si>
    <t>용인시 처인구 역북동 736 우미린아파트 102동 18층</t>
  </si>
  <si>
    <t>용인시 처인구 모현읍 일산리 513</t>
  </si>
  <si>
    <t>용인시 기흥구 상하동 119-1</t>
  </si>
  <si>
    <t>UPS 쇼트로 인한 PS 임시교체 및 PI 쇼트불량 교체</t>
  </si>
  <si>
    <t>수원시 장안구 파장동 343-7</t>
  </si>
  <si>
    <t>수원시 권선구 탑동 881-5</t>
  </si>
  <si>
    <t>경기 수원시 영통구 망포동 517-5</t>
  </si>
  <si>
    <t>오산시 갈곶동 우림아파트103동</t>
  </si>
  <si>
    <t>화성시 송산동151-5</t>
  </si>
  <si>
    <t>경기 안성시공도읍 용두리 주은풍림아파트108동11층</t>
  </si>
  <si>
    <t>경기 수원시 권선구 곡반정동 514-6</t>
  </si>
  <si>
    <t>오산시 세교동 622 세마역 트루엘더퍼스트 아파트</t>
  </si>
  <si>
    <t>안성시 대덕면 명당리81-0</t>
  </si>
  <si>
    <t>7C 동축케이블 불량 교체</t>
  </si>
  <si>
    <t>평택시 서정동 899-9</t>
  </si>
  <si>
    <t>용인시 처인구 마평동 740-16</t>
  </si>
  <si>
    <t>지장이설로 인한 커넥터 재취부</t>
  </si>
  <si>
    <t>화성시 동탄구 영천동 788 동탄역푸르지오아파트</t>
  </si>
  <si>
    <t>화성시 남양읍 남양리415 우림그린아파트109동</t>
  </si>
  <si>
    <t>수원시 영통동1027-15</t>
  </si>
  <si>
    <t>경기도 안성시 영동529-5</t>
  </si>
  <si>
    <t>케이블 및 TAP 불량교체</t>
  </si>
  <si>
    <t>수원시 권선구 구운동 497-9</t>
  </si>
  <si>
    <t>신호불량으로 인한 동축케이블 및 2차TAP 교체</t>
  </si>
  <si>
    <t>수원시 권선구 고색동 291 대원아파트 106동</t>
  </si>
  <si>
    <t>수원시 파장동 592-11</t>
  </si>
  <si>
    <t>용인시 기흥구 영덕동 1132-9</t>
  </si>
  <si>
    <t>지중 수동소자 침수 불량교체</t>
  </si>
  <si>
    <t>용인시 처인구 이동읍 천리 66-6</t>
  </si>
  <si>
    <t>사유지 민원 케이블 루트변경</t>
  </si>
  <si>
    <t>안성시 서인동60</t>
  </si>
  <si>
    <t>1차 TAP 침수 불량교체</t>
  </si>
  <si>
    <t>용인시 처인구 고림동 673-21</t>
  </si>
  <si>
    <t>2차 TAP 이설 작업</t>
  </si>
  <si>
    <t>용인시 기흥구 언남동 490 신일아파트 104동 부근</t>
  </si>
  <si>
    <t>2WAY 하향신호 불량 교체</t>
  </si>
  <si>
    <t>평택시 서정동 826-6</t>
  </si>
  <si>
    <t xml:space="preserve">화성시 향남읍 행정리 443 </t>
  </si>
  <si>
    <t>화성시 향남읍 행정리 418-10</t>
  </si>
  <si>
    <t>화성시 향남읍 벌말길 24</t>
  </si>
  <si>
    <t>평택시 합정동 975-12</t>
  </si>
  <si>
    <t>오산시 부산동 800 오산시티자이1차1단지</t>
  </si>
  <si>
    <t>화성시 석우동 12-8앞 맨홀</t>
  </si>
  <si>
    <t>용인시 수지구 죽전동 1321-2</t>
  </si>
  <si>
    <t>경기도 평택시 비전동889번지 103동 옆</t>
  </si>
  <si>
    <t>12C 케이블 단선 복구</t>
  </si>
  <si>
    <t>오산시 원동 900 오산역e편한세상2단지아파트</t>
  </si>
  <si>
    <t>용인시 처인구 모현읍 일산리 277-1</t>
  </si>
  <si>
    <t>신호불량 TAP 교체</t>
  </si>
  <si>
    <t>수원시 송죽동 503-11</t>
  </si>
  <si>
    <t>수원시 파장동 469-28</t>
  </si>
  <si>
    <t>수원시 세류동 1082-5</t>
  </si>
  <si>
    <t>2차 TAP 노이즈 유입 교체</t>
  </si>
  <si>
    <t>오산시 갈곶동 오산로49-5</t>
  </si>
  <si>
    <t>용인시 기흥구 고매동 128</t>
  </si>
  <si>
    <t>지상고 미달로 인한 케이블 단선 복구</t>
  </si>
  <si>
    <t>수원시 천천동 한일신안아파트</t>
  </si>
  <si>
    <t>용인시 기흥구 고매동 135</t>
  </si>
  <si>
    <t>지상고 위험계소 처리</t>
  </si>
  <si>
    <t>안성시 석정동 26-2</t>
  </si>
  <si>
    <t>구망 커넥터 노후 불량교체</t>
  </si>
  <si>
    <t>화성시 효행구 정남면 관항리 370</t>
  </si>
  <si>
    <t>계량기함체 파손 및 차단기 선재적 교체</t>
  </si>
  <si>
    <t>화성시 팔탄면 가재리692-1 진우아파트</t>
  </si>
  <si>
    <t>용인시 처인구 김량장동 502-1 김량주공2단지아파트 201동</t>
  </si>
  <si>
    <t>노이즈 유입 동 전체 커넥터 교체</t>
  </si>
  <si>
    <t>오산시 누읍동621 누읍휴먼시아1단지 107동</t>
  </si>
  <si>
    <t>화성시 향남읍 하길리 1475</t>
  </si>
  <si>
    <t>평택시 신장동 중잉시장로4-1</t>
  </si>
  <si>
    <t>커넥터 노후불량교체</t>
  </si>
  <si>
    <t>화성시 우정읍 조암리 270-2</t>
  </si>
  <si>
    <t>안용상</t>
  </si>
  <si>
    <t>수원시 파장동 418-5</t>
  </si>
  <si>
    <t>2차TAP 노후 불량교체</t>
  </si>
  <si>
    <t>용인시 처인구 모현읍 왕산리  9</t>
  </si>
  <si>
    <t>12C 동축케이블 부분 불량 중계기 취부</t>
  </si>
  <si>
    <t>용인시 처인구 삼가동 218-3</t>
  </si>
  <si>
    <t>노이즈 유입 TAP 및 종단기 교체</t>
  </si>
  <si>
    <t>용인시 기흥구 상갈동 금화마을주공3단지아파트</t>
  </si>
  <si>
    <t>홈앤 서비스 수원서부지점</t>
  </si>
  <si>
    <t>홈앤서비스 공청필터 인계</t>
  </si>
  <si>
    <t>수원시 권선동 1290-2</t>
  </si>
  <si>
    <t>오산시 갈곶동 오산로132번길14</t>
  </si>
  <si>
    <t>수원시 이목동 193-1</t>
  </si>
  <si>
    <t>화성시 향남읍 장짐리 72</t>
  </si>
  <si>
    <t>구망 7C케이블 불량교체</t>
  </si>
  <si>
    <t>화성시 산척동 745 반도유보라10.2 3611동</t>
  </si>
  <si>
    <t>화성시 방교동 770-14</t>
  </si>
  <si>
    <t>용인시 처인구 백암면 근창리 11-4번지</t>
  </si>
  <si>
    <t>1차 TAP 및 커넥터 노이즈 유입 교체</t>
  </si>
  <si>
    <t>용인시 처인구 남사읍 창리 302-2</t>
  </si>
  <si>
    <t>1차 TAP 신호 불량교체</t>
  </si>
  <si>
    <t>용인시 기흥구447 상하동 풍림아파트106동</t>
  </si>
  <si>
    <t>수원시 영통동 벽적골롯데아파트</t>
  </si>
  <si>
    <t>수원시 송죽동 496</t>
  </si>
  <si>
    <t>2차 TAP 신호불량교체</t>
  </si>
  <si>
    <t xml:space="preserve">경기도 안성시 원곡면 내가천리142-1 </t>
  </si>
  <si>
    <t>PI 쇼트 불량교체</t>
  </si>
  <si>
    <t>용인시 처인구 모현읍 왕산리 9</t>
  </si>
  <si>
    <t>5C 케이블 불량교체</t>
  </si>
  <si>
    <t>용인시 처인구 마평동 643-2</t>
  </si>
  <si>
    <t>케이블 루트 변경작업</t>
  </si>
  <si>
    <t>용인시 처인구 모현읍 왕산리 523-5</t>
  </si>
  <si>
    <t>용인시 수지구 풍덕천동 주공1단지아파트</t>
  </si>
  <si>
    <t>용인시 수지구 동천동 원천마을푸르지오아파트</t>
  </si>
  <si>
    <t>용인시 수지구 죽전동1165 힐스테이트아파트</t>
  </si>
  <si>
    <t>용인 평택 안성 일대</t>
  </si>
  <si>
    <t>공청필터 교체</t>
  </si>
  <si>
    <t>수원 오산 화성 일대</t>
  </si>
  <si>
    <t>기남권역(용인 평택 안성)일대</t>
  </si>
  <si>
    <t>노이즈 유입 F54취부</t>
  </si>
  <si>
    <t>수원권역(수원 오산 화성)일대</t>
  </si>
  <si>
    <t>텔라움 - TON10A-C(2*2)</t>
    <phoneticPr fontId="5" type="noConversion"/>
  </si>
  <si>
    <t>벡스어댑터</t>
  </si>
  <si>
    <t>15V_3A(5.5*2.5)</t>
  </si>
  <si>
    <t>종단기-F형</t>
    <phoneticPr fontId="5" type="noConversion"/>
  </si>
  <si>
    <t>용인시 기흥구 구갈동588-5 1층 통신단자함</t>
  </si>
  <si>
    <t>화성시 반송동 220-1</t>
  </si>
  <si>
    <t>상향신호 증폭불량교체</t>
  </si>
  <si>
    <t>평택시 모곡동442-3</t>
  </si>
  <si>
    <t>선로증폭기</t>
  </si>
  <si>
    <t>선로증폭기 침수 불량교체</t>
  </si>
  <si>
    <t>화성시 송산면 쌍정리 1029-3</t>
  </si>
  <si>
    <t>기판쇼트로 인한 교체</t>
  </si>
  <si>
    <t>용인시 처인구 남동 327-4</t>
  </si>
  <si>
    <t>SA - GM UNBT AGC</t>
  </si>
  <si>
    <t>수원시 매탄동810-1 현대아파트 104동 옥상</t>
  </si>
  <si>
    <t>화성시 우정읍 조암리476-8</t>
  </si>
  <si>
    <t>구내증폭기 노이즈 유입으로 인한 증폭기 교체</t>
  </si>
  <si>
    <t>용인시 기흥구 언남동 117</t>
  </si>
  <si>
    <t>증폭기 노후로 인한 선재적교체</t>
  </si>
  <si>
    <t>화성시 정남면 관항리176</t>
  </si>
  <si>
    <t>누전차단기 침수 불량교체</t>
  </si>
  <si>
    <t>평택시 원평2로 25</t>
  </si>
  <si>
    <t>수원시 영통구 원천동353-1 지층</t>
  </si>
  <si>
    <t>용인시 기흥구 언남동 39 언남타운하우스 103동</t>
  </si>
  <si>
    <t>평택시 이충로16 이충휴먼시아 추담마을 404동5라인</t>
  </si>
  <si>
    <t>경기도  안성시  도구머리2길27</t>
  </si>
  <si>
    <t>용인시 기흥구 상갈동 461 금화마을 대우현대 1단지 105동 3~4라인</t>
  </si>
  <si>
    <t>용인시 기흥구 중동 초당마을 주공3단지 5307동 2층</t>
  </si>
  <si>
    <t>용인시 기흥구 보라동 570 311동</t>
  </si>
  <si>
    <t>화성시 우정읍  조암로40-6</t>
  </si>
  <si>
    <t xml:space="preserve">화성시 안녕동 49-6 남수원현대아파트 </t>
  </si>
  <si>
    <t>공성 메인 구내증폭기 교체</t>
  </si>
  <si>
    <t>구내증폭기 노후로 선재적 교체</t>
  </si>
  <si>
    <t>수원시 영통구 망포동718 309동1.2라인</t>
  </si>
  <si>
    <t>화성시 정남면 신리 271</t>
  </si>
  <si>
    <t>수원시 영화동 450-7</t>
  </si>
  <si>
    <t>수원시 망포동 716 일신건여마파트 101동 3층</t>
  </si>
  <si>
    <t>화성시 새슬동14 대방노블랜드 1차 101동 6층 /20층</t>
  </si>
  <si>
    <t>화성시 새슬동14 대방노블랜드 1차 102동 6층 /18층</t>
  </si>
  <si>
    <t>화성시 새슬동14 대방노블랜드 1차 103동 6층 /18층</t>
  </si>
  <si>
    <t>화성시 새슬동14 대방노블랜드 1차 104동 6층 /20층</t>
  </si>
  <si>
    <t>화성시 새슬동14 대방노블랜드 1차 105동 6층 /20층</t>
  </si>
  <si>
    <t>화성시 새슬동14 대방노블랜드 1차 106동 6층 /20층</t>
  </si>
  <si>
    <t>화성시 새슬동14 대방노블랜드 1차 107동 6층 /20층</t>
  </si>
  <si>
    <t>화성시 새슬동14 대방노블랜드 1차 108동 6층 /20층</t>
  </si>
  <si>
    <t>수원시 영화동 420-13</t>
  </si>
  <si>
    <t>화성시 오산동 971 반도유보라7.0</t>
  </si>
  <si>
    <t>화성시 향남읍 평리 82-6</t>
  </si>
  <si>
    <t>용인시 기흥구 청덕동482 청덕 와이드 아파트</t>
  </si>
  <si>
    <t>ONU 노후로 인한 선재적 교체</t>
  </si>
  <si>
    <t>오산시 궐동 677-2</t>
  </si>
  <si>
    <t>오산시 궐동 677-3</t>
  </si>
  <si>
    <t>오산시 오산동 922-1</t>
  </si>
  <si>
    <t>안성시 계동157-3</t>
  </si>
  <si>
    <t>용인시 처인구 삼가동 285-2</t>
  </si>
  <si>
    <t xml:space="preserve">수원시 영통구 영통동 71-3 </t>
  </si>
  <si>
    <t>수원시 권선동 998-11</t>
  </si>
  <si>
    <t>원시 영통구 영통동 997 우편집중국 2층 TPS</t>
  </si>
  <si>
    <t>수원시 권선구 탑동 885-2</t>
  </si>
  <si>
    <t>수원시 권선구 오목천동 526-49</t>
  </si>
  <si>
    <t>화성시 향남읍 행정리 501~13</t>
  </si>
  <si>
    <t>수원시 영통구 영통동 548 원천주공2단지 202동 14층</t>
  </si>
  <si>
    <t>오산시 원동 404-8</t>
  </si>
  <si>
    <t>용인시 기흥구 동백동 610-9</t>
  </si>
  <si>
    <t>화성시 향남읍 평4길 56-5</t>
  </si>
  <si>
    <t>상향 신호증폭 불량교체</t>
  </si>
  <si>
    <t>용인시 처인구 포곡읍 전대리 476-3</t>
  </si>
  <si>
    <t>옥상외부선로 지붕공사중 단선 루트변경</t>
  </si>
  <si>
    <t>화성시 금곡동 146-7</t>
  </si>
  <si>
    <t>오산시 오산동 502-42</t>
  </si>
  <si>
    <t>경기도  용인시 수지구 죽전동1320-7 메인간선(맨홀)</t>
  </si>
  <si>
    <t>용인시 기흥구 고매동 352-74</t>
  </si>
  <si>
    <t>용인시 기흥구 보정동 1324-14</t>
  </si>
  <si>
    <t>오산시 궐동 28-3 101동</t>
  </si>
  <si>
    <t>안성시 당왕동 539</t>
  </si>
  <si>
    <t>UPS 모듈 불량 PS 임시복구</t>
  </si>
  <si>
    <t>경기도 오산시 내삼미동 853-8</t>
  </si>
  <si>
    <t>화성시 병점동 병점2로141  주공6단지 607동2층</t>
  </si>
  <si>
    <t>연장증폭기 전원불량교체</t>
  </si>
  <si>
    <t>용인시 처인구 유방동 17-3 108동</t>
  </si>
  <si>
    <t>화성시 병점동 850 주공6단지 606동 2층</t>
  </si>
  <si>
    <t>연장증폭기 노이즈 유입 구내증폭기 교체</t>
  </si>
  <si>
    <t>화성시 병점동 850 주공6단지 610동 2층</t>
  </si>
  <si>
    <t>화성시 우정읍 화수리 경기요양병원</t>
  </si>
  <si>
    <t>수원시 권선구 탑동 861-8</t>
  </si>
  <si>
    <t xml:space="preserve"> 수원시 영화동 273-3번지</t>
  </si>
  <si>
    <t>오산시 원동404-13</t>
  </si>
  <si>
    <t>하향 신호 증폭 불량</t>
  </si>
  <si>
    <t>용인시 처인구 남동 88-5</t>
  </si>
  <si>
    <t>용인시 기흥구 고매동 377-42</t>
  </si>
  <si>
    <t>수원시 권선구 탑동 877-1</t>
  </si>
  <si>
    <t>수원시 권선구 탑동 878-3</t>
  </si>
  <si>
    <t>화성시 병점동 850 주공6단지 607동 2층</t>
  </si>
  <si>
    <t>화성시 남양동 남양리2068-10</t>
  </si>
  <si>
    <t>수원시 조원동 766-4</t>
  </si>
  <si>
    <t>수원시 정자동 백설주공2단지 563동 1-2라인</t>
  </si>
  <si>
    <t>신호증폭 불량교체</t>
  </si>
  <si>
    <t>오산시 초평로84-4 109동 1-2라인2층</t>
  </si>
  <si>
    <t>오산시 초평로84-4 103동 1-2라인2층</t>
  </si>
  <si>
    <t>오산시 서동 125-8 신동아2차아파트</t>
  </si>
  <si>
    <t>수원시 정자동 북수원리버파크 817동 1-2라인 3층</t>
  </si>
  <si>
    <t>용인시 기흥구 보정동 694  쌍떼빌 107동 1~2 3층</t>
  </si>
  <si>
    <t>하향 신호 증포 불량교체</t>
  </si>
  <si>
    <t>용인시 처인구 마평동 670-7</t>
  </si>
  <si>
    <t>화성시 송동 693-4</t>
  </si>
  <si>
    <t>용인시 처인구 모현읍 왕산리 920-3번지</t>
  </si>
  <si>
    <t>안성시 석정동 비룡 4길 46</t>
  </si>
  <si>
    <t>UPS 전원 인가 불량교체</t>
  </si>
  <si>
    <t>전기선 [CV-6-3C]</t>
  </si>
  <si>
    <t>평택시 유천동 117</t>
  </si>
  <si>
    <t>PI 쇼트불량교체</t>
  </si>
  <si>
    <t>수원시 연무동 230-31</t>
  </si>
  <si>
    <t>용인시 처인구 역북동 734 동원로얄듀크아파트 104/3~4</t>
  </si>
  <si>
    <t>화성시 향남읍 상두리 403-2</t>
  </si>
  <si>
    <t>용인시 처인구 역북동 736 우미린아파트 107동3~4 층간</t>
  </si>
  <si>
    <t>평택시 진위면 신리222-1</t>
  </si>
  <si>
    <t>신호불량 커넥터 교체</t>
  </si>
  <si>
    <t>평택시 포승읍 도곡리 1142-13</t>
  </si>
  <si>
    <t>1차 TAP 신호불량 교체</t>
  </si>
  <si>
    <t>화성시  만세구 세솔동 14</t>
  </si>
  <si>
    <t>노이즈 블록커 구내증폭기 입력커넥터 교체</t>
  </si>
  <si>
    <t>화성시 향남읍 평리 222-34</t>
  </si>
  <si>
    <t>화성시 향남읍 평리 104-6</t>
  </si>
  <si>
    <t>화성시 반송동 103-1</t>
  </si>
  <si>
    <t>화성시 반월동영통로27번길 20 현대4차</t>
  </si>
  <si>
    <t>평택시 장당동 493-11</t>
  </si>
  <si>
    <t>용인시 처인구 완장리 949 한숲아파트301동</t>
  </si>
  <si>
    <t>용인시 기흥구 공세동476-47</t>
  </si>
  <si>
    <t>용인시 기흥구 청덕동 590 물푸레주공1단지 107동</t>
  </si>
  <si>
    <t>용인시 처인구 포곡읍 전대리 354-4</t>
  </si>
  <si>
    <t>신호불량으로 인한 1차 TAP 신설</t>
  </si>
  <si>
    <t>용인시 처인구 포곡읍 삼계리 303-6</t>
  </si>
  <si>
    <t>지장이설로 인한 PS 이설</t>
  </si>
  <si>
    <t>공청라인 구성변경으로 인한 교체</t>
  </si>
  <si>
    <t>평택시 서정동 1028</t>
  </si>
  <si>
    <t>수원시 송죽동 192</t>
  </si>
  <si>
    <t>2차 TAP 노후 불량교체</t>
  </si>
  <si>
    <t>용인시 마평국사</t>
  </si>
  <si>
    <t>벡스 어댑터 불량교체</t>
  </si>
  <si>
    <t>용인시 신갈국사</t>
  </si>
  <si>
    <t>용인시 수지국사</t>
  </si>
  <si>
    <t>수원시 매산국사</t>
  </si>
  <si>
    <t>수원시 우만국사</t>
  </si>
  <si>
    <t>화성시 송산면 사강리630~1</t>
  </si>
  <si>
    <t>지장이설로 인한 케이블 및 커넥터 교체</t>
  </si>
  <si>
    <t>용인시 처인구 모현읍 초부리799-4</t>
  </si>
  <si>
    <t>계량기 파손 및 ELB 직결개소 교체</t>
  </si>
  <si>
    <t>용인시 수지구 죽전동 1165 새터마을 힐스테이트 717동</t>
  </si>
  <si>
    <t>화성시  만세구 수촌리 25-7</t>
  </si>
  <si>
    <t>전주 이설로 인한 케이블 교체</t>
  </si>
  <si>
    <t>용인시 처인구 양지면 송문리418-1</t>
  </si>
  <si>
    <t>용인시 기흥구 중동905-8</t>
  </si>
  <si>
    <t>평택시 서정동909-1 서정주공3차308동</t>
  </si>
  <si>
    <t>수원시 정자동 390</t>
  </si>
  <si>
    <t>1차 TAP 노후 불량교체</t>
  </si>
  <si>
    <t>화성시 마도면 송정동길71-16</t>
  </si>
  <si>
    <t>DC08 모듈 쇼트 불량교체</t>
  </si>
  <si>
    <t xml:space="preserve">화성시  하길리 6A0300셀 12동 </t>
  </si>
  <si>
    <t>화성시  반월동 효햄로1337-23  e편한세상 106동1-2라인</t>
  </si>
  <si>
    <t>용인시 처인구 양지면 추계리53-7</t>
  </si>
  <si>
    <t>오산시 오산국사</t>
  </si>
  <si>
    <t>화성시 봉담국사</t>
  </si>
  <si>
    <t>용인시 처인구 남동 400-6</t>
  </si>
  <si>
    <t>화성시 하길리 1475부영6단지</t>
  </si>
  <si>
    <t>용인시 처인구 백암면 고안리 1181번지</t>
  </si>
  <si>
    <t>지장이설로 인한 조가선 고정</t>
  </si>
  <si>
    <t>화성시 마도면 석교리492-10</t>
  </si>
  <si>
    <t>케이블 단선 임시복구</t>
  </si>
  <si>
    <t>용인시 기흥구 중동1041 초당마을주공3단지아파트5305동</t>
  </si>
  <si>
    <t>용인시 처인구 삼가동 563 두산위브2단지 202동</t>
  </si>
  <si>
    <t>오산시 누읍동621 누읍휴먼시아1단지</t>
  </si>
  <si>
    <t>수원시 팔달구 매산로3가 16-16</t>
  </si>
  <si>
    <t>용인시 처인구 원삼면 고당리56-1</t>
  </si>
  <si>
    <t>노이즈 유입 종단기 교체</t>
  </si>
  <si>
    <t>수원시 영통구 매탄동1217-5 백자아파트</t>
  </si>
  <si>
    <t>아파트 공사중 케이블 단선 복구</t>
  </si>
  <si>
    <t>코팅와이어 (3.18SQ)</t>
  </si>
  <si>
    <t>수원시 세류동 121-35</t>
  </si>
  <si>
    <t>공사현장 2차TAP 단선 복구</t>
  </si>
  <si>
    <t>화성시 향남읍 평리 82-1</t>
  </si>
  <si>
    <t>노이즈 유입 케이블 교체</t>
  </si>
  <si>
    <t>용인시 처인구 남사읍 완장리 954 한숲아파트 613동</t>
  </si>
  <si>
    <t>용인시 처인구 유방동 17-2</t>
  </si>
  <si>
    <t>차단기 노후로 인한 선재적 교체</t>
  </si>
  <si>
    <t>용인시 일대</t>
  </si>
  <si>
    <t>평택 안성시 일대</t>
  </si>
  <si>
    <t>기남 권역 일대</t>
  </si>
  <si>
    <t>노이즈 유입 가입자 F54취부</t>
  </si>
  <si>
    <t>수원 권역 일대</t>
  </si>
  <si>
    <t>평택시 서정동 송원로15번길41</t>
  </si>
  <si>
    <t>수원시 권선구 구운동 947-11</t>
  </si>
  <si>
    <t>용인시 기흥구 언남동495 삼성래미안2차아파트206동</t>
  </si>
  <si>
    <t>화성시 향남읍 상신리 1279~2</t>
  </si>
  <si>
    <t>화성시 마도면 두곡리196</t>
  </si>
  <si>
    <t>화성시 남양읍 남양리2235동광뷰엘아파트105동1~2라인9층</t>
  </si>
  <si>
    <t>화성시 향남읍 구문천리 151~6</t>
  </si>
  <si>
    <t>화성시 향남읍 상신리 340~2</t>
  </si>
  <si>
    <t>경기도 안성시 구포동36</t>
  </si>
  <si>
    <t>화성시 향남읍 백토리 132~1</t>
  </si>
  <si>
    <t>화성시 향남읍 장짐리 161</t>
  </si>
  <si>
    <t>안성시 서인동 75</t>
  </si>
  <si>
    <t>용인시 수지구 죽전동832-1 벽산타운2차아파트208동</t>
  </si>
  <si>
    <t>용인시 수지구 동천동869 우미이노스빌아파트302동</t>
  </si>
  <si>
    <t>화성시 우정읍  화수리 123</t>
  </si>
  <si>
    <t>구망 케이블 단선 재포설</t>
  </si>
  <si>
    <t>경기도  안성시  봉산동386-2</t>
  </si>
  <si>
    <t>2WAY 및 DC 08침수 불량교체</t>
  </si>
  <si>
    <t>화성시 송동 703-1 앞 맨홀</t>
  </si>
  <si>
    <t>화성시 반송동 18-1 앞맨홀</t>
  </si>
  <si>
    <t>390</t>
  </si>
  <si>
    <t>화성시 반송동 15-14 앞맨홀</t>
  </si>
  <si>
    <t>391</t>
  </si>
  <si>
    <t>392</t>
  </si>
  <si>
    <t>393</t>
  </si>
  <si>
    <t>화성시 향남읍 동오리 82</t>
  </si>
  <si>
    <t>구망선로 케이블 불량교체</t>
  </si>
  <si>
    <t>394</t>
  </si>
  <si>
    <t>평택시 팽성읍 송화리 786-1 송화주공아파트 101동 2층/8층</t>
  </si>
  <si>
    <t>평택시 팽성읍 송화리 786-1 송화주공아파트 102동 2층/8층</t>
  </si>
  <si>
    <t>평택시 팽성읍 송화리 786-1 송화주공아파트 103동 2층/8층</t>
  </si>
  <si>
    <t>평택시 팽성읍 송화리 786-1 송화주공아파트 104동 2층/8층</t>
  </si>
  <si>
    <t>평택시 팽성읍 송화리 786-1 송화주공아파트 105동 2층/8층</t>
  </si>
  <si>
    <t>평택시 팽성읍 송화리 786-1 송화주공아파트 106동 2층/8층</t>
  </si>
  <si>
    <t>용인시 처인구 포곡읍 전대리 379-1</t>
  </si>
  <si>
    <t>전원부 및 모듈 쇼트 불량교체</t>
  </si>
  <si>
    <t>김도율</t>
  </si>
  <si>
    <t>용인시 기흥구 상하동 한라비발디 906동 3~4라인 20층</t>
  </si>
  <si>
    <t>경기 평택시 팽성읍 사거리길 21-22</t>
  </si>
  <si>
    <t>안성시 도기동436-8 모닝빌리지 9동</t>
  </si>
  <si>
    <t>간선증폭기 하향MER 불량교체</t>
  </si>
  <si>
    <t>TBA_규격외 모델(870M) (철거자재)</t>
  </si>
  <si>
    <t>용인시 처인구 백암면 백암리 316-6 203동</t>
  </si>
  <si>
    <t>용인시 수지구 상현동 1117-3</t>
  </si>
  <si>
    <t>수원시 영통구 매탄동 176 현대힐스테이트 103동1.2라인 지층</t>
  </si>
  <si>
    <t>수원시 영통구 매탄동 176 현대힐스테이트 105동1.2라인 지층</t>
  </si>
  <si>
    <t>수원시 영통구 매탄동 176 현대힐스테이트 101동1.2라인 지층</t>
  </si>
  <si>
    <t>수원시 영통구 매탄동 176 현대힐스테이트 102동1.2라인 지층</t>
  </si>
  <si>
    <t>수원시 영통구 매탄동 176 현대힐스테이트 106동3-4라인 지층</t>
  </si>
  <si>
    <t>수원시 영통구 매탄동 176 현대힐스테이트131동1.2라인 지층</t>
  </si>
  <si>
    <t>수원시 영통구 매탄동 176 현대힐스테이트131동3.4라인 지층</t>
  </si>
  <si>
    <t>경기도 안성시 공도읍 마정리100-48 즨원빌라104동2층</t>
  </si>
  <si>
    <t>수원시 영통구 하동 990 검찰청 B2층 TPS</t>
  </si>
  <si>
    <t>수원시 영통구 하동 990 검찰청 B2층 EPS</t>
  </si>
  <si>
    <t>PS 임시 운용개소 UPS 선재적 교체</t>
  </si>
  <si>
    <t>경기도 안성시 석정동 신원아침 도시아파트101동 7층</t>
  </si>
  <si>
    <t>수원시 영통구 매탄동 176 현대힐스테이트 132동1.2라인 지층</t>
  </si>
  <si>
    <t xml:space="preserve">용인시 기흥구 영덕동 1068-15 증폭기함 </t>
  </si>
  <si>
    <t>용인시 기흥구 영덕동 1068-5</t>
  </si>
  <si>
    <t>연장증폭기 침수 불량교체</t>
  </si>
  <si>
    <t>용인시 처인구 포곡읍 전대리 369-1</t>
  </si>
  <si>
    <t>오산시 내삼미동 561-7</t>
  </si>
  <si>
    <t>용인시 처인구 포곡읍 전대리  379-2</t>
  </si>
  <si>
    <t>상향 및 하향 MER 불량교체</t>
  </si>
  <si>
    <t>용인시 처인구 매산리65</t>
  </si>
  <si>
    <t>모듈 및 전원부 불량교체</t>
  </si>
  <si>
    <t>평택시 모산영신1길 10-10</t>
  </si>
  <si>
    <t>침수 불량교체</t>
  </si>
  <si>
    <t>용인시 처인구 모현읍 오산리 115-1</t>
  </si>
  <si>
    <t>수원시 팔달구  고매로40</t>
  </si>
  <si>
    <t>수원시 영통구 매탄동 548  원천레이파크 211동1.2라인 9층</t>
  </si>
  <si>
    <t>용인시 처인구 모현읍 오산리 198-1</t>
  </si>
  <si>
    <t>화성시 팔탄면 매곡리 109~35</t>
  </si>
  <si>
    <t>수윈시 권선구 탑동 835-6</t>
  </si>
  <si>
    <t>용인시 기흥구 상하동 630</t>
  </si>
  <si>
    <t>연장증폭기 하향 신호불량교체</t>
  </si>
  <si>
    <t>용인시 처인구 고림동 264-8 인정피렌체비리지 104/3~4</t>
  </si>
  <si>
    <t>화성시 팔탄면 율암리 733</t>
  </si>
  <si>
    <t>전원부 및 모듈 파손 불량교체</t>
  </si>
  <si>
    <t>평택시 서탄면 금암리364</t>
  </si>
  <si>
    <t>평택시 포승읍 도곡리 1136-7 아트빌</t>
  </si>
  <si>
    <t>용인시 처인구 매산리 65</t>
  </si>
  <si>
    <t>수윈시 권선구 탑동 762-9</t>
  </si>
  <si>
    <t>수원시 정자동 28-14</t>
  </si>
  <si>
    <t>수원시 영통구 매탄동115-13 1층</t>
  </si>
  <si>
    <t>용인시 수지구 성복동726 성동마을lg빌리지3차 311동1~2라인 지하공동구</t>
  </si>
  <si>
    <t xml:space="preserve">용인시 수지구 성복동726 성동마을lg빌리지3차 311동3~4라인 지하공동구 </t>
  </si>
  <si>
    <t xml:space="preserve">용인시 수지구 성복동726 성동마을lg빌리지3차 308동1~2라인 지하공동구 </t>
  </si>
  <si>
    <t xml:space="preserve">용인시 수지구 성복동726 성동마을lg빌리지3차 314동1~2라인 지하공동구 </t>
  </si>
  <si>
    <t>용인시 수지구 죽전동 1353-6</t>
  </si>
  <si>
    <t>안성시 도기1길78</t>
  </si>
  <si>
    <t>김갑중</t>
  </si>
  <si>
    <t>용인시 수지구 성복동726 성동마을lg빌리지3차 312동3~4라인 지하공동구</t>
  </si>
  <si>
    <t>화성시 분천리 239-70</t>
  </si>
  <si>
    <t xml:space="preserve">용인시 수지구 성복동726 성동마을lg빌리지3차 312동3~4라인 지하공동구 </t>
  </si>
  <si>
    <t>용인시 수지구 죽전동 1110 현대홈타운 2단지 MDF실</t>
  </si>
  <si>
    <t>신호불량으로 연장증폭기 신설 및 1차TAP 교체</t>
  </si>
  <si>
    <t>용인시 수지구 성복동726 성동마을lg빌리지3차 314동3~4라인 지하공동구</t>
  </si>
  <si>
    <t>전원부 불량교체(단자함 구내증폭기2개 전원부 불량교체)</t>
  </si>
  <si>
    <t>dyddlst 수지구 죽전동 866-2 죽전휴게소  주유소1층 사무실(티비단자함)</t>
  </si>
  <si>
    <t>경기도 안성시 대덕면  당촌1길96-3 유진원룸3동4층</t>
  </si>
  <si>
    <t>용인시 수지구 풍덕천동1049-3 옥상</t>
  </si>
  <si>
    <t>용인시 수지구 죽전동952-0 401동5~6라인 2층</t>
  </si>
  <si>
    <t>수윈시 권선구 탑동 18-20</t>
  </si>
  <si>
    <t>수원시 영통구 매탄동1211 한국1차아파트</t>
  </si>
  <si>
    <t>PS 위치 변경 및 교체(아파트 민원건)</t>
  </si>
  <si>
    <t>수원시 영화동 419-16</t>
  </si>
  <si>
    <t>텔라움 - TON10A-C(2*2)</t>
  </si>
  <si>
    <t>하향 신호변동 불량 ONU 모듈 교체</t>
  </si>
  <si>
    <t>용인시 처인구 남동 457</t>
  </si>
  <si>
    <t>용인시 수지구 상현동 1117-1 광명티타워  5층 단자함</t>
  </si>
  <si>
    <t>수원시 원천동 209-49</t>
  </si>
  <si>
    <t>쇼트로 인한 전원부 및 모듈 교체</t>
  </si>
  <si>
    <t>수원시 팔달구 화서동 93-1성오빌딩 5층 단자함</t>
  </si>
  <si>
    <t>용인시 기흥구 보라동 558 신창미션힐 212동 3~4라인 10층</t>
  </si>
  <si>
    <t>평택시  신장동267-134</t>
  </si>
  <si>
    <t>간선증폭기 포트 증폭불량교체</t>
  </si>
  <si>
    <t>수원시 영통구 매탄동231-9 1층</t>
  </si>
  <si>
    <t>오산시 병점동 348-1</t>
  </si>
  <si>
    <t>경기도 안성시 공도읍 마정리 51-24</t>
  </si>
  <si>
    <t>화성시 남양읍 북양리 404</t>
  </si>
  <si>
    <t>차량사고로 인한 계량기 함체 파손 교체</t>
  </si>
  <si>
    <t>수원시 세류동 1164번지</t>
  </si>
  <si>
    <t>수원시 세류동 517-1번지</t>
  </si>
  <si>
    <t>수원시 세류동 516-2번지</t>
  </si>
  <si>
    <t>화성시 반송동 131-25 1층</t>
  </si>
  <si>
    <t>경기도 화성시 송산동 128-1</t>
  </si>
  <si>
    <t>경기 평택시 통복동 95-32</t>
  </si>
  <si>
    <t>간선증폭기 포트 불량교체</t>
  </si>
  <si>
    <t>경기 평택시 팽성읍 노와길 30-4</t>
  </si>
  <si>
    <t>계량기함체 파손 교체</t>
  </si>
  <si>
    <t>용인시 처인구 포곡읍 전대리 379-2</t>
  </si>
  <si>
    <t>간선증폭기 쇼트불량교체</t>
  </si>
  <si>
    <t>화성시 두곡서길 48-2</t>
  </si>
  <si>
    <t>화성시 우정읍 주곡리 666-6</t>
  </si>
  <si>
    <t>오산시 수청동 558-6</t>
  </si>
  <si>
    <t>화성시 진안동459-4</t>
  </si>
  <si>
    <t>용인시 처인구 남사읍 완장리945 한숲아파트612동3-4라인</t>
  </si>
  <si>
    <t>수원시 권선구 탑동 1-27</t>
  </si>
  <si>
    <t>화성시 우정읍 조암리 798-2</t>
  </si>
  <si>
    <t>수원시 영통구 매탄동 176 현대홈타운 115동1.2라인 지층</t>
  </si>
  <si>
    <t>용인시 수지구 상현동831쌍용c단지</t>
  </si>
  <si>
    <t>용인시 수지구 죽전동 한솔노블하임107동3층</t>
  </si>
  <si>
    <t>하향신호 불량교체</t>
  </si>
  <si>
    <t>오산시 궐동 667-5</t>
  </si>
  <si>
    <t>안성시 대덕면 내리 703-7</t>
  </si>
  <si>
    <t>용인시 수지구 죽전동253-1번지</t>
  </si>
  <si>
    <t>용인시 수지구 풍덕천동69-118기린주택B동 3층단지함</t>
  </si>
  <si>
    <t>수원시 정자동 보은맨션</t>
  </si>
  <si>
    <t>경기 평택시 팽성읍 근내리 139-1</t>
  </si>
  <si>
    <t>모듈불량 교체 후 1번포트 신호없음 재교체</t>
  </si>
  <si>
    <t xml:space="preserve">용인시 기흥구 공세동692대주피오레102동1.2라인 </t>
  </si>
  <si>
    <t>오산시 오산동 336-3 1층</t>
  </si>
  <si>
    <t>화성시 송산면 사강리800-67</t>
  </si>
  <si>
    <t>커넥터 불량 재취부</t>
  </si>
  <si>
    <t>화성시 정남면 덕절리 29-1</t>
  </si>
  <si>
    <t>1차TAP 신호불량교체</t>
  </si>
  <si>
    <t>안성시 인지동4 제주여관</t>
  </si>
  <si>
    <t>안성시 석정동368 파밀레 아파트402동1~2라인11층</t>
  </si>
  <si>
    <t>공용전기 민원으로 전기 분전반  1차 전기선 루트변경 재포설</t>
  </si>
  <si>
    <t>평택시 신장동 227-31</t>
  </si>
  <si>
    <t>화성시 정남면 신리 216</t>
  </si>
  <si>
    <t>화성시 서신면 홍법리78-1</t>
  </si>
  <si>
    <t>구망선로 신호불량교체</t>
  </si>
  <si>
    <t>용인시 처인구 김량장동 140-4</t>
  </si>
  <si>
    <t>민원건 옥상선로 이설</t>
  </si>
  <si>
    <t>용인시 처인구 모현읍 왕산리 670-1</t>
  </si>
  <si>
    <t>민원으로 인한 케이블 이설</t>
  </si>
  <si>
    <t>화성시 안녕동 47-2</t>
  </si>
  <si>
    <t>평택 시비전동804번지  신세계 아파트105동</t>
  </si>
  <si>
    <t>아파트 공사로 인한 케이블 이설</t>
  </si>
  <si>
    <t>안성시  원곡면 내가천리215-2</t>
  </si>
  <si>
    <t>DC08 쇼트 불량교체</t>
  </si>
  <si>
    <t>화성시 향남읍 갈천리 156~1</t>
  </si>
  <si>
    <t>전지작업중 케이블 단선 복구</t>
  </si>
  <si>
    <t>화성시 금곡동 145</t>
  </si>
  <si>
    <t>용인시 마북동150-4</t>
  </si>
  <si>
    <t>경기도 안성시 보개면 곡천리19-1</t>
  </si>
  <si>
    <t>지장이설 처리</t>
  </si>
  <si>
    <t>용인시 처인구 모현읍 오산리190-1</t>
  </si>
  <si>
    <t>2WAY 모듈불량교체</t>
  </si>
  <si>
    <t>용인시 처인구 마평동 627-3</t>
  </si>
  <si>
    <t>지중 12C커넥터 불량교체</t>
  </si>
  <si>
    <t>평택시 서정동 865 번지일대</t>
  </si>
  <si>
    <t>화성시 동탄구 반송동 159 새강마을휴먼시아5단지아파트</t>
  </si>
  <si>
    <t>화성시 방교동 766-6 앞맨홀</t>
  </si>
  <si>
    <t>수원시 영통구 망포동766 아이캐슬1단지 107동</t>
  </si>
  <si>
    <t>화성시 능동 1150 푸른마을신일해피트리</t>
  </si>
  <si>
    <t>선로 변경으로 인한 DC08 교체</t>
  </si>
  <si>
    <t>용인시 처인구 이동읍 서리532-2</t>
  </si>
  <si>
    <t>공사로 인한 지중 케이블 단선 복구</t>
  </si>
  <si>
    <t>용인시 수지구 동천동 11-1</t>
  </si>
  <si>
    <t>계량기 파손으로 인한 계량기 교체</t>
  </si>
  <si>
    <t>수원시 권선구 세권로 12</t>
  </si>
  <si>
    <t>건물 공사로 인한 2차TAP이설</t>
  </si>
  <si>
    <t>수원시 장안구 조원동 519-24</t>
  </si>
  <si>
    <t>2차TAP 파손 교체</t>
  </si>
  <si>
    <t>평택시 서정동 867-4</t>
  </si>
  <si>
    <t>화성시 백리 319-12</t>
  </si>
  <si>
    <t>지장이설로 인한 민원발생 처리</t>
  </si>
  <si>
    <t>용인시 수지구 상현동 1 성복역리버파크 103동/7~8</t>
  </si>
  <si>
    <t>전원인가 불량 교체</t>
  </si>
  <si>
    <t>경기도 안성시 구포동9</t>
  </si>
  <si>
    <t>1차TAP 및 7C압착 침수 불량교체</t>
  </si>
  <si>
    <t>경기도 안성시 도기동544-2</t>
  </si>
  <si>
    <t>용인시 처인구 원삼면 고당리 240-2</t>
  </si>
  <si>
    <t>용인시 처인구 해곡동 389-6</t>
  </si>
  <si>
    <t>수원시 율전동 109-9</t>
  </si>
  <si>
    <t>용인시 기흥구 언남동368-1 진주빌라</t>
  </si>
  <si>
    <t>용인시 수지구 상현동 1117-1 부근 맨홀</t>
  </si>
  <si>
    <t>395</t>
  </si>
  <si>
    <t>396</t>
  </si>
  <si>
    <t>397</t>
  </si>
  <si>
    <t>용인시 기흥구 마북동 617 LG자이아파트 102/1~2 층간</t>
  </si>
  <si>
    <t>398</t>
  </si>
  <si>
    <t>용인시 처인구 모현읍 매산리 201-4 부근</t>
  </si>
  <si>
    <t>399</t>
  </si>
  <si>
    <t>400</t>
  </si>
  <si>
    <t>401</t>
  </si>
  <si>
    <t>평택시 서탄면 회화리 회화1길55-3</t>
  </si>
  <si>
    <t>402</t>
  </si>
  <si>
    <t>403</t>
  </si>
  <si>
    <t>화성시 향남읍 행정리 445~12</t>
  </si>
  <si>
    <t>404</t>
  </si>
  <si>
    <t>화성시 향남읍 상신리 360</t>
  </si>
  <si>
    <t>405</t>
  </si>
  <si>
    <t>406</t>
  </si>
  <si>
    <t>화성시 남양읍 남양리 2047번시 우림아파트</t>
  </si>
  <si>
    <t>407</t>
  </si>
  <si>
    <t>용인시 기흥구 마북동352 우림아파트 2동7~8라인</t>
  </si>
  <si>
    <t>408</t>
  </si>
  <si>
    <t>용인시 기흥구 보라동558 신창미션힐아파트 113동1~2라인</t>
  </si>
  <si>
    <t>409</t>
  </si>
  <si>
    <t>경기 평택시 평택동 298-2</t>
  </si>
  <si>
    <t>410</t>
  </si>
  <si>
    <t>411</t>
  </si>
  <si>
    <t>412</t>
  </si>
  <si>
    <t>413</t>
  </si>
  <si>
    <t>414</t>
  </si>
  <si>
    <t>경기 평택시 용이동 473-3</t>
  </si>
  <si>
    <t>415</t>
  </si>
  <si>
    <t>416</t>
  </si>
  <si>
    <t>417</t>
  </si>
  <si>
    <t>418</t>
  </si>
  <si>
    <t>경기 평택시 용이동 486-2</t>
  </si>
  <si>
    <t>419</t>
  </si>
  <si>
    <t>420</t>
  </si>
  <si>
    <t>421</t>
  </si>
  <si>
    <t>422</t>
  </si>
  <si>
    <t>경기 평택시 용이동 474-8</t>
  </si>
  <si>
    <t>423</t>
  </si>
  <si>
    <t>경기 평택시 용이동 455-6</t>
  </si>
  <si>
    <t>424</t>
  </si>
  <si>
    <t>425</t>
  </si>
  <si>
    <t>426</t>
  </si>
  <si>
    <t>427</t>
  </si>
  <si>
    <t>경기도 안성시 동본동 95-1</t>
  </si>
  <si>
    <t>수동소자 불량교체</t>
  </si>
  <si>
    <t>428</t>
  </si>
  <si>
    <t>429</t>
  </si>
  <si>
    <t>430</t>
  </si>
  <si>
    <t>수원시 정자동 537-2번지</t>
  </si>
  <si>
    <t>노이즈 유입 커넥터 재취부</t>
  </si>
  <si>
    <t>431</t>
  </si>
  <si>
    <t>용인시 처인구 포곡읍 둔전리 120</t>
  </si>
  <si>
    <t>432</t>
  </si>
  <si>
    <t>433</t>
  </si>
  <si>
    <t>434</t>
  </si>
  <si>
    <t>용인시 처인구 김량장동 130-6</t>
  </si>
  <si>
    <t>435</t>
  </si>
  <si>
    <t>436</t>
  </si>
  <si>
    <t>437</t>
  </si>
  <si>
    <t>용인시 처인구 모현읍 왕산리 572-19</t>
  </si>
  <si>
    <t>화재로 인한 케이블 재포설</t>
  </si>
  <si>
    <t>438</t>
  </si>
  <si>
    <t>439</t>
  </si>
  <si>
    <t>경기 평택시 이충동 635-1</t>
  </si>
  <si>
    <t>440</t>
  </si>
  <si>
    <t>경기 용인시 풍덕천동 710</t>
  </si>
  <si>
    <t>441</t>
  </si>
  <si>
    <t>442</t>
  </si>
  <si>
    <t>443</t>
  </si>
  <si>
    <t>444</t>
  </si>
  <si>
    <t>경기도 안성시 원곡면  관산길10</t>
  </si>
  <si>
    <t>전용선 12C광케이블 단선 중접복구</t>
  </si>
  <si>
    <t>445</t>
  </si>
  <si>
    <t>446</t>
  </si>
  <si>
    <t>수원시 권선구 세류동 439-6</t>
  </si>
  <si>
    <t>447</t>
  </si>
  <si>
    <t>448</t>
  </si>
  <si>
    <t>화성시 서신면 매화리347-5</t>
  </si>
  <si>
    <t>449</t>
  </si>
  <si>
    <t>450</t>
  </si>
  <si>
    <t>경기도 안성시 대천동145</t>
  </si>
  <si>
    <t>451</t>
  </si>
  <si>
    <t>452</t>
  </si>
  <si>
    <t>453</t>
  </si>
  <si>
    <t>홈앤서비스 화성지점</t>
  </si>
  <si>
    <t>공청필터 인계</t>
  </si>
  <si>
    <t>454</t>
  </si>
  <si>
    <t>455</t>
  </si>
  <si>
    <t>기남권역 일대</t>
  </si>
  <si>
    <t>공청 필터 사용</t>
  </si>
  <si>
    <t>456</t>
  </si>
  <si>
    <t>수원권역 일대</t>
  </si>
  <si>
    <t>457</t>
  </si>
  <si>
    <t>458</t>
  </si>
  <si>
    <t>노이즈 유입 필터 취부</t>
  </si>
  <si>
    <t>459</t>
  </si>
  <si>
    <t>460</t>
  </si>
  <si>
    <t>민원건 및 케이블 불량교체</t>
  </si>
  <si>
    <t>461</t>
  </si>
  <si>
    <t>462</t>
  </si>
  <si>
    <t>수원시 율전동 433-63</t>
  </si>
  <si>
    <t>463</t>
  </si>
  <si>
    <t>464</t>
  </si>
  <si>
    <t>용인시 처인구 원삼면 고당리  33-6</t>
  </si>
  <si>
    <t>465</t>
  </si>
  <si>
    <t>466</t>
  </si>
  <si>
    <t>467</t>
  </si>
  <si>
    <t>용인시 기흥구 구갈동 384-1</t>
  </si>
  <si>
    <t>468</t>
  </si>
  <si>
    <t>469</t>
  </si>
  <si>
    <t>470</t>
  </si>
  <si>
    <t>용인시 처인구 마평동 671-9</t>
  </si>
  <si>
    <t>471</t>
  </si>
  <si>
    <t>472</t>
  </si>
  <si>
    <t>473</t>
  </si>
  <si>
    <t>용인시 처인구 모현읍 매산리 201-4</t>
  </si>
  <si>
    <t>474</t>
  </si>
  <si>
    <t>475</t>
  </si>
  <si>
    <t>476</t>
  </si>
  <si>
    <t>477</t>
  </si>
  <si>
    <t>화성시  송곡리 175-1</t>
  </si>
  <si>
    <t>7C케이블 신호불량교체</t>
  </si>
  <si>
    <t>478</t>
  </si>
  <si>
    <t>479</t>
  </si>
  <si>
    <t>화성시 향남읍 상신리 1288~5</t>
  </si>
  <si>
    <t>480</t>
  </si>
  <si>
    <t>481</t>
  </si>
  <si>
    <t>5C-JJ</t>
    <phoneticPr fontId="5" type="noConversion"/>
  </si>
  <si>
    <t>용인시 처인구 포곡읍 전대리 169-12</t>
  </si>
  <si>
    <t xml:space="preserve">용인시 기흥구 신갈동 158 신안아파트 306동 지하주차장 </t>
  </si>
  <si>
    <t xml:space="preserve">화성시 봉담읍 동화리 동화휴먼시아3단지 </t>
  </si>
  <si>
    <t>노이즈 유입으로 인한 ONU 선재적 교체</t>
  </si>
  <si>
    <t>화성시 반송동 163-1</t>
  </si>
  <si>
    <t>수원시 권선구 구운동 890</t>
  </si>
  <si>
    <t>수원시 권선구 금곡동 80-20</t>
  </si>
  <si>
    <t>수원시 천천동 일성아파트 503동</t>
  </si>
  <si>
    <t>용인시 기흥구 청덕동 503 휴먼시아물푸레마을 510동</t>
  </si>
  <si>
    <t>연장증폭기 쇼트 불량교체</t>
  </si>
  <si>
    <t>PS 쇼트불량 교체</t>
  </si>
  <si>
    <t>용인시 수지구 동천동 876-2</t>
  </si>
  <si>
    <t>용인시 기흥구 사은로 126번길10  쌍용아파트</t>
  </si>
  <si>
    <t>수원시 화서동 양지대우아파트</t>
  </si>
  <si>
    <t>구내증폭기 노후로인한 선재적 교체</t>
  </si>
  <si>
    <t>용인시 기흥구 사은로 126번길10  쌍용아파트 109동 2층</t>
  </si>
  <si>
    <t>평택시 장당동631 제일하이빌106동6,7호라인</t>
  </si>
  <si>
    <t xml:space="preserve"> 안성시 죽산면 중부길42</t>
  </si>
  <si>
    <t>용인시 기흥구 보라동 553민속마을 쌍용아파트 110동1~2</t>
  </si>
  <si>
    <t>화성시 반송동 75 다은마을풍성신미주</t>
  </si>
  <si>
    <t>안성시 당왕동 364-1</t>
  </si>
  <si>
    <t>ONU 쇼트로 인한 교체</t>
  </si>
  <si>
    <t>용인시 수지구 상현동 828 광교쌍용포레듀앤 4921동 1~2라인 지하</t>
  </si>
  <si>
    <t>상향 신호 증폭불량교체</t>
  </si>
  <si>
    <t>용인시 처인구 포곡읍 전대리 445-93</t>
  </si>
  <si>
    <t>평택시 월곡동162-1</t>
  </si>
  <si>
    <t>용인시 처인구 김량장동 70-5</t>
  </si>
  <si>
    <t>수원시 영통구  매탄동 1352 두산위브아파트 135동1.2라인 9층</t>
  </si>
  <si>
    <t>연장증폭기 하향 증폭 불량교체</t>
  </si>
  <si>
    <t>평택시  월곡동 167-1</t>
  </si>
  <si>
    <t>평택시  월곡동 167-7</t>
  </si>
  <si>
    <t>용인시 기흥구 서천동294-27</t>
  </si>
  <si>
    <t xml:space="preserve">용인시 수지구 죽전동 55 현대빌라트 302동 </t>
  </si>
  <si>
    <t>인시 처인구 이동읍 중덕로11</t>
  </si>
  <si>
    <t>PS 출력 전원 불량 교체</t>
  </si>
  <si>
    <t>오산시 부산동 459-16앞 전주</t>
  </si>
  <si>
    <t>수원시 영통구 이의동1352 에듀하임 헬스장</t>
  </si>
  <si>
    <t>용인시 처인구 양지면 남곡리 117-8</t>
  </si>
  <si>
    <t>용인시 처인구 포곡읍 전대리 171-15</t>
  </si>
  <si>
    <t>용인시 수지구 죽전동 882-5</t>
  </si>
  <si>
    <t>간선증폭기 침수 불량교체</t>
  </si>
  <si>
    <t>수원시 권선구 세류동 162-8</t>
  </si>
  <si>
    <t>수원시 권선구 탑동 797-3</t>
  </si>
  <si>
    <t>수원시 팔달구 인계동 206 한라시그마팰리스 101동</t>
  </si>
  <si>
    <t>수원시 영통구 원천동 82-21</t>
  </si>
  <si>
    <t>경기 평택시 합정동 904-12</t>
  </si>
  <si>
    <t>경기도 안성시 공도읍 승두리 81-4</t>
  </si>
  <si>
    <t>ONU 신호 불량 선재적 교체</t>
  </si>
  <si>
    <t>용인시 기흥구 중동 1041 초당마을 주공3단지 5302동 지하</t>
  </si>
  <si>
    <t>수원시 권선구 고색동 886-176</t>
  </si>
  <si>
    <t>평택시 이충동589-9 부영1차아파트104동</t>
  </si>
  <si>
    <t>용인시 기흥구 보정동1162동아솔레시티119동 공동구</t>
  </si>
  <si>
    <t>전원분리로 인한 UPS 신설</t>
  </si>
  <si>
    <t>용인시 기흥구 하갈동471-3노블카운티b동 공동구</t>
  </si>
  <si>
    <t>전원커넥터 전소로 인한 모듈 및 전원부 교체</t>
  </si>
  <si>
    <t>화성시 능동 1134 포스코더샾아파트</t>
  </si>
  <si>
    <t>용인시 처인구 모현읍 매산리 65-2</t>
  </si>
  <si>
    <t>신호불량 연장증폭기 신설</t>
  </si>
  <si>
    <t>화성시 능동 446</t>
  </si>
  <si>
    <t>평택시 동삭동 673-8</t>
  </si>
  <si>
    <t>경기도 안성시 공도읍 진사리  쌍용 아파트101동1~2라인3층</t>
  </si>
  <si>
    <t>화성시 새솔동 #400480</t>
  </si>
  <si>
    <t>2차전원 인가 불량교체</t>
  </si>
  <si>
    <t xml:space="preserve">오산시 원동 92-1앞 </t>
  </si>
  <si>
    <t>UPS 출력 불량교체</t>
  </si>
  <si>
    <t>용인시 처인구 모현읍 왕산리 463</t>
  </si>
  <si>
    <t xml:space="preserve">수원시 곡반정동 </t>
  </si>
  <si>
    <t xml:space="preserve"> 경기 평택시 청룡동 168-8</t>
  </si>
  <si>
    <t>경기 안성시 원곡면 지문로 70</t>
  </si>
  <si>
    <t>UPS 불량 PS 임시시설</t>
  </si>
  <si>
    <t>용인시 수지구 풍덕천동 700-1 현대아파트 105동 5~6라인 10층</t>
  </si>
  <si>
    <t>용인시 기흥구 공세동 벽산블루밍 아파트105동5.6라인5층</t>
  </si>
  <si>
    <t xml:space="preserve">용인시 기흥구 서천동 효성2차 102동 4층 </t>
  </si>
  <si>
    <t>용인시 기흥구 서천동 아이파크 2단지 605동 3.4 라인지하</t>
  </si>
  <si>
    <t>용인시 기흥구 농서동409번지</t>
  </si>
  <si>
    <t>용인시 기흥구 하갈동 지역난방공사 체력단련실</t>
  </si>
  <si>
    <t>용인시 기흥구 하갈동 신안인스빌202동1-2라인</t>
  </si>
  <si>
    <t>용인시 기흥구 고매동54-6번지</t>
  </si>
  <si>
    <t>용인시 기흥구 기흥구 신갈동 8-12번지</t>
  </si>
  <si>
    <t>용인시 기흥구 신갈동 기흥 파크뷰504동 3~4라인 / 508동 1-~라인</t>
  </si>
  <si>
    <t>용인시 기흥구 동백동 613-6번지</t>
  </si>
  <si>
    <t>용인시 기흥구 동백동 604 계룡리슈빌 1402동 3층</t>
  </si>
  <si>
    <t>용인시 기흥구 동백동 동보노빌리티 1208동 1-2리인 2층</t>
  </si>
  <si>
    <t>용인시 기흥구 상하동230-1 스위트캐슬 b동 1층</t>
  </si>
  <si>
    <t>용인시 기흥구 상하동 인정프린스 102동 4-5라인지하</t>
  </si>
  <si>
    <t>용인시  기흥구 동백동 백현마을 한라비발디2311동 1-2라인 3층</t>
  </si>
  <si>
    <t>용인시 기흥구 중동 참솔마을 월드메르디앙 103-5-6라인</t>
  </si>
  <si>
    <t>용인시 기흥구 상하동 쌍용a 310동 3-4라인 2층</t>
  </si>
  <si>
    <t>용인시 기흥구 동백동621-10 1층</t>
  </si>
  <si>
    <t>용인시 기흥구 중동 대원칸타빌a 4105동 3,4라인 3층</t>
  </si>
  <si>
    <t>경기 평택시 포승읍 원정리86-157</t>
  </si>
  <si>
    <t>수원시 영통구 매탄동1280 주공그린4단지 407동3.4라인 3층</t>
  </si>
  <si>
    <t>화성시 반송동 200 한화꿈에그린 628동 3-4라인</t>
  </si>
  <si>
    <t xml:space="preserve">화성시 새솔동26번지 1101동9층 </t>
  </si>
  <si>
    <t>용인시 처인구 이동읍 천리584-81번지</t>
  </si>
  <si>
    <t>용인시 처인구 이동읍 서리5-5번지</t>
  </si>
  <si>
    <t>간선증폭기 쇼트 불량교체</t>
  </si>
  <si>
    <t>용인시 처인구 이동읍 서리 1222</t>
  </si>
  <si>
    <t>수원시 팔달구 매산로2가 40-1 동인트루빌 오피스텔 5층</t>
  </si>
  <si>
    <t>화성시 봉담읍 내리 94-4</t>
  </si>
  <si>
    <t>평택시 통복동 161-1</t>
  </si>
  <si>
    <t>화성시 마도면 두곡리 359-1</t>
  </si>
  <si>
    <t xml:space="preserve"> 화성시 병점동 382-2 미라클프라자</t>
  </si>
  <si>
    <t>용인시 기흥구 구갈동 578</t>
  </si>
  <si>
    <t>용인시 기흥구 보라동580-4 1층 단자함</t>
  </si>
  <si>
    <t>수원시 영통구 영통동992-9</t>
  </si>
  <si>
    <t>오산시 궐동 653-5</t>
  </si>
  <si>
    <t>하향 MER 불량 교체</t>
  </si>
  <si>
    <t>수원시 권선구 세류동 141 성원아파트 103동 옥상</t>
  </si>
  <si>
    <t>UPS 전원인가 불량 PS 교체</t>
  </si>
  <si>
    <t>수원시 팔달구 인계동 1049 앞 맨홀</t>
  </si>
  <si>
    <t>용인시 수지구 죽전동 1233 304동 1~2라인 3층</t>
  </si>
  <si>
    <t>용인시 수지구 죽전동 1320-10</t>
  </si>
  <si>
    <t>경기 평택시 팽성읍 송화리 779-2</t>
  </si>
  <si>
    <t xml:space="preserve">경기도 안성시 양성면  석화리 96-2 </t>
  </si>
  <si>
    <t>경기 평택시 평택1로20번길 22</t>
  </si>
  <si>
    <t>경기 평택시 장당동634번지 제일하이빌 2차 202동 5호라인</t>
  </si>
  <si>
    <t>경기 평택시 안중읍 현화리824-6 현대홈타운102동 3-4라인</t>
  </si>
  <si>
    <t>오산시 궐동 28-3 102동 1층</t>
  </si>
  <si>
    <t>수원시 정자동 9-2</t>
  </si>
  <si>
    <t>수원시 팔달구 화서동 184-337</t>
  </si>
  <si>
    <t>용인시 기흥구 상하동 쌍용a 306동 5-6라인 2층</t>
  </si>
  <si>
    <t>용인시 기흥구 동백동661 백현마을코아루 2202동 3-4라인 8층</t>
  </si>
  <si>
    <t>용인시 기흥구 중동 월드메르디앙 107동 1-2라인지하</t>
  </si>
  <si>
    <t>용인시 기흥구 보라동325-4번지</t>
  </si>
  <si>
    <t>용인시 기흥구 구갈동587번지</t>
  </si>
  <si>
    <t xml:space="preserve"> 용인시 기흥구 구갈동593-3번지</t>
  </si>
  <si>
    <t>용인시 기흥구 상하동299-1 에코타운 204동 1층</t>
  </si>
  <si>
    <t>용인시 기흥구 상하동 용인정신병원 요양원 5층</t>
  </si>
  <si>
    <t>노후구내증폭기 선재적 교체</t>
  </si>
  <si>
    <t>용인시 기흥구 동백동 백현마을 모아미래도2차 2501동3-4라인 9층</t>
  </si>
  <si>
    <t>용인시 기흥구 상하동 쌍용2단지 206동 1,2라인 11층</t>
  </si>
  <si>
    <t>용인시 수지구 풍덕천로 13-7 벤처빌</t>
  </si>
  <si>
    <t>용인시 수지구 풍덕천동69-129</t>
  </si>
  <si>
    <t>용인시 수지구 죽전동 아이뷰 아파트 101동 11층</t>
  </si>
  <si>
    <t>용인시 수지구 죽전동 벽산4차 402동 5-6라인 2층</t>
  </si>
  <si>
    <t>MER 불량교체</t>
  </si>
  <si>
    <t>용인시 기흥구 보정동 1282 포스홈타운1차 204동 1- 2라인 11층</t>
  </si>
  <si>
    <t>용인시 기흥구 보정동1250-2 1층</t>
  </si>
  <si>
    <t>용인시 수지구 죽전동 벽산 2차 202동 1-2라인 2층</t>
  </si>
  <si>
    <t>용인시 수지구 죽전로143 우미이노스빌 201동 1-2라인 2층</t>
  </si>
  <si>
    <t>전원부 불량 교체</t>
  </si>
  <si>
    <t>용인시 수지구 죽전동 벽산2차 204동 1-2 라인 2층</t>
  </si>
  <si>
    <t>평택시 안중읍 현화리828-1 이화건영캐스빌105동5-6라인2층</t>
  </si>
  <si>
    <t>경기 평택시 합정동 925-6</t>
  </si>
  <si>
    <t>PS 커넥터 모듈 전소 불량교체</t>
  </si>
  <si>
    <t>용인시 기흥구 서천동로43번길 9-6 1층단자함</t>
  </si>
  <si>
    <t>용인시 처인구 포곡읍 둔전리 173-1</t>
  </si>
  <si>
    <t>용인시 수지구 상현동 306-1</t>
  </si>
  <si>
    <t>PS 출력전원 불량교체</t>
  </si>
  <si>
    <t>용인시 처인구 모현읍 초부리 724-3</t>
  </si>
  <si>
    <t>강백석</t>
  </si>
  <si>
    <t>수원시 권선구 오목천동 445</t>
  </si>
  <si>
    <t>수원시 권선구 서둔동 152-6</t>
  </si>
  <si>
    <t>수원시 권선구 세류동 1102-20</t>
  </si>
  <si>
    <t>수원시 권선구 호매실동 79-11</t>
  </si>
  <si>
    <t>평택시 독곡동 474아주2차 101동 옥상</t>
  </si>
  <si>
    <t>화성시 남양읍 남양리 724</t>
  </si>
  <si>
    <t>용인시 기흥구 동백동 623-3</t>
  </si>
  <si>
    <t>평택시 진위면 견산리 387-4</t>
  </si>
  <si>
    <t>화성시 마도면 슬향리60</t>
  </si>
  <si>
    <t>노이즈 유입 1차TAP 교체</t>
  </si>
  <si>
    <t>평택시 지산동 1234-3</t>
  </si>
  <si>
    <t>용인시 기흥구 보라동 553 쌍용아파트 104동</t>
  </si>
  <si>
    <t>용인시 수지구 풍덕천동 706-7</t>
  </si>
  <si>
    <t>용인시 처인구 이동읍 서리 586-4</t>
  </si>
  <si>
    <t>12C 간선케이블 불량 재연결</t>
  </si>
  <si>
    <t>용인시 처인구 남사읍 완장리 952 한숲아파트 610동</t>
  </si>
  <si>
    <t>용인시 기흥구 구갈동 567-2</t>
  </si>
  <si>
    <t>화성시 서신면 용두리산180-1</t>
  </si>
  <si>
    <t>신호불량 7C케이블 교체</t>
  </si>
  <si>
    <t>수원시 권선구 금곡동 1095</t>
  </si>
  <si>
    <t>화성시 석우동 10-1앞</t>
  </si>
  <si>
    <t>용인시 처인구 포곡읍 전대리 168-6</t>
  </si>
  <si>
    <t>민원건 2차TAP 철거 및 루트변경</t>
  </si>
  <si>
    <t>용인시 처인구 포곡읍 삼계리 556-1</t>
  </si>
  <si>
    <t>용인시 처인구 모현읍 갈담리 604</t>
  </si>
  <si>
    <t>DC08  신호불량교체</t>
  </si>
  <si>
    <t>용인시 기흥구 보라동 558 신창미션힐아파트 104/3~4</t>
  </si>
  <si>
    <t>용인시 기흥구 마북동629 삼섬레미안1차아파트 112동</t>
  </si>
  <si>
    <t>오산시 부산동 830 오산센트럴푸르지오</t>
  </si>
  <si>
    <t>수원시 송죽동 경기일보</t>
  </si>
  <si>
    <t>커넥터 노후 불량교체</t>
  </si>
  <si>
    <t>평택시 진위면 견산리 진위서로81</t>
  </si>
  <si>
    <t>화성시 장안면 어은리 120</t>
  </si>
  <si>
    <t>인입 케이블 신호불량교체</t>
  </si>
  <si>
    <t>평택시 동삭동 600번지 일대</t>
  </si>
  <si>
    <t>1차TAP 및 커넥터 침수 불량교체</t>
  </si>
  <si>
    <t>화성시 우정읍 806-4</t>
  </si>
  <si>
    <t>화성시 우정읍 이화리 956-2</t>
  </si>
  <si>
    <t>용인시 처인구 김량장동 70-1</t>
  </si>
  <si>
    <t>2WAY 하향신호 불량교체</t>
  </si>
  <si>
    <t>수원시 송죽동 393-11</t>
  </si>
  <si>
    <t>용인시 기흥구 신갈동 신안인스빌 아파트306동</t>
  </si>
  <si>
    <t>용인시기흥구 동백동611-11</t>
  </si>
  <si>
    <t>커넥터 침수 불량교체</t>
  </si>
  <si>
    <t>수원시 팔달구 매향동122-32</t>
  </si>
  <si>
    <t>화성시 송산면 독지리 164-4</t>
  </si>
  <si>
    <t>커넥터 노이즈 유입 교체</t>
  </si>
  <si>
    <t>화성시 향남읍 상신리 1305</t>
  </si>
  <si>
    <t>용인시 수지구 죽전동 55</t>
  </si>
  <si>
    <t>화성시 우정읍  화수리 933-12</t>
  </si>
  <si>
    <t>수원시 영통구 매탄동 1207-2 1층</t>
  </si>
  <si>
    <t>용인시 수지구 죽전동 832-1 벽산아파트2단지 209동</t>
  </si>
  <si>
    <t>용인시 수지구 죽전동 1381</t>
  </si>
  <si>
    <t>하향신호 불량 교체</t>
  </si>
  <si>
    <t>수원시 율전동560 서희아파트3단지 지하</t>
  </si>
  <si>
    <t>UPS 누전차단기 불량교체</t>
  </si>
  <si>
    <t>경기도 안성시 금산동 241-2</t>
  </si>
  <si>
    <t>용인시 처인구 포곡읍 둔전리 147 신원2차아파트 202동</t>
  </si>
  <si>
    <t>용인시 처인구 포곡읍 둔전리 147 신원2차아파트 206동</t>
  </si>
  <si>
    <t>용인시 처인구 모현읍 매산리 209-3</t>
  </si>
  <si>
    <t>인입케이블 루트 변경</t>
  </si>
  <si>
    <t>경기 평택시 용이동 442-14</t>
  </si>
  <si>
    <t>경기 평택시 용이동 466-4</t>
  </si>
  <si>
    <t>경기 안성시 서인동 58-3</t>
  </si>
  <si>
    <t>482</t>
  </si>
  <si>
    <t>483</t>
  </si>
  <si>
    <t>484</t>
  </si>
  <si>
    <t>화성시 송산면 육일리337-1</t>
  </si>
  <si>
    <t>동축케이블 신호불량교체</t>
  </si>
  <si>
    <t>485</t>
  </si>
  <si>
    <t>화성시 정남면  계향리 128</t>
  </si>
  <si>
    <t>지장이설로 인한 케이블 교체</t>
  </si>
  <si>
    <t>486</t>
  </si>
  <si>
    <t>487</t>
  </si>
  <si>
    <t>화성시 반송동 217-1</t>
  </si>
  <si>
    <t>488</t>
  </si>
  <si>
    <t>489</t>
  </si>
  <si>
    <t>490</t>
  </si>
  <si>
    <t>경기도 안성시 서인동 54-2</t>
  </si>
  <si>
    <t>491</t>
  </si>
  <si>
    <t>수원시 인계동 245-3</t>
  </si>
  <si>
    <t>1차TAP 침수 및 7C압착 노후불량교체</t>
  </si>
  <si>
    <t>492</t>
  </si>
  <si>
    <t>493</t>
  </si>
  <si>
    <t>494</t>
  </si>
  <si>
    <t>495</t>
  </si>
  <si>
    <t>용인시 수지구 동천동9-6</t>
  </si>
  <si>
    <t>496</t>
  </si>
  <si>
    <t>497</t>
  </si>
  <si>
    <t>498</t>
  </si>
  <si>
    <t>용인시 처인구 호동 99-1</t>
  </si>
  <si>
    <t>499</t>
  </si>
  <si>
    <t>500</t>
  </si>
  <si>
    <t>501</t>
  </si>
  <si>
    <t>평택시 서재5길 17-9</t>
  </si>
  <si>
    <t>502</t>
  </si>
  <si>
    <t>503</t>
  </si>
  <si>
    <t>평택시 고덕면 궁리 523 고덕하늘채 시그니처 110동</t>
  </si>
  <si>
    <t>504</t>
  </si>
  <si>
    <t>화성시 반송동 190-9</t>
  </si>
  <si>
    <t>505</t>
  </si>
  <si>
    <t>506</t>
  </si>
  <si>
    <t>507</t>
  </si>
  <si>
    <t>508</t>
  </si>
  <si>
    <t>509</t>
  </si>
  <si>
    <t>510</t>
  </si>
  <si>
    <t>용인시 기흥구 죽전동 873-4</t>
  </si>
  <si>
    <t>511</t>
  </si>
  <si>
    <t>512</t>
  </si>
  <si>
    <t>513</t>
  </si>
  <si>
    <t>평택시 서정동 586-4</t>
  </si>
  <si>
    <t>514</t>
  </si>
  <si>
    <t>515</t>
  </si>
  <si>
    <t>용인시 처인구 유방동 290-3</t>
  </si>
  <si>
    <t>케이블 불량교체</t>
  </si>
  <si>
    <t>516</t>
  </si>
  <si>
    <t>517</t>
  </si>
  <si>
    <t>용인시 처인구 외대로26번길 3-1</t>
  </si>
  <si>
    <t>518</t>
  </si>
  <si>
    <t>519</t>
  </si>
  <si>
    <t>오산시 금암동 509 세교주공3단지</t>
  </si>
  <si>
    <t>520</t>
  </si>
  <si>
    <t>경기도 안성시 원곡면 칠곡리282-283</t>
  </si>
  <si>
    <t>신호불량 커넥터 및 JJ 교체</t>
  </si>
  <si>
    <t>521</t>
  </si>
  <si>
    <t>522</t>
  </si>
  <si>
    <t>523</t>
  </si>
  <si>
    <t>수원시 연무동 220-9</t>
  </si>
  <si>
    <t>524</t>
  </si>
  <si>
    <t>용인시 기흥구 상갈동 489-6</t>
  </si>
  <si>
    <t>계량기 파손으로 인한 교체</t>
  </si>
  <si>
    <t>525</t>
  </si>
  <si>
    <t>526</t>
  </si>
  <si>
    <t>527</t>
  </si>
  <si>
    <t>528</t>
  </si>
  <si>
    <t>평택시 동삭동 673-10</t>
  </si>
  <si>
    <t>529</t>
  </si>
  <si>
    <t>530</t>
  </si>
  <si>
    <t>531</t>
  </si>
  <si>
    <t>경기도 안성시 인지동4</t>
  </si>
  <si>
    <t>532</t>
  </si>
  <si>
    <t>평택시 진위면 가곡리 360-1</t>
  </si>
  <si>
    <t>533</t>
  </si>
  <si>
    <t>534</t>
  </si>
  <si>
    <t>535</t>
  </si>
  <si>
    <t>536</t>
  </si>
  <si>
    <t>537</t>
  </si>
  <si>
    <t>538</t>
  </si>
  <si>
    <t>539</t>
  </si>
  <si>
    <t>용인시 수지구 죽전동 93</t>
  </si>
  <si>
    <t>540</t>
  </si>
  <si>
    <t>541</t>
  </si>
  <si>
    <t>542</t>
  </si>
  <si>
    <t>DC08  침수불량교체</t>
  </si>
  <si>
    <t>543</t>
  </si>
  <si>
    <t>544</t>
  </si>
  <si>
    <t>545</t>
  </si>
  <si>
    <t>용인시 기흥구 보정동 1193-9</t>
  </si>
  <si>
    <t>546</t>
  </si>
  <si>
    <t>547</t>
  </si>
  <si>
    <t>548</t>
  </si>
  <si>
    <t>용인시 기흥구 영덕동 980 휴먼시아 1단지 110동</t>
  </si>
  <si>
    <t>549</t>
  </si>
  <si>
    <t>550</t>
  </si>
  <si>
    <t>수원시 권선구 권선동 1235 풍림신안아파트 306동</t>
  </si>
  <si>
    <t>551</t>
  </si>
  <si>
    <t>552</t>
  </si>
  <si>
    <t>경기 평택시 용이동 480-7</t>
  </si>
  <si>
    <t>553</t>
  </si>
  <si>
    <t>수원시 천천동 대우푸르지오 131동</t>
  </si>
  <si>
    <t>554</t>
  </si>
  <si>
    <t>수원시 권선구 권선동 1186 삼천리아파트 107동 옥상</t>
  </si>
  <si>
    <t>신호불량 TAP 및 커넥터 교체</t>
  </si>
  <si>
    <t>555</t>
  </si>
  <si>
    <t>556</t>
  </si>
  <si>
    <t>557</t>
  </si>
  <si>
    <t>558</t>
  </si>
  <si>
    <t>559</t>
  </si>
  <si>
    <t xml:space="preserve"> 수원시 정자동 900-1 장안아파트 222동</t>
  </si>
  <si>
    <t>560</t>
  </si>
  <si>
    <t>수원시 영통구 매탄동 172-72</t>
  </si>
  <si>
    <t>561</t>
  </si>
  <si>
    <t>562</t>
  </si>
  <si>
    <t>평택시 진위면 가곡리213-3</t>
  </si>
  <si>
    <t>563</t>
  </si>
  <si>
    <t>564</t>
  </si>
  <si>
    <t>565</t>
  </si>
  <si>
    <t>566</t>
  </si>
  <si>
    <t>용인시 기흥구 신갈동 161</t>
  </si>
  <si>
    <t>커넥터 불량교체</t>
  </si>
  <si>
    <t>567</t>
  </si>
  <si>
    <t>오산동 내삼미동 882-2앞 맨홀</t>
  </si>
  <si>
    <t>568</t>
  </si>
  <si>
    <t>569</t>
  </si>
  <si>
    <t>570</t>
  </si>
  <si>
    <t>경기도 평택시 가재동123-2</t>
  </si>
  <si>
    <t>케이블 단선 복구</t>
  </si>
  <si>
    <t>571</t>
  </si>
  <si>
    <t>572</t>
  </si>
  <si>
    <t>용인시 처인구 김량장동 133-123</t>
  </si>
  <si>
    <t>573</t>
  </si>
  <si>
    <t>574</t>
  </si>
  <si>
    <t>575</t>
  </si>
  <si>
    <t>576</t>
  </si>
  <si>
    <t>용인시 수지구 동천동 910 푸르지오아파트 101동</t>
  </si>
  <si>
    <t>577</t>
  </si>
  <si>
    <t>578</t>
  </si>
  <si>
    <t>579</t>
  </si>
  <si>
    <t>580</t>
  </si>
  <si>
    <t>화성시 반송동 25-1앞 맨홀</t>
  </si>
  <si>
    <t>581</t>
  </si>
  <si>
    <t>582</t>
  </si>
  <si>
    <t>583</t>
  </si>
  <si>
    <t>수원시 영통구 이의동1331 월드마크 상가1동</t>
  </si>
  <si>
    <t>584</t>
  </si>
  <si>
    <t>경기 용인 평택 안성 일대</t>
  </si>
  <si>
    <t>5C-JJ</t>
  </si>
  <si>
    <t>5C 중계기 교체 및 사용</t>
  </si>
  <si>
    <t>585</t>
  </si>
  <si>
    <t>경기 수원 오산 화성 일대</t>
  </si>
  <si>
    <t>586</t>
  </si>
  <si>
    <t>5C케이블 불량교체</t>
  </si>
  <si>
    <t>587</t>
  </si>
  <si>
    <t>588</t>
  </si>
  <si>
    <t>경기도 안성시 죽산면 죽산리 547-7</t>
  </si>
  <si>
    <t>589</t>
  </si>
  <si>
    <t>590</t>
  </si>
  <si>
    <t>화성시 청계동 538 동탄역 푸르지오</t>
  </si>
  <si>
    <t>591</t>
  </si>
  <si>
    <t>화성시 서신면 송산면 417</t>
  </si>
  <si>
    <t>592</t>
  </si>
  <si>
    <t>593</t>
  </si>
  <si>
    <t>용인시 처인구 모현읍 왕산리 479-55</t>
  </si>
  <si>
    <t>5C 인입 케이블 교체</t>
  </si>
  <si>
    <t>594</t>
  </si>
  <si>
    <t>595</t>
  </si>
  <si>
    <t>신호불량 수동소자 교체</t>
  </si>
  <si>
    <t>596</t>
  </si>
  <si>
    <t>597</t>
  </si>
  <si>
    <t>598</t>
  </si>
  <si>
    <t>599</t>
  </si>
  <si>
    <t>600</t>
  </si>
  <si>
    <t>수원시 권선구 고색동 142-5</t>
  </si>
  <si>
    <t>전주 파손으로 인한 커넥터 파손교체</t>
  </si>
  <si>
    <t>601</t>
  </si>
  <si>
    <t>수원시 천천동 대우 푸르지오</t>
  </si>
  <si>
    <t>602</t>
  </si>
  <si>
    <t>603</t>
  </si>
  <si>
    <t>604</t>
  </si>
  <si>
    <t>605</t>
  </si>
  <si>
    <t>606</t>
  </si>
  <si>
    <t>용인시 처인구 역북동 108-7</t>
  </si>
  <si>
    <t>용인시 수지구 죽전동 1190-5</t>
  </si>
  <si>
    <t>용인시 수지구 죽전동 1188-4 부근</t>
  </si>
  <si>
    <t>하향 TILT 불량교체</t>
  </si>
  <si>
    <t>용인시 수지구 죽전동 1189-1</t>
  </si>
  <si>
    <t xml:space="preserve">용인시 기흥구 영덕동 13 14층 단자함 </t>
  </si>
  <si>
    <t>용인시 수지구 풍덕천동663-1 삼성4차 106동 지하공동구</t>
  </si>
  <si>
    <t xml:space="preserve">용인시 기흥구 동백동 654 동보노블리티 1207동 3~4라인 2층 </t>
  </si>
  <si>
    <t xml:space="preserve"> 수원시 영통구 원천동589 중흥A 110동1.2라인 2층</t>
  </si>
  <si>
    <t>용인시 수지구 죽전동 벽산2차아파트 202동3~4라인 11층</t>
  </si>
  <si>
    <t xml:space="preserve">용인시 기흥구 동백동 584 주공9단지 2912동 1~2라인 3층 </t>
  </si>
  <si>
    <t>용인시 기흥구 보정동1172 금호아파트104동 지하공동구</t>
  </si>
  <si>
    <t>수원시 화서동 206-8 6층</t>
  </si>
  <si>
    <t>수원시 인계동 235-1</t>
  </si>
  <si>
    <t xml:space="preserve">용인시 기흥구 상하동 621 쌍용아파트 311동 1~2라인 2층 </t>
  </si>
  <si>
    <t>수원시 권선구 호매실동 1380</t>
  </si>
  <si>
    <t>용인시 기흥구 상갈동 480 금화마을 주공6단지 1~5라인 2층</t>
  </si>
  <si>
    <t xml:space="preserve"> 용인시 처인구 양지읍 남곡리 140-9번지</t>
  </si>
  <si>
    <t>용인시 수지구 죽전동 1115 롯데캐슬 303동</t>
  </si>
  <si>
    <t>평택시 포승읍 희곡리141-5</t>
  </si>
  <si>
    <t>화성시 마도면 두곡길8</t>
  </si>
  <si>
    <t>신호불량 1차TAP 교체 및 구내증폭기 신설</t>
  </si>
  <si>
    <t>화성시 마도면 두곡리184-1</t>
  </si>
  <si>
    <t>용인시 기흥구 동백죽전대로 283 109동 지하 2층</t>
  </si>
  <si>
    <t>용인시 처인구 모현읍 초부리 166-3</t>
  </si>
  <si>
    <t>하향MER변동 불량교체</t>
  </si>
  <si>
    <t>수원시 곡반정동 550-6</t>
  </si>
  <si>
    <t>화성시 팔탄면 하저리543-1</t>
  </si>
  <si>
    <t>ONU 상향송신기 불량교체</t>
  </si>
  <si>
    <t>화성시 반송동 215 신도브래뉴</t>
  </si>
  <si>
    <t>용인시 처인구 포곡읍 둔전리 131-5</t>
  </si>
  <si>
    <t>용인시 수지구 상현동 1174</t>
  </si>
  <si>
    <t>경기 평택시 합정동 895-4</t>
  </si>
  <si>
    <t>용인시 기흥구 상갈동 480 금화주공6단지아파트</t>
  </si>
  <si>
    <t>화성시 장안면 조암리808-3</t>
  </si>
  <si>
    <t>차단기 침수 불량교체</t>
  </si>
  <si>
    <t>경기 평택시 배미2길 35</t>
  </si>
  <si>
    <t>3번포트 하향MER 불량교체</t>
  </si>
  <si>
    <t>경기 평택시 비전동 515-9</t>
  </si>
  <si>
    <t>용인시 수지구 동천동 703-2</t>
  </si>
  <si>
    <t>수원시 영통구 원천동 199-13 앞 전주</t>
  </si>
  <si>
    <t>DRT 송신기 불량교체</t>
  </si>
  <si>
    <t>평택시 서탄면 수월암리451</t>
  </si>
  <si>
    <t>낙뢰로 인한 UPS 불량 PS 임시 시설</t>
  </si>
  <si>
    <t>용인시 처인구 김량장동 20-1</t>
  </si>
  <si>
    <t>수원시 팔달구  팔달로2가 95 백병원 4층</t>
  </si>
  <si>
    <t>화성시 반송동 43-4</t>
  </si>
  <si>
    <t>ONU 신호변동으로 인한 선재적 교체</t>
  </si>
  <si>
    <t xml:space="preserve">수원시 권선구 권선동 939-13 </t>
  </si>
  <si>
    <t>수원시 권선구 서둔동 187-39</t>
  </si>
  <si>
    <t>수원시 영통구 매탄동 1159-6</t>
  </si>
  <si>
    <t>수원시 권선구 오목천동 960 영조 아파트 2단지 202동</t>
  </si>
  <si>
    <t>평택시 신장동 미군부대</t>
  </si>
  <si>
    <t>수원시 권선구 서둔동 188-2</t>
  </si>
  <si>
    <t>용인시 처인구 원삼면 죽능리  597-3번지</t>
  </si>
  <si>
    <t>용인시 기흥구 하갈동 471-3 노블카운티</t>
  </si>
  <si>
    <t>화성시 봉담읍 당하리63-5</t>
  </si>
  <si>
    <t>수원시 권선구 서둔동 187-29</t>
  </si>
  <si>
    <t>간선증폭기 하향 신호불량교체</t>
  </si>
  <si>
    <t>화성시 팔탄면 화당길54-11</t>
  </si>
  <si>
    <t>간선증폭기 전원부 및 모듈 쇼트불량교체</t>
  </si>
  <si>
    <t>용인시 처인구 포곡읍 둔전리193-2번지 일대</t>
  </si>
  <si>
    <t>ONU 하향 MER 불안정으로 인한 선재적 교체</t>
  </si>
  <si>
    <t>용인시 기흥구 영덕동1064-6번지 일대</t>
  </si>
  <si>
    <t>ONU 침수로 인한 선재적 교체</t>
  </si>
  <si>
    <t>용인시 기흥구 보라동 573-2</t>
  </si>
  <si>
    <t>경기도 평택시  독곡동 475-0</t>
  </si>
  <si>
    <t>ONU 하향신호 불안정으로 인한 선재적 교체</t>
  </si>
  <si>
    <t xml:space="preserve"> 용인시 처인구 포곡읍 영문리 52-11</t>
  </si>
  <si>
    <t>간선증폭기 전원부 및 모듈 불량교체</t>
  </si>
  <si>
    <t xml:space="preserve">용인시 기흥구 중동 874 동일하이빌아파트 2114동 1~2라인 </t>
  </si>
  <si>
    <t>경기도 안성시 옥천동14-1</t>
  </si>
  <si>
    <t>용인시 처인구 이동읍 서리 334-2</t>
  </si>
  <si>
    <t>경기 평택시 서재1길 47-47</t>
  </si>
  <si>
    <t>경기 평택시 가재동 323-5</t>
  </si>
  <si>
    <t>용인시 수지구 죽전동 1034 433동 1-2라인 3층</t>
  </si>
  <si>
    <t>안성시 삼죽면 용월리425-5</t>
  </si>
  <si>
    <t>오산시 은계동 27-2 2층</t>
  </si>
  <si>
    <t>수원시 세류동 83-7 1층</t>
  </si>
  <si>
    <t>용인시 처인구 고림동 1000 영화2차아파트 206/3~4</t>
  </si>
  <si>
    <t>용인시 처인구 양지면 식금리 65-3</t>
  </si>
  <si>
    <t>용인시 수지구 풍덕천동  1165 샤르망오피스텔 방제실</t>
  </si>
  <si>
    <t>화성시 반송동 83 삼부르네상스아파트</t>
  </si>
  <si>
    <t>용인시 처인구 마평동 735-1</t>
  </si>
  <si>
    <t>용인시 처인구 역북동 417-7</t>
  </si>
  <si>
    <t>용인시 수지구 동천동 874</t>
  </si>
  <si>
    <t>경기 화성시 장안면 석포리 751-2</t>
  </si>
  <si>
    <t>용인시 처인구 양지면 남곡리 133-6번지</t>
  </si>
  <si>
    <t>용인시 처인구 양지면 남곡리  107-3. 104동</t>
  </si>
  <si>
    <t>용인시 기흥구 신갈동 165 도현마을 현대아파트 202동</t>
  </si>
  <si>
    <t>화성시 동탄구 산척동 834-1앞 맨홀</t>
  </si>
  <si>
    <t>평택시 용이동 441-5</t>
  </si>
  <si>
    <t>용인시 기흥구 하갈동 472-3번지  사무실</t>
  </si>
  <si>
    <t xml:space="preserve">용인시 기흥구 신갈동 17-25 그랑주택 1층 </t>
  </si>
  <si>
    <t>수원시 정자동 429-43</t>
  </si>
  <si>
    <t>용인시 기흥구 상하동633 빌라1층</t>
  </si>
  <si>
    <t>용인시 수지구 죽전동  1188-5 앞 맨홀</t>
  </si>
  <si>
    <t>화성시 반월동493번지</t>
  </si>
  <si>
    <t>UPS 2차 전원 불량교체</t>
  </si>
  <si>
    <t>수원시 팔달구 매교동 76ㅡ1</t>
  </si>
  <si>
    <t>화성시 장안면 장안고잔길81</t>
  </si>
  <si>
    <t>전원 출력 부족 교체</t>
  </si>
  <si>
    <t>평택시 팽성읍 노와리 75-3</t>
  </si>
  <si>
    <t>낙뢰로 인한 연장증폭기 불량교체</t>
  </si>
  <si>
    <t>수원시 곡반정동 542-8</t>
  </si>
  <si>
    <t>용인시 처인구 포곡읍 금어리432-2</t>
  </si>
  <si>
    <t>용인시 수지구 동천동 949-2</t>
  </si>
  <si>
    <t>화성시 팔탄면 노하리240번지</t>
  </si>
  <si>
    <t>용인시 기흥구 동백동 605-5</t>
  </si>
  <si>
    <t>용인시 기흥구 동백동 608-14</t>
  </si>
  <si>
    <t>간선증폭기 및 1차TAP 침수 불량교체</t>
  </si>
  <si>
    <t>용인시 처인구 백암면 박곡리 679-3번지</t>
  </si>
  <si>
    <t>용인시 수지구 상현동 831</t>
  </si>
  <si>
    <t>하향증폭 및 MER 불량교체</t>
  </si>
  <si>
    <t>용인시 처인구 양지면 주북리550</t>
  </si>
  <si>
    <t>수원시 파장동 570-26</t>
  </si>
  <si>
    <t>용인시 처인구 모현읍 일산리 221-3</t>
  </si>
  <si>
    <t xml:space="preserve">용인시 기흥구 구갈동 561-2 1층 </t>
  </si>
  <si>
    <t>경기도 평택시  오성면  죽5리길21</t>
  </si>
  <si>
    <t>화성시 서신면 장외리 523-4</t>
  </si>
  <si>
    <t>1차 TAP 신호불량교체</t>
  </si>
  <si>
    <t>용인시 처인구 포곡읍 삼계리118 현대그린아파트 105/1~2</t>
  </si>
  <si>
    <t>용인시 처인구 역북동 215-3 부근</t>
  </si>
  <si>
    <t>신호불량 커넥터 재취부</t>
  </si>
  <si>
    <t>경기 평택시 용이동 489-2</t>
  </si>
  <si>
    <t>용인시 수지구 죽전동 465-1</t>
  </si>
  <si>
    <t>용인시 기흥구 보정동 1324-13</t>
  </si>
  <si>
    <t>용인시 처인구 역북동 96-6</t>
  </si>
  <si>
    <t>화성시 남양리 역곡동로 45</t>
  </si>
  <si>
    <t>화성시 서신면 매화리 619-2</t>
  </si>
  <si>
    <t>평택시 진위면 하북리58-6</t>
  </si>
  <si>
    <t>오산시 세교동 611-6</t>
  </si>
  <si>
    <t>수원시 남창동 122</t>
  </si>
  <si>
    <t>화성시 우정읍 조암리 209</t>
  </si>
  <si>
    <t>신호불량 케이블 및 수동소자 교체</t>
  </si>
  <si>
    <t>용인시 처인구 운학동 150-1번지</t>
  </si>
  <si>
    <t>용인시 처인구 고림동 1002 코아루아파트 102동</t>
  </si>
  <si>
    <t>노이즈 유입 동전체 커넥터 교체</t>
  </si>
  <si>
    <t>화성시 향남읍 장짐리 203</t>
  </si>
  <si>
    <t>화성시 정남면 망월리 309</t>
  </si>
  <si>
    <t>2WAY 쇼트 불량교체</t>
  </si>
  <si>
    <t>화성시 팔탄면 고주골길21</t>
  </si>
  <si>
    <t>용인시 수지구 죽전동 1339-6</t>
  </si>
  <si>
    <t>2WAY 및 3WAY 침수 불량교체</t>
  </si>
  <si>
    <t>용인시 처인구김량장동 81-4</t>
  </si>
  <si>
    <t>용인시 처인구 원삼면 맹리 335-1</t>
  </si>
  <si>
    <t>7C 케이블 신호불량교체</t>
  </si>
  <si>
    <t>용인시 처인구 김량장동 351-5</t>
  </si>
  <si>
    <t>화성시 향남읍 발안리 309</t>
  </si>
  <si>
    <t>옥상방수공사로 인한 케이블 재포설</t>
  </si>
  <si>
    <t xml:space="preserve">용인시 기흥구 마북동 204-5 교동마을정광아파트 103동 </t>
  </si>
  <si>
    <t xml:space="preserve">용인시 기흥구 상갈동 480 금화주공6단지 602동 </t>
  </si>
  <si>
    <t>용인시 기흥구 언남동 383-8</t>
  </si>
  <si>
    <t>용인시 기흥구 영덕동 963 우미린아파트 904동~905동</t>
  </si>
  <si>
    <t>신호불량 2WAY 및 DC08교체</t>
  </si>
  <si>
    <t>용인시 기흥구 상갈동 480 금화마을 주공6단지 602동</t>
  </si>
  <si>
    <t>화성시 만세구 사곶리 197</t>
  </si>
  <si>
    <t>화성시 매송면 어천리 364-3</t>
  </si>
  <si>
    <t>경기도 안성시 원곡면 칠곡리 182-9</t>
  </si>
  <si>
    <t>평택시 청북읍 옥길리1110 부영1차110동지하</t>
  </si>
  <si>
    <t>평택시 팽성읍 신대리 211</t>
  </si>
  <si>
    <t>평택시 진위면 하북리 187-1</t>
  </si>
  <si>
    <t>경기 평택시 용이동 464-5</t>
  </si>
  <si>
    <t>수원시 화서동 두산위브</t>
  </si>
  <si>
    <t>용인시 기흥구 영덕동 1068-10</t>
  </si>
  <si>
    <t>용인시 기흥구 영덕동 1065-6</t>
  </si>
  <si>
    <t>용인시 기흥구 영덕동 1065-3</t>
  </si>
  <si>
    <t>용인시 기흥구 영덕동 1053-1</t>
  </si>
  <si>
    <t>용인시 처인구 포곡읍 영문리 349-7</t>
  </si>
  <si>
    <t>오산시 금암동 496 세교주공9단지</t>
  </si>
  <si>
    <t>수원시 팔달구 남창동 112-1</t>
  </si>
  <si>
    <t>수동소자 침수 불량교체</t>
  </si>
  <si>
    <t>수원시 영통구 영통동1036-16</t>
  </si>
  <si>
    <t xml:space="preserve">수원시 영통구 망포동718 센트럴하이츠 306동 </t>
  </si>
  <si>
    <t xml:space="preserve">경기 평택시 신창로 31번길 19-3 </t>
  </si>
  <si>
    <t>용인시 처인구 원삼면 맹리 285-15번지</t>
  </si>
  <si>
    <t>용인시 처인구 양지면 식금리 105번지</t>
  </si>
  <si>
    <t>화성시 봉담읍 당하리34 앞전주</t>
  </si>
  <si>
    <t xml:space="preserve">용인시 기흥구 중동 874 동일하이츠빌 2113동 </t>
  </si>
  <si>
    <t>용인시 처인구 모현읍 동림리 266-11</t>
  </si>
  <si>
    <t>용인시 처인구 모현읍 동림리 229-11</t>
  </si>
  <si>
    <t>오산시 오산동 859-16</t>
  </si>
  <si>
    <t>화성시 서신면 용두리203-1</t>
  </si>
  <si>
    <t>1차TAP 신호불량 교체</t>
  </si>
  <si>
    <t>수원시 팔달구 화서동 265-17</t>
  </si>
  <si>
    <t>화성시 새솔동 147-4</t>
  </si>
  <si>
    <t>화성시 동탄구 청계동 545 동탄역 신안인스빌리베라</t>
  </si>
  <si>
    <t xml:space="preserve">평택시 신장동 325-3 </t>
  </si>
  <si>
    <t>평택시 신장동 690-127</t>
  </si>
  <si>
    <t>수원시 조원동 한일타운 119동</t>
  </si>
  <si>
    <t>용인시 기흥구 동백동 9-1</t>
  </si>
  <si>
    <t>1차TAP 및 압착커넥터 침수 불량교체</t>
  </si>
  <si>
    <t>화성시 장안면 노진리 930-40</t>
  </si>
  <si>
    <t>평택시 서정동604-159</t>
  </si>
  <si>
    <t>노이즈 유입 1차TAP 및 커넥터 교체</t>
  </si>
  <si>
    <t>경기 평택시 동삭동 670-7</t>
  </si>
  <si>
    <t>용인시 처인구 남사읍 완장리945 한숲아파트 608동</t>
  </si>
  <si>
    <t>평택시 서정동 604-159</t>
  </si>
  <si>
    <t>용인시 처인구 역북동 414-23</t>
  </si>
  <si>
    <t>화성시 팔탄면 덕천리 102</t>
  </si>
  <si>
    <t>넝쿨로 인한 케이블 단선 복구</t>
  </si>
  <si>
    <t>화성시 향남읍 상신하길로 65  17단지</t>
  </si>
  <si>
    <t>화성시 향남읍 행정서로48 신명스카이뷰</t>
  </si>
  <si>
    <t>용인시 처인구 유방동 17-7 미래센스빌 108동 옥상</t>
  </si>
  <si>
    <t>화성시 남양읍 남양리1265_3번지</t>
  </si>
  <si>
    <t>용인시 기흥구 보라동589-7</t>
  </si>
  <si>
    <t>화성시  우정읍  매향리 905-2</t>
  </si>
  <si>
    <t>민원건 7C케이블 루트변경</t>
  </si>
  <si>
    <t>용인시 처인구 운학동 720-1</t>
  </si>
  <si>
    <t>화성시 반송동 88-6 앞맨홀</t>
  </si>
  <si>
    <t>화성시 향남읍 발안리 127-16</t>
  </si>
  <si>
    <t>화성시 향남읍 행정리 503-3</t>
  </si>
  <si>
    <t>안성시 미양면 양지리42-7</t>
  </si>
  <si>
    <t>화성시  장안면  장안리 1487-9</t>
  </si>
  <si>
    <t>7C케이블 불량교체</t>
  </si>
  <si>
    <t>용인시 기흥구 상하동 633-6</t>
  </si>
  <si>
    <t>용인시 기흥구 영덕동 780-12</t>
  </si>
  <si>
    <t>용인시 기흥구 동백동 608-13</t>
  </si>
  <si>
    <t>PI 및 DC08 침수 불량교체</t>
  </si>
  <si>
    <t>평택시 독곡동408</t>
  </si>
  <si>
    <t>평택시 진위면 가곡리361-1</t>
  </si>
  <si>
    <t>화성시 비봉면 쌍학리 126~1</t>
  </si>
  <si>
    <t>화성시 향남읍 발안리 298</t>
  </si>
  <si>
    <t>화성시 팔탄면 덕천리 242-6</t>
  </si>
  <si>
    <t>화성시 우정읍  화산리 1203-8</t>
  </si>
  <si>
    <t>12C 케이블 불량 중계기 취부</t>
  </si>
  <si>
    <t>화성시 반송동 188-4</t>
  </si>
  <si>
    <t>3WAY 침수 불량교체.</t>
  </si>
  <si>
    <t>경기도 안성시 미양면  양지리40-8</t>
  </si>
  <si>
    <t>2WAY 및 1차TAP 신호불량교체</t>
  </si>
  <si>
    <t>화성시 향남읍 장짐리 280~1</t>
  </si>
  <si>
    <t>평택시 팽성읍 안정리 108-45</t>
  </si>
  <si>
    <t>평택시 팽성읍 객사리 93-1</t>
  </si>
  <si>
    <t>용인시 처인구 삼가동 39-23</t>
  </si>
  <si>
    <t>수원시 영통구 영통동 1035-7</t>
  </si>
  <si>
    <t>화성시 팔탄면 기천리 455~2</t>
  </si>
  <si>
    <t>화성시 팔탄면 노하리 398</t>
  </si>
  <si>
    <t>화성시 봉담읍 왕림리 402~12</t>
  </si>
  <si>
    <t>지장소 미달 처리</t>
  </si>
  <si>
    <t>수원시 연무동 212-13</t>
  </si>
  <si>
    <t>용인시 기흥구 구갈동 583-5</t>
  </si>
  <si>
    <t>기흥구 구갈동 561-2</t>
  </si>
  <si>
    <t>홈앤서비스 용인북부지점</t>
  </si>
  <si>
    <t>구내증폭기 홈앤서비스 인계</t>
  </si>
  <si>
    <t>평택 안성 용인 일대</t>
  </si>
  <si>
    <t>5C케이블 교체</t>
  </si>
  <si>
    <t>용인,수지,신갈국사</t>
  </si>
  <si>
    <t>벡스어댑터 불량교체</t>
  </si>
  <si>
    <t>매산,우만,오산국사</t>
  </si>
  <si>
    <t>평택,안성국사</t>
  </si>
  <si>
    <t>홈앤서비스 수원동부지점</t>
  </si>
  <si>
    <t>평택시 비전동 225-37번지</t>
  </si>
  <si>
    <t>용인시 수지구 풍덕천동1137-7 트윈빌라1층</t>
  </si>
  <si>
    <t>용인시 기흥구 중동 850-2</t>
  </si>
  <si>
    <t>용인시 기흥구 상하동 119-2</t>
  </si>
  <si>
    <t>전압 과부하로 인한 PS 신설</t>
  </si>
  <si>
    <t>용인시 수지구 상하동 119-2</t>
  </si>
  <si>
    <t>PS 불량교체</t>
  </si>
  <si>
    <t>수원시 팔달구 화서동 67-14</t>
  </si>
  <si>
    <t>오산시 오산동 911-15 1층</t>
  </si>
  <si>
    <t>용인시 처인구 역북동 587-16번지</t>
  </si>
  <si>
    <t>수원시 영통구 원천동89-7 1층</t>
  </si>
  <si>
    <t>수원시 장안구 송죽동 449-8 1층</t>
  </si>
  <si>
    <t>용인시 수지구 죽전동 450-4</t>
  </si>
  <si>
    <t>오산시 궐동 700-6 1층</t>
  </si>
  <si>
    <t>PS 전소 불량교체</t>
  </si>
  <si>
    <t>용인시 기흥구 영덕동15번지 신일1단지 아파트</t>
  </si>
  <si>
    <t>상향신호 변동으로인한 ONU 선재적 교체(신품불량 재교체)</t>
  </si>
  <si>
    <t>수원시 영통구 매탄동 172-29 1층</t>
  </si>
  <si>
    <t>평택시 안중읍 현화리843-1 안중주공110동3-4라인 3층</t>
  </si>
  <si>
    <t>상향신호 증폭불량 교체</t>
  </si>
  <si>
    <t>평택시 팽성읍 두리 116-15</t>
  </si>
  <si>
    <t xml:space="preserve">동화리 575 동화동일하이빌 107동 12층 </t>
  </si>
  <si>
    <t>하향 MER 변동 교체</t>
  </si>
  <si>
    <t>오산시 궐동 633-10</t>
  </si>
  <si>
    <t>용인시 처인구 모현읍 동림리 278</t>
  </si>
  <si>
    <t>용인시 수지구 신봉동708-13</t>
  </si>
  <si>
    <t>UPS 불량 PS 임시개소 UPS 교체</t>
  </si>
  <si>
    <t>화성시 반송동 147-7 앞 맨홀</t>
  </si>
  <si>
    <t>수원시 팔달구 고등동 73-27</t>
  </si>
  <si>
    <t xml:space="preserve">용인시 기흥구 상갈동 466-8 1층 </t>
  </si>
  <si>
    <t xml:space="preserve">용인시 기흥구 상갈동 466-8 </t>
  </si>
  <si>
    <t>수원시 팔달구 고등동 46-30</t>
  </si>
  <si>
    <t>경기도 평택시  신안1길18</t>
  </si>
  <si>
    <t>ONU 하향 포트 불량교체</t>
  </si>
  <si>
    <t>화성시 봉담읍 와우리 26-12</t>
  </si>
  <si>
    <t xml:space="preserve">용인시 기흥구 언남동 486 동일하이빌1차 115동 지하 1층 </t>
  </si>
  <si>
    <t>증폭기 하향 신호증폭 불량교체</t>
  </si>
  <si>
    <t>수원시 팔달구 매산로2가101-1 1층</t>
  </si>
  <si>
    <t>용인시 수지구 죽전동 87 102동 2층</t>
  </si>
  <si>
    <t>용인시 기흥구 구갈동 558-2</t>
  </si>
  <si>
    <t>용인시 처인구 둔전리449삼성쉐르빌102동</t>
  </si>
  <si>
    <t>UPS 불량교체</t>
  </si>
  <si>
    <t>용인시 처인구 고림동 997 예림피렌체 302동</t>
  </si>
  <si>
    <t>용인시 기흥구 지곡동 123-1</t>
  </si>
  <si>
    <t>평택시 평택동 202-30</t>
  </si>
  <si>
    <t>하향 신호 증폭불량교체</t>
  </si>
  <si>
    <t>오산시 궐동 28-3대우아파트102동6층</t>
  </si>
  <si>
    <t>구내증폭기 쇼트 불량교체</t>
  </si>
  <si>
    <t>오산시 궐동28-3대우아파트 102동11층</t>
  </si>
  <si>
    <t>경기도 안성시 구포동95</t>
  </si>
  <si>
    <t>용인시 처인구 양지면 주북리 470-32</t>
  </si>
  <si>
    <t>용인시 기흥구 공세동 694 대주피오레1단지 102동</t>
  </si>
  <si>
    <t>평택시 독곡동 한일아파트105동 옥상</t>
  </si>
  <si>
    <t>안성시 죽산면 죽주로178</t>
  </si>
  <si>
    <t>수원시 매탄동 1209 102/1-2/6F</t>
  </si>
  <si>
    <t>용인시 기흥구 동백동 653 롯데캐슬아파트 1006동 지하 1층</t>
  </si>
  <si>
    <t>ELB 차단기 누전불량교체</t>
  </si>
  <si>
    <t>용인시 수지구 죽전동 1223</t>
  </si>
  <si>
    <t>수원시 권선구 구운동 948-11</t>
  </si>
  <si>
    <t>화성시 진안동 874-12</t>
  </si>
  <si>
    <t>화성시 봉담읍 당하리 67-2</t>
  </si>
  <si>
    <t>평택시 포승읍 도곡리1145-14</t>
  </si>
  <si>
    <t>용인시 처인구 마평동 668-15</t>
  </si>
  <si>
    <t>경기도 안성시 석정동 우남아파트105동 지차주차장</t>
  </si>
  <si>
    <t>경기도 안성시  중앙로106</t>
  </si>
  <si>
    <t>오산시 탑동 201-1 앞전주</t>
  </si>
  <si>
    <t>수원시 권선구 세류동 580-31</t>
  </si>
  <si>
    <t>전원부 침수 불량교체</t>
  </si>
  <si>
    <t>수원시 팔달구구 화서동 71-14</t>
  </si>
  <si>
    <t>수원시 장안구 정자동 884-4 벽산3차 아파트 345동</t>
  </si>
  <si>
    <t>오산시 오산동 324-51</t>
  </si>
  <si>
    <t>PS 전원인가 불량교체</t>
  </si>
  <si>
    <t>화성시 반송동 7-17</t>
  </si>
  <si>
    <t>경기 평택시 용이동 451-1</t>
  </si>
  <si>
    <t xml:space="preserve">평택시 서정동 876-48 삼성홈타운 </t>
  </si>
  <si>
    <t>수원시 조원동 444-27</t>
  </si>
  <si>
    <t>용인시 수지구 상현동 582-5 현대성우3차아파트 285동3~4라인 2층</t>
  </si>
  <si>
    <t>상향 신호불량교체</t>
  </si>
  <si>
    <t>화성시 서신면 궁평리 43~3</t>
  </si>
  <si>
    <t>수원시 영통구 원천동 296-6아크로파크오피스텔102동지하</t>
  </si>
  <si>
    <t>전원 인가 불량교체</t>
  </si>
  <si>
    <t>수원시 팔달구 화서동  723-2</t>
  </si>
  <si>
    <t>화성시 송산동 135-78</t>
  </si>
  <si>
    <t>용인시 기흥구 영덕동 15 신일아파트 1단지</t>
  </si>
  <si>
    <t>상향신호 변동 불량교체</t>
  </si>
  <si>
    <t xml:space="preserve">화성시 정남면 발산리 490~12동남아파트1104동5층2라인  </t>
  </si>
  <si>
    <t>용인시 기흥구 상하동 630 한라비발디아파트 908동 지하 1층</t>
  </si>
  <si>
    <t>용인시 기흥구 고매동 710-1</t>
  </si>
  <si>
    <t>경기도 안성시 인지동375-3</t>
  </si>
  <si>
    <t>용인시 처인구 포곡읍 삼계리 463-8</t>
  </si>
  <si>
    <t>용인시 기흥구 중동 현진에버빌 5202 1-2라인</t>
  </si>
  <si>
    <t>오산시 원동825  건영 아느칸빌101동 3-4라인</t>
  </si>
  <si>
    <t>용인시 처인구 포곡읍 둔전리 145-6</t>
  </si>
  <si>
    <t>수원시 팔달구 고등동 37-34</t>
  </si>
  <si>
    <t>수원시 영통구 영통동 955-1 황골주공1단지</t>
  </si>
  <si>
    <t>수원시 권선구 곡반정동 571-1</t>
  </si>
  <si>
    <t>용인시 기흥구 신갈동 68-6</t>
  </si>
  <si>
    <t>화성시 정남면 보통리 641-1</t>
  </si>
  <si>
    <t>경기도 안성시 일죽면 신흥리544</t>
  </si>
  <si>
    <t>화성시 팔탄면 구문천리 604-15</t>
  </si>
  <si>
    <t>구망선로 이설</t>
  </si>
  <si>
    <t>용인시 기흥구 청덕동 416-10</t>
  </si>
  <si>
    <t>용인시 기흥구 상하동 487-1</t>
  </si>
  <si>
    <t>케이블 불량 재취부</t>
  </si>
  <si>
    <t>화성시 남양읍 신남리 729</t>
  </si>
  <si>
    <t>용인시 처인구 역북동 763</t>
  </si>
  <si>
    <t>용인시 처인구 양지면 남곡리420-1번지</t>
  </si>
  <si>
    <t>평택시 오성면 숙성리 148번지</t>
  </si>
  <si>
    <t>평택시 서탄면 사리 554-6</t>
  </si>
  <si>
    <t>신호 불량 커넥터 재취부</t>
  </si>
  <si>
    <t>평택시 진위면 가곡리331</t>
  </si>
  <si>
    <t>화성시 장안면 독정리803-23</t>
  </si>
  <si>
    <t>수원시 영화동 430-1</t>
  </si>
  <si>
    <t>수원시 영통구 이의동 1175-78</t>
  </si>
  <si>
    <t>2WAY 신호불량 교체</t>
  </si>
  <si>
    <t>수원시 정자동 7-7</t>
  </si>
  <si>
    <t>화성시 장안면 사곡리 50~1</t>
  </si>
  <si>
    <t>평택시 고덕동 2108-5</t>
  </si>
  <si>
    <t>평택시 청북읍 옥길리1219 청북부영사랑2단지아파트</t>
  </si>
  <si>
    <t>ONU 모듈 전소로인한 PI 신설</t>
  </si>
  <si>
    <t>경기 평택시 평택로76번길 2</t>
  </si>
  <si>
    <t>경기 평택시 팽성읍 안정로 21</t>
  </si>
  <si>
    <t>경기 평택시 유천동 100-1</t>
  </si>
  <si>
    <t>낙뢰로 인한 포트불량교체</t>
  </si>
  <si>
    <t>경기 평택시 평택동 33-14</t>
  </si>
  <si>
    <t>경기 평택시 객사리 93-1</t>
  </si>
  <si>
    <t>경기 평택시 안정리 108-45</t>
  </si>
  <si>
    <t>화성시 팔탄면 고주골길16</t>
  </si>
  <si>
    <t>가입자 케이블 단선 및 커넥터 불량교체</t>
  </si>
  <si>
    <t>용인시 기흥구 영덕동 1110-3</t>
  </si>
  <si>
    <t>용인시 처인구 유방동 1</t>
  </si>
  <si>
    <t>지중라인 루트변경</t>
  </si>
  <si>
    <t>용인시 처인구 모현읍 동림리 350</t>
  </si>
  <si>
    <t>1차TAP 및 2WAY 침수불량교체</t>
  </si>
  <si>
    <t>용인시 처인구 모현읍 동림리 315</t>
  </si>
  <si>
    <t>경기도 평택시 비전동 225-37</t>
  </si>
  <si>
    <t>경기도 안성시 공도읍용두리135-1 진흥빌라가동 옥상</t>
  </si>
  <si>
    <t>2WAY 및 DC08 침수 불량교체</t>
  </si>
  <si>
    <t>평택시 고덕동 2053-4</t>
  </si>
  <si>
    <t>화성시 반송동 145-13 앞 맨홀</t>
  </si>
  <si>
    <t>수원시 권선구 오목천동 545-1</t>
  </si>
  <si>
    <t>평택시 서정동893-12</t>
  </si>
  <si>
    <t>평택시 고덕면 당현리</t>
  </si>
  <si>
    <t>수원시 이의동 1353</t>
  </si>
  <si>
    <t>화성시 정남면 용수리 58-19</t>
  </si>
  <si>
    <t>화성시 향남읍 행정리 463</t>
  </si>
  <si>
    <t>용인시 기흥구 마북동 524-8 벽산아파트 103동</t>
  </si>
  <si>
    <t>용인시 기흥구 상갈동 480 금화마을 주공6단지 601동</t>
  </si>
  <si>
    <t>신호불량 DC08 및 2WAY 교체</t>
  </si>
  <si>
    <t>용인시 처인구 양지읍 남곡리 143</t>
  </si>
  <si>
    <t>화성시 장지동 742</t>
  </si>
  <si>
    <t>지장이설로 인한 가입자 인입선 루트 변경</t>
  </si>
  <si>
    <t>화성시 장안면 독정리 518</t>
  </si>
  <si>
    <t>평택시 서정동 1022</t>
  </si>
  <si>
    <t>오산시 외삼미동 624-2 앞 맨홀</t>
  </si>
  <si>
    <t>용인시 처인구 역북동 202-2</t>
  </si>
  <si>
    <t>인입루트 케이블 불량교체</t>
  </si>
  <si>
    <t>경기도 안성시 양성면 장서리337</t>
  </si>
  <si>
    <t>간선 케이블 불량교체</t>
  </si>
  <si>
    <t>용인시 처인구 포곡읍 전대리 188-2</t>
  </si>
  <si>
    <t>2WAY 및 1차TAP 침수 불량교체</t>
  </si>
  <si>
    <t>용인시 처인구 모현읍 초부리 441-8</t>
  </si>
  <si>
    <t>계량기 파손교체</t>
  </si>
  <si>
    <t>경기도 안성시 창전동 코스모스 아파트101동</t>
  </si>
  <si>
    <t>용인시 처인구 고림동 772-19</t>
  </si>
  <si>
    <t>용인시 수지구 죽전동 832 벽산1차아파트 106동 지하주차장</t>
  </si>
  <si>
    <t>신호불량 3WAY 및 커넥터 교체</t>
  </si>
  <si>
    <t>용인시 수지구 풍덕천동 700-1  106동 옥상</t>
  </si>
  <si>
    <t>경기 평택시 합정동 975-12</t>
  </si>
  <si>
    <t>경기 평택시 유천동 605-1</t>
  </si>
  <si>
    <t>화성시 반송동162번지 앞맨홀</t>
  </si>
  <si>
    <t>경기도 안성시 보개면 기좌리194-3</t>
  </si>
  <si>
    <t>ELB 차단기 불량교체</t>
  </si>
  <si>
    <t>수원시 권선구 금곡동 1085-4</t>
  </si>
  <si>
    <t>수원시 율전동 104-8</t>
  </si>
  <si>
    <t>화성시 봉담읍 하가등리 297-1</t>
  </si>
  <si>
    <t xml:space="preserve">경기도 기흥구 신갈동 43-16 </t>
  </si>
  <si>
    <t>용인시 기흥구 중동 941-1</t>
  </si>
  <si>
    <t>DC08 및 3WAY 침수 불량교체</t>
  </si>
  <si>
    <t>용인시 수지구 상현동 1221-2</t>
  </si>
  <si>
    <t>용인시 처인구 김량장동 338-4</t>
  </si>
  <si>
    <t>민원으로 인한 2차TAP 이설</t>
  </si>
  <si>
    <t>용인시 처인구 역북동 465-1</t>
  </si>
  <si>
    <t>7C 압착커넥터 불량교체</t>
  </si>
  <si>
    <t>용인 평택 안성일대</t>
  </si>
  <si>
    <t>5C 중계기 불량교체</t>
  </si>
  <si>
    <t>수원 오산 화성일대</t>
  </si>
  <si>
    <t>매산국사 , 우만국사</t>
  </si>
  <si>
    <t>벡스어댑커 불량교체</t>
  </si>
  <si>
    <t>오산국사</t>
  </si>
  <si>
    <t>마평국사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</si>
</sst>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76" formatCode="yyyy/mm/dd;@"/>
    <numFmt numFmtId="177" formatCode="m&quot;/&quot;d;@"/>
    <numFmt numFmtId="178" formatCode="[=0]&quot;&quot;;General"/>
  </numFmts>
  <fonts count="24">
    <font>
      <sz val="11"/>
      <color rgb="FF000000"/>
      <name val="Calibri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rgb="FF000000"/>
      <name val="&quot;Malgun Gothic&quot;"/>
    </font>
    <font>
      <sz val="8"/>
      <name val="Calibri"/>
      <family val="3"/>
      <charset val="129"/>
      <scheme val="minor"/>
    </font>
    <font>
      <sz val="11"/>
      <color rgb="FF000000"/>
      <name val="돋움"/>
      <family val="3"/>
      <charset val="129"/>
    </font>
    <font>
      <sz val="11"/>
      <color rgb="FF000000"/>
      <name val="맑은 고딕"/>
      <family val="3"/>
      <charset val="129"/>
    </font>
    <font>
      <b/>
      <u val="double"/>
      <sz val="18"/>
      <color theme="1"/>
      <name val="Calibri"/>
      <family val="3"/>
      <charset val="129"/>
      <scheme val="minor"/>
    </font>
    <font>
      <sz val="8"/>
      <name val="Calibri"/>
      <family val="2"/>
      <charset val="129"/>
      <scheme val="minor"/>
    </font>
    <font>
      <u val="double"/>
      <sz val="16"/>
      <color theme="1"/>
      <name val="Calibri"/>
      <family val="2"/>
      <charset val="129"/>
      <scheme val="minor"/>
    </font>
    <font>
      <b/>
      <sz val="11"/>
      <color theme="1"/>
      <name val="Calibri"/>
      <family val="3"/>
      <charset val="129"/>
      <scheme val="minor"/>
    </font>
    <font>
      <sz val="9"/>
      <color theme="1"/>
      <name val="Calibri"/>
      <family val="3"/>
      <charset val="129"/>
      <scheme val="minor"/>
    </font>
    <font>
      <b/>
      <sz val="11"/>
      <color rgb="FF000000"/>
      <name val="맑은 고딕"/>
      <family val="3"/>
      <charset val="129"/>
    </font>
    <font>
      <sz val="11"/>
      <color rgb="FF000000"/>
      <name val="Calibri"/>
      <family val="2"/>
      <scheme val="minor"/>
    </font>
    <font>
      <sz val="16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name val="맑은 고딕"/>
      <family val="3"/>
      <charset val="129"/>
    </font>
    <font>
      <b/>
      <sz val="11"/>
      <color theme="1"/>
      <name val="Calibri"/>
      <family val="2"/>
      <scheme val="minor"/>
    </font>
    <font>
      <b/>
      <sz val="18"/>
      <color theme="1"/>
      <name val="맑은 고딕"/>
      <family val="3"/>
      <charset val="129"/>
    </font>
    <font>
      <b/>
      <sz val="18"/>
      <color rgb="FF000000"/>
      <name val="맑은 고딕"/>
      <family val="3"/>
      <charset val="129"/>
    </font>
    <font>
      <sz val="12"/>
      <color rgb="FF000000"/>
      <name val="맑은 고딕"/>
      <family val="3"/>
      <charset val="129"/>
    </font>
    <font>
      <sz val="11"/>
      <color theme="1"/>
      <name val="맑은 고딕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CFFFF"/>
        <bgColor rgb="FFCCFFFF"/>
      </patternFill>
    </fill>
    <fill>
      <patternFill patternType="solid">
        <fgColor rgb="FFC5E0B3"/>
        <bgColor rgb="FFC5E0B3"/>
      </patternFill>
    </fill>
    <fill>
      <patternFill patternType="solid">
        <fgColor rgb="FFFFFFCC"/>
        <bgColor rgb="FFFFFFCC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C6DAF1"/>
        <bgColor indexed="64"/>
      </patternFill>
    </fill>
    <fill>
      <patternFill patternType="solid">
        <fgColor rgb="FFFFFF00"/>
        <bgColor rgb="FFCCFFFF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rgb="FFCCFFFF"/>
      </patternFill>
    </fill>
    <fill>
      <patternFill patternType="solid">
        <fgColor theme="4" tint="0.79998168889431442"/>
        <bgColor rgb="FFFFFFCC"/>
      </patternFill>
    </fill>
    <fill>
      <patternFill patternType="solid">
        <fgColor theme="4" tint="0.59999389629810485"/>
        <bgColor indexed="64"/>
      </patternFill>
    </fill>
  </fills>
  <borders count="57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indexed="64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thin">
        <color indexed="64"/>
      </bottom>
      <diagonal/>
    </border>
    <border>
      <left style="medium">
        <color rgb="FFFF0000"/>
      </left>
      <right style="medium">
        <color rgb="FFFF0000"/>
      </right>
      <top/>
      <bottom/>
      <diagonal/>
    </border>
    <border>
      <left style="medium">
        <color rgb="FFFF0000"/>
      </left>
      <right style="medium">
        <color rgb="FFFF0000"/>
      </right>
      <top style="thin">
        <color indexed="64"/>
      </top>
      <bottom style="thin">
        <color indexed="64"/>
      </bottom>
      <diagonal/>
    </border>
    <border>
      <left style="medium">
        <color rgb="FFFF0000"/>
      </left>
      <right style="medium">
        <color rgb="FFFF0000"/>
      </right>
      <top style="thin">
        <color indexed="64"/>
      </top>
      <bottom style="medium">
        <color rgb="FFFF0000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0000"/>
      </left>
      <right style="thin">
        <color rgb="FFFF0000"/>
      </right>
      <top/>
      <bottom style="thin">
        <color rgb="FF000000"/>
      </bottom>
      <diagonal/>
    </border>
    <border>
      <left style="thin">
        <color rgb="FFFF0000"/>
      </left>
      <right style="thin">
        <color rgb="FFFF0000"/>
      </right>
      <top/>
      <bottom style="thin">
        <color indexed="64"/>
      </bottom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</borders>
  <cellStyleXfs count="6">
    <xf numFmtId="0" fontId="0" fillId="0" borderId="0"/>
    <xf numFmtId="0" fontId="7" fillId="0" borderId="10">
      <alignment vertical="center"/>
    </xf>
    <xf numFmtId="0" fontId="3" fillId="0" borderId="10">
      <alignment vertical="center"/>
    </xf>
    <xf numFmtId="41" fontId="14" fillId="0" borderId="0" applyFont="0" applyFill="0" applyBorder="0" applyAlignment="0" applyProtection="0">
      <alignment vertical="center"/>
    </xf>
    <xf numFmtId="0" fontId="2" fillId="0" borderId="10">
      <alignment vertical="center"/>
    </xf>
    <xf numFmtId="0" fontId="1" fillId="0" borderId="10">
      <alignment vertical="center"/>
    </xf>
  </cellStyleXfs>
  <cellXfs count="122">
    <xf numFmtId="0" fontId="0" fillId="0" borderId="0" xfId="0" applyAlignment="1">
      <alignment vertical="center"/>
    </xf>
    <xf numFmtId="0" fontId="13" fillId="7" borderId="11" xfId="1" applyFont="1" applyFill="1" applyBorder="1" applyAlignment="1">
      <alignment horizontal="center" vertical="center"/>
    </xf>
    <xf numFmtId="0" fontId="13" fillId="7" borderId="11" xfId="1" applyFont="1" applyFill="1" applyBorder="1" applyAlignment="1">
      <alignment horizontal="center" vertical="center" shrinkToFit="1"/>
    </xf>
    <xf numFmtId="0" fontId="7" fillId="0" borderId="10" xfId="1" applyAlignment="1">
      <alignment horizontal="left" vertical="center"/>
    </xf>
    <xf numFmtId="0" fontId="7" fillId="0" borderId="11" xfId="1" applyBorder="1" applyAlignment="1">
      <alignment horizontal="center" vertical="center" shrinkToFit="1"/>
    </xf>
    <xf numFmtId="0" fontId="13" fillId="8" borderId="11" xfId="1" applyFont="1" applyFill="1" applyBorder="1" applyAlignment="1">
      <alignment horizontal="center" vertical="center" shrinkToFit="1"/>
    </xf>
    <xf numFmtId="0" fontId="7" fillId="0" borderId="11" xfId="1" applyBorder="1" applyAlignment="1">
      <alignment horizontal="left" vertical="center"/>
    </xf>
    <xf numFmtId="176" fontId="7" fillId="0" borderId="11" xfId="1" applyNumberFormat="1" applyBorder="1" applyAlignment="1">
      <alignment horizontal="center" vertical="center"/>
    </xf>
    <xf numFmtId="0" fontId="7" fillId="0" borderId="11" xfId="1" applyBorder="1" applyAlignment="1">
      <alignment horizontal="left" vertical="center" shrinkToFit="1"/>
    </xf>
    <xf numFmtId="0" fontId="7" fillId="0" borderId="11" xfId="1" applyBorder="1" applyAlignment="1">
      <alignment horizontal="center" vertical="center"/>
    </xf>
    <xf numFmtId="0" fontId="7" fillId="0" borderId="10" xfId="1" applyAlignment="1">
      <alignment horizontal="center" vertical="center"/>
    </xf>
    <xf numFmtId="0" fontId="7" fillId="0" borderId="10" xfId="1" applyAlignment="1">
      <alignment horizontal="left" vertical="center" shrinkToFit="1"/>
    </xf>
    <xf numFmtId="0" fontId="7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177" fontId="7" fillId="3" borderId="4" xfId="3" applyNumberFormat="1" applyFont="1" applyFill="1" applyBorder="1" applyAlignment="1">
      <alignment horizontal="center" vertical="center"/>
    </xf>
    <xf numFmtId="177" fontId="7" fillId="3" borderId="8" xfId="3" applyNumberFormat="1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41" fontId="7" fillId="0" borderId="8" xfId="3" applyFont="1" applyBorder="1" applyAlignment="1">
      <alignment horizontal="center" vertical="center"/>
    </xf>
    <xf numFmtId="0" fontId="7" fillId="5" borderId="6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41" fontId="7" fillId="0" borderId="0" xfId="3" applyFont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0" borderId="10" xfId="0" applyFont="1" applyBorder="1" applyAlignment="1">
      <alignment vertical="center"/>
    </xf>
    <xf numFmtId="41" fontId="7" fillId="0" borderId="10" xfId="3" applyFont="1" applyBorder="1" applyAlignment="1">
      <alignment horizontal="center" vertical="center"/>
    </xf>
    <xf numFmtId="41" fontId="7" fillId="0" borderId="0" xfId="3" applyFont="1" applyAlignment="1">
      <alignment vertical="center"/>
    </xf>
    <xf numFmtId="41" fontId="7" fillId="0" borderId="4" xfId="3" applyFont="1" applyFill="1" applyBorder="1" applyAlignment="1">
      <alignment horizontal="center" vertical="center"/>
    </xf>
    <xf numFmtId="0" fontId="10" fillId="0" borderId="10" xfId="5" applyFont="1">
      <alignment vertical="center"/>
    </xf>
    <xf numFmtId="0" fontId="1" fillId="0" borderId="10" xfId="5">
      <alignment vertical="center"/>
    </xf>
    <xf numFmtId="0" fontId="12" fillId="0" borderId="10" xfId="5" applyFont="1">
      <alignment vertical="center"/>
    </xf>
    <xf numFmtId="0" fontId="12" fillId="0" borderId="10" xfId="5" applyFont="1" applyAlignment="1">
      <alignment horizontal="center" vertical="center"/>
    </xf>
    <xf numFmtId="0" fontId="12" fillId="0" borderId="10" xfId="5" applyFont="1" applyAlignment="1">
      <alignment horizontal="right" vertical="center"/>
    </xf>
    <xf numFmtId="0" fontId="7" fillId="4" borderId="5" xfId="0" applyFont="1" applyFill="1" applyBorder="1" applyAlignment="1">
      <alignment horizontal="center" vertical="center"/>
    </xf>
    <xf numFmtId="0" fontId="18" fillId="6" borderId="9" xfId="0" applyFont="1" applyFill="1" applyBorder="1" applyAlignment="1">
      <alignment horizontal="center" vertical="center"/>
    </xf>
    <xf numFmtId="0" fontId="7" fillId="4" borderId="9" xfId="0" applyFont="1" applyFill="1" applyBorder="1" applyAlignment="1">
      <alignment vertical="center"/>
    </xf>
    <xf numFmtId="0" fontId="7" fillId="4" borderId="1" xfId="0" applyFont="1" applyFill="1" applyBorder="1" applyAlignment="1">
      <alignment vertical="center"/>
    </xf>
    <xf numFmtId="178" fontId="7" fillId="3" borderId="2" xfId="0" applyNumberFormat="1" applyFont="1" applyFill="1" applyBorder="1" applyAlignment="1">
      <alignment horizontal="center" vertical="center"/>
    </xf>
    <xf numFmtId="178" fontId="16" fillId="2" borderId="4" xfId="0" applyNumberFormat="1" applyFont="1" applyFill="1" applyBorder="1" applyAlignment="1">
      <alignment horizontal="center" vertical="center"/>
    </xf>
    <xf numFmtId="178" fontId="7" fillId="0" borderId="0" xfId="0" applyNumberFormat="1" applyFont="1" applyAlignment="1">
      <alignment vertical="center"/>
    </xf>
    <xf numFmtId="178" fontId="7" fillId="3" borderId="3" xfId="0" applyNumberFormat="1" applyFont="1" applyFill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/>
    </xf>
    <xf numFmtId="178" fontId="7" fillId="3" borderId="1" xfId="0" applyNumberFormat="1" applyFont="1" applyFill="1" applyBorder="1" applyAlignment="1">
      <alignment horizontal="center" vertical="center"/>
    </xf>
    <xf numFmtId="178" fontId="7" fillId="3" borderId="4" xfId="0" applyNumberFormat="1" applyFont="1" applyFill="1" applyBorder="1" applyAlignment="1">
      <alignment horizontal="center" vertical="center"/>
    </xf>
    <xf numFmtId="178" fontId="7" fillId="5" borderId="12" xfId="0" applyNumberFormat="1" applyFont="1" applyFill="1" applyBorder="1" applyAlignment="1">
      <alignment horizontal="center" vertical="center"/>
    </xf>
    <xf numFmtId="178" fontId="7" fillId="5" borderId="13" xfId="0" applyNumberFormat="1" applyFont="1" applyFill="1" applyBorder="1" applyAlignment="1">
      <alignment horizontal="center" vertical="center"/>
    </xf>
    <xf numFmtId="178" fontId="7" fillId="5" borderId="19" xfId="0" applyNumberFormat="1" applyFont="1" applyFill="1" applyBorder="1" applyAlignment="1">
      <alignment horizontal="center" vertical="center"/>
    </xf>
    <xf numFmtId="178" fontId="7" fillId="5" borderId="20" xfId="0" applyNumberFormat="1" applyFont="1" applyFill="1" applyBorder="1" applyAlignment="1">
      <alignment horizontal="center" vertical="center"/>
    </xf>
    <xf numFmtId="178" fontId="7" fillId="5" borderId="18" xfId="0" applyNumberFormat="1" applyFont="1" applyFill="1" applyBorder="1" applyAlignment="1">
      <alignment horizontal="center" vertical="center"/>
    </xf>
    <xf numFmtId="0" fontId="7" fillId="3" borderId="27" xfId="0" applyFont="1" applyFill="1" applyBorder="1" applyAlignment="1">
      <alignment horizontal="center" vertical="center"/>
    </xf>
    <xf numFmtId="0" fontId="16" fillId="0" borderId="29" xfId="0" applyFont="1" applyBorder="1" applyAlignment="1">
      <alignment horizontal="center" vertical="center" shrinkToFit="1"/>
    </xf>
    <xf numFmtId="0" fontId="16" fillId="0" borderId="29" xfId="0" applyFont="1" applyBorder="1" applyAlignment="1">
      <alignment horizontal="center" vertical="center"/>
    </xf>
    <xf numFmtId="177" fontId="7" fillId="3" borderId="33" xfId="3" applyNumberFormat="1" applyFont="1" applyFill="1" applyBorder="1" applyAlignment="1">
      <alignment horizontal="center" vertical="center"/>
    </xf>
    <xf numFmtId="0" fontId="7" fillId="3" borderId="34" xfId="0" applyFont="1" applyFill="1" applyBorder="1" applyAlignment="1">
      <alignment horizontal="center" vertical="center"/>
    </xf>
    <xf numFmtId="41" fontId="7" fillId="0" borderId="33" xfId="3" applyFont="1" applyBorder="1" applyAlignment="1">
      <alignment horizontal="center" vertical="center"/>
    </xf>
    <xf numFmtId="0" fontId="7" fillId="0" borderId="34" xfId="0" applyFont="1" applyBorder="1" applyAlignment="1">
      <alignment vertical="center"/>
    </xf>
    <xf numFmtId="41" fontId="7" fillId="0" borderId="10" xfId="3" applyFont="1" applyBorder="1" applyAlignment="1">
      <alignment vertical="center"/>
    </xf>
    <xf numFmtId="0" fontId="7" fillId="3" borderId="33" xfId="0" applyFont="1" applyFill="1" applyBorder="1" applyAlignment="1">
      <alignment horizontal="center" vertical="center"/>
    </xf>
    <xf numFmtId="0" fontId="7" fillId="3" borderId="35" xfId="0" applyFont="1" applyFill="1" applyBorder="1" applyAlignment="1">
      <alignment horizontal="center" vertical="center"/>
    </xf>
    <xf numFmtId="178" fontId="16" fillId="2" borderId="33" xfId="0" applyNumberFormat="1" applyFont="1" applyFill="1" applyBorder="1" applyAlignment="1">
      <alignment horizontal="center" vertical="center"/>
    </xf>
    <xf numFmtId="0" fontId="16" fillId="0" borderId="35" xfId="0" applyFont="1" applyBorder="1" applyAlignment="1">
      <alignment horizontal="center" vertical="center" shrinkToFit="1"/>
    </xf>
    <xf numFmtId="178" fontId="7" fillId="5" borderId="37" xfId="0" applyNumberFormat="1" applyFont="1" applyFill="1" applyBorder="1" applyAlignment="1">
      <alignment horizontal="center" vertical="center"/>
    </xf>
    <xf numFmtId="0" fontId="7" fillId="5" borderId="17" xfId="0" applyFont="1" applyFill="1" applyBorder="1" applyAlignment="1">
      <alignment horizontal="center" vertical="center"/>
    </xf>
    <xf numFmtId="0" fontId="7" fillId="5" borderId="38" xfId="0" applyFont="1" applyFill="1" applyBorder="1" applyAlignment="1">
      <alignment horizontal="center" vertical="center"/>
    </xf>
    <xf numFmtId="178" fontId="7" fillId="5" borderId="26" xfId="0" applyNumberFormat="1" applyFont="1" applyFill="1" applyBorder="1" applyAlignment="1">
      <alignment horizontal="center" vertical="center"/>
    </xf>
    <xf numFmtId="178" fontId="7" fillId="5" borderId="28" xfId="0" applyNumberFormat="1" applyFont="1" applyFill="1" applyBorder="1" applyAlignment="1">
      <alignment horizontal="center" vertical="center"/>
    </xf>
    <xf numFmtId="0" fontId="23" fillId="3" borderId="15" xfId="0" applyFont="1" applyFill="1" applyBorder="1" applyAlignment="1">
      <alignment horizontal="center" vertical="center" shrinkToFit="1"/>
    </xf>
    <xf numFmtId="0" fontId="23" fillId="3" borderId="36" xfId="0" applyFont="1" applyFill="1" applyBorder="1" applyAlignment="1">
      <alignment horizontal="center" vertical="center" shrinkToFit="1"/>
    </xf>
    <xf numFmtId="0" fontId="17" fillId="11" borderId="14" xfId="0" applyFont="1" applyFill="1" applyBorder="1" applyAlignment="1">
      <alignment horizontal="center" vertical="center" shrinkToFit="1"/>
    </xf>
    <xf numFmtId="0" fontId="7" fillId="4" borderId="4" xfId="0" applyFont="1" applyFill="1" applyBorder="1" applyAlignment="1">
      <alignment horizontal="center" vertical="center"/>
    </xf>
    <xf numFmtId="0" fontId="7" fillId="0" borderId="39" xfId="0" applyFont="1" applyBorder="1" applyAlignment="1">
      <alignment vertical="center"/>
    </xf>
    <xf numFmtId="178" fontId="16" fillId="2" borderId="21" xfId="0" applyNumberFormat="1" applyFont="1" applyFill="1" applyBorder="1" applyAlignment="1">
      <alignment horizontal="center" vertical="center"/>
    </xf>
    <xf numFmtId="0" fontId="16" fillId="0" borderId="40" xfId="0" applyFont="1" applyBorder="1" applyAlignment="1">
      <alignment horizontal="center" vertical="center"/>
    </xf>
    <xf numFmtId="0" fontId="7" fillId="0" borderId="41" xfId="0" applyFont="1" applyBorder="1" applyAlignment="1">
      <alignment vertical="center"/>
    </xf>
    <xf numFmtId="0" fontId="17" fillId="3" borderId="42" xfId="0" applyFont="1" applyFill="1" applyBorder="1" applyAlignment="1">
      <alignment horizontal="center" vertical="center" shrinkToFit="1"/>
    </xf>
    <xf numFmtId="178" fontId="7" fillId="5" borderId="43" xfId="0" applyNumberFormat="1" applyFont="1" applyFill="1" applyBorder="1" applyAlignment="1">
      <alignment horizontal="center" vertical="center"/>
    </xf>
    <xf numFmtId="178" fontId="7" fillId="5" borderId="17" xfId="0" applyNumberFormat="1" applyFont="1" applyFill="1" applyBorder="1" applyAlignment="1">
      <alignment horizontal="center" vertical="center"/>
    </xf>
    <xf numFmtId="178" fontId="16" fillId="2" borderId="3" xfId="0" applyNumberFormat="1" applyFont="1" applyFill="1" applyBorder="1" applyAlignment="1">
      <alignment horizontal="center" vertical="center"/>
    </xf>
    <xf numFmtId="178" fontId="16" fillId="2" borderId="44" xfId="0" applyNumberFormat="1" applyFont="1" applyFill="1" applyBorder="1" applyAlignment="1">
      <alignment horizontal="center" vertical="center"/>
    </xf>
    <xf numFmtId="0" fontId="17" fillId="9" borderId="46" xfId="0" applyFont="1" applyFill="1" applyBorder="1" applyAlignment="1">
      <alignment horizontal="center" vertical="center" shrinkToFit="1"/>
    </xf>
    <xf numFmtId="0" fontId="17" fillId="9" borderId="47" xfId="0" applyFont="1" applyFill="1" applyBorder="1" applyAlignment="1">
      <alignment horizontal="center" vertical="center" shrinkToFit="1"/>
    </xf>
    <xf numFmtId="178" fontId="7" fillId="12" borderId="48" xfId="0" applyNumberFormat="1" applyFont="1" applyFill="1" applyBorder="1" applyAlignment="1">
      <alignment horizontal="center" vertical="center"/>
    </xf>
    <xf numFmtId="178" fontId="7" fillId="12" borderId="49" xfId="0" applyNumberFormat="1" applyFont="1" applyFill="1" applyBorder="1" applyAlignment="1">
      <alignment horizontal="center" vertical="center"/>
    </xf>
    <xf numFmtId="178" fontId="7" fillId="12" borderId="50" xfId="0" applyNumberFormat="1" applyFont="1" applyFill="1" applyBorder="1" applyAlignment="1">
      <alignment horizontal="center" vertical="center"/>
    </xf>
    <xf numFmtId="0" fontId="17" fillId="11" borderId="42" xfId="0" applyFont="1" applyFill="1" applyBorder="1" applyAlignment="1">
      <alignment horizontal="center" vertical="center" shrinkToFit="1"/>
    </xf>
    <xf numFmtId="0" fontId="17" fillId="3" borderId="51" xfId="0" applyFont="1" applyFill="1" applyBorder="1" applyAlignment="1">
      <alignment horizontal="center" vertical="center" shrinkToFit="1"/>
    </xf>
    <xf numFmtId="178" fontId="7" fillId="5" borderId="52" xfId="0" applyNumberFormat="1" applyFont="1" applyFill="1" applyBorder="1" applyAlignment="1">
      <alignment horizontal="center" vertical="center"/>
    </xf>
    <xf numFmtId="178" fontId="7" fillId="5" borderId="53" xfId="0" applyNumberFormat="1" applyFont="1" applyFill="1" applyBorder="1" applyAlignment="1">
      <alignment horizontal="center" vertical="center"/>
    </xf>
    <xf numFmtId="178" fontId="7" fillId="5" borderId="54" xfId="0" applyNumberFormat="1" applyFont="1" applyFill="1" applyBorder="1" applyAlignment="1">
      <alignment horizontal="center" vertical="center"/>
    </xf>
    <xf numFmtId="178" fontId="7" fillId="5" borderId="55" xfId="0" applyNumberFormat="1" applyFont="1" applyFill="1" applyBorder="1" applyAlignment="1">
      <alignment horizontal="center" vertical="center"/>
    </xf>
    <xf numFmtId="178" fontId="7" fillId="5" borderId="56" xfId="0" applyNumberFormat="1" applyFont="1" applyFill="1" applyBorder="1" applyAlignment="1">
      <alignment horizontal="center" vertical="center"/>
    </xf>
    <xf numFmtId="0" fontId="7" fillId="0" borderId="10" xfId="1" applyAlignment="1">
      <alignment vertical="center" shrinkToFit="1"/>
    </xf>
    <xf numFmtId="0" fontId="13" fillId="7" borderId="11" xfId="1" applyFont="1" applyFill="1" applyBorder="1" applyAlignment="1">
      <alignment vertical="center" shrinkToFit="1"/>
    </xf>
    <xf numFmtId="0" fontId="7" fillId="0" borderId="11" xfId="1" applyBorder="1" applyAlignment="1">
      <alignment vertical="center" shrinkToFit="1"/>
    </xf>
    <xf numFmtId="0" fontId="8" fillId="0" borderId="10" xfId="5" applyFont="1" applyAlignment="1">
      <alignment horizontal="center" vertical="center"/>
    </xf>
    <xf numFmtId="0" fontId="11" fillId="0" borderId="10" xfId="5" applyFont="1" applyAlignment="1">
      <alignment horizontal="center" vertical="center"/>
    </xf>
    <xf numFmtId="0" fontId="7" fillId="4" borderId="9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41" fontId="20" fillId="10" borderId="30" xfId="3" applyFont="1" applyFill="1" applyBorder="1" applyAlignment="1">
      <alignment horizontal="center" vertical="center"/>
    </xf>
    <xf numFmtId="41" fontId="20" fillId="10" borderId="31" xfId="3" applyFont="1" applyFill="1" applyBorder="1" applyAlignment="1">
      <alignment horizontal="center" vertical="center"/>
    </xf>
    <xf numFmtId="41" fontId="20" fillId="10" borderId="32" xfId="3" applyFont="1" applyFill="1" applyBorder="1" applyAlignment="1">
      <alignment horizontal="center" vertical="center"/>
    </xf>
    <xf numFmtId="41" fontId="7" fillId="0" borderId="10" xfId="3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8" fillId="6" borderId="9" xfId="0" applyFont="1" applyFill="1" applyBorder="1" applyAlignment="1">
      <alignment horizontal="center" vertical="center"/>
    </xf>
    <xf numFmtId="0" fontId="18" fillId="6" borderId="5" xfId="0" applyFont="1" applyFill="1" applyBorder="1" applyAlignment="1">
      <alignment horizontal="center" vertical="center"/>
    </xf>
    <xf numFmtId="0" fontId="18" fillId="6" borderId="1" xfId="0" applyFont="1" applyFill="1" applyBorder="1" applyAlignment="1">
      <alignment horizontal="center" vertical="center"/>
    </xf>
    <xf numFmtId="0" fontId="21" fillId="10" borderId="15" xfId="0" applyFont="1" applyFill="1" applyBorder="1" applyAlignment="1">
      <alignment horizontal="center" vertical="center"/>
    </xf>
    <xf numFmtId="0" fontId="21" fillId="10" borderId="25" xfId="0" applyFont="1" applyFill="1" applyBorder="1" applyAlignment="1">
      <alignment horizontal="center" vertical="center"/>
    </xf>
    <xf numFmtId="0" fontId="21" fillId="10" borderId="16" xfId="0" applyFont="1" applyFill="1" applyBorder="1" applyAlignment="1">
      <alignment horizontal="center" vertical="center"/>
    </xf>
    <xf numFmtId="0" fontId="22" fillId="10" borderId="23" xfId="0" applyFont="1" applyFill="1" applyBorder="1" applyAlignment="1">
      <alignment horizontal="center" vertical="center"/>
    </xf>
    <xf numFmtId="0" fontId="22" fillId="10" borderId="24" xfId="0" applyFont="1" applyFill="1" applyBorder="1" applyAlignment="1">
      <alignment horizontal="center" vertical="center"/>
    </xf>
    <xf numFmtId="0" fontId="22" fillId="10" borderId="45" xfId="0" applyFont="1" applyFill="1" applyBorder="1" applyAlignment="1">
      <alignment horizontal="center" vertical="center"/>
    </xf>
    <xf numFmtId="0" fontId="22" fillId="0" borderId="23" xfId="0" applyFont="1" applyBorder="1" applyAlignment="1">
      <alignment horizontal="center" vertical="center"/>
    </xf>
    <xf numFmtId="0" fontId="22" fillId="0" borderId="22" xfId="0" applyFont="1" applyBorder="1" applyAlignment="1">
      <alignment horizontal="center" vertical="center"/>
    </xf>
    <xf numFmtId="0" fontId="22" fillId="13" borderId="23" xfId="0" applyFont="1" applyFill="1" applyBorder="1" applyAlignment="1">
      <alignment horizontal="center" vertical="center"/>
    </xf>
    <xf numFmtId="0" fontId="22" fillId="13" borderId="24" xfId="0" applyFont="1" applyFill="1" applyBorder="1" applyAlignment="1">
      <alignment horizontal="center" vertical="center"/>
    </xf>
    <xf numFmtId="0" fontId="22" fillId="13" borderId="45" xfId="0" applyFont="1" applyFill="1" applyBorder="1" applyAlignment="1">
      <alignment horizontal="center" vertical="center"/>
    </xf>
    <xf numFmtId="0" fontId="7" fillId="0" borderId="39" xfId="0" applyFont="1" applyBorder="1" applyAlignment="1">
      <alignment horizontal="center" vertical="center"/>
    </xf>
    <xf numFmtId="0" fontId="15" fillId="0" borderId="0" xfId="0" applyFont="1" applyAlignment="1">
      <alignment vertical="center"/>
    </xf>
  </cellXfs>
  <cellStyles count="6">
    <cellStyle name="쉼표 [0]" xfId="3" builtinId="6"/>
    <cellStyle name="표준" xfId="0" builtinId="0"/>
    <cellStyle name="표준 15" xfId="1" xr:uid="{00000000-0005-0000-0000-000002000000}"/>
    <cellStyle name="표준 2" xfId="2" xr:uid="{00000000-0005-0000-0000-000003000000}"/>
    <cellStyle name="표준 2 2" xfId="5" xr:uid="{CD1CED86-7883-4360-96AA-F5706CED6E73}"/>
    <cellStyle name="표준 3" xfId="4" xr:uid="{00000000-0005-0000-0000-000004000000}"/>
  </cellStyles>
  <dxfs count="0"/>
  <tableStyles count="0" defaultTableStyle="TableStyleMedium2" defaultPivotStyle="PivotStyleLight16"/>
  <colors>
    <mruColors>
      <color rgb="FFF1FC9C"/>
      <color rgb="FF9BFBFD"/>
      <color rgb="FF9FF3F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&#51088;&#51116;&#44288;&#47532;\&#51088;&#51116;&#49324;&#50857;&#45236;&#50669;\2&#50900;\UG%20Telecom%20C1%20&#49324;&#50629;&#48512;_&#51204;&#49569;&#47581;&#51088;&#51116;&#49324;%20&#45236;&#50669;%20&#51333;&#54633;%20(2&#50900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자재사용현황(능동소자)"/>
      <sheetName val="출 고 현 황 _ 종 합"/>
      <sheetName val="출고현황_MAIN 센터(화성)"/>
      <sheetName val="사용내역_MAIN 센터(화성)"/>
      <sheetName val="사진_MAIN 센터(화성)"/>
      <sheetName val="단일리스트_MAIN 센터(화성))"/>
      <sheetName val="출고현황_SUB 센터(용인)"/>
      <sheetName val="사용내역_SUB 센터(용인))"/>
      <sheetName val="사진_SUB 센터(용인))"/>
      <sheetName val="단일리스트_SUB 센터(용인)"/>
      <sheetName val="목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>
        <row r="2">
          <cell r="A2" t="str">
            <v>ONU</v>
          </cell>
          <cell r="B2" t="str">
            <v>간선증폭기</v>
          </cell>
          <cell r="C2" t="str">
            <v>구내증폭기</v>
          </cell>
          <cell r="D2" t="str">
            <v>연장증폭기</v>
          </cell>
          <cell r="E2" t="str">
            <v>동축케이블</v>
          </cell>
          <cell r="F2" t="str">
            <v>전원공급기_PS</v>
          </cell>
          <cell r="G2" t="str">
            <v>전원공급기_UPS</v>
          </cell>
          <cell r="H2" t="str">
            <v>자동복구기</v>
          </cell>
          <cell r="I2" t="str">
            <v>옥내용_8분기기</v>
          </cell>
          <cell r="J2" t="str">
            <v>옥내용분배기</v>
          </cell>
          <cell r="K2" t="str">
            <v>수동소자</v>
          </cell>
          <cell r="L2" t="str">
            <v>열수축관</v>
          </cell>
          <cell r="M2" t="str">
            <v>공사성자재</v>
          </cell>
          <cell r="N2" t="str">
            <v>커넥터</v>
          </cell>
          <cell r="O2" t="str">
            <v>광자재</v>
          </cell>
          <cell r="P2" t="str">
            <v>계량기함체</v>
          </cell>
        </row>
      </sheetData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BD639"/>
  <sheetViews>
    <sheetView showGridLines="0" tabSelected="1" zoomScale="85" zoomScaleNormal="85" workbookViewId="0">
      <pane xSplit="12" ySplit="3" topLeftCell="T4" activePane="bottomRight" state="frozen"/>
      <selection pane="topRight" activeCell="M1" sqref="M1"/>
      <selection pane="bottomLeft" activeCell="A4" sqref="A4"/>
      <selection pane="bottomRight" activeCell="C13" sqref="C13"/>
    </sheetView>
  </sheetViews>
  <sheetFormatPr defaultColWidth="14.453125" defaultRowHeight="15" customHeight="1"/>
  <cols>
    <col min="1" max="1" width="3.26953125" style="12" customWidth="1"/>
    <col min="2" max="2" width="21.54296875" style="12" customWidth="1"/>
    <col min="3" max="3" width="61.81640625" style="12" bestFit="1" customWidth="1"/>
    <col min="4" max="4" width="5.453125" style="12" bestFit="1" customWidth="1"/>
    <col min="5" max="8" width="9.54296875" style="12" customWidth="1"/>
    <col min="9" max="9" width="10.54296875" style="12" customWidth="1"/>
    <col min="10" max="12" width="12.54296875" style="12" customWidth="1"/>
    <col min="13" max="13" width="10.1796875" style="12" customWidth="1"/>
    <col min="14" max="15" width="10.1796875" style="41" customWidth="1"/>
    <col min="16" max="19" width="10.1796875" style="12" customWidth="1"/>
    <col min="20" max="24" width="10.1796875" style="41" customWidth="1"/>
    <col min="25" max="25" width="11.1796875" style="41" customWidth="1"/>
    <col min="26" max="26" width="23.54296875" style="12" customWidth="1"/>
    <col min="27" max="27" width="11.81640625" style="12" customWidth="1"/>
    <col min="28" max="28" width="10.1796875" style="12" customWidth="1"/>
    <col min="29" max="39" width="10.1796875" style="28" customWidth="1"/>
    <col min="40" max="40" width="11.1796875" style="28" customWidth="1"/>
    <col min="41" max="41" width="23.54296875" style="28" customWidth="1"/>
    <col min="42" max="42" width="14.453125" style="12" customWidth="1"/>
    <col min="43" max="54" width="10.1796875" style="12" customWidth="1"/>
    <col min="55" max="55" width="11.1796875" style="12" customWidth="1"/>
    <col min="56" max="56" width="23.54296875" style="12" customWidth="1"/>
    <col min="57" max="16384" width="14.453125" style="12"/>
  </cols>
  <sheetData>
    <row r="1" spans="1:56" ht="39.75" customHeight="1" thickBot="1">
      <c r="B1" s="121" t="s">
        <v>178</v>
      </c>
      <c r="C1" s="121"/>
      <c r="D1" s="13"/>
      <c r="E1" s="13"/>
      <c r="F1" s="13"/>
      <c r="G1" s="13"/>
      <c r="H1" s="13"/>
      <c r="I1" s="13"/>
      <c r="J1" s="13"/>
      <c r="K1" s="13"/>
      <c r="L1" s="13"/>
      <c r="M1" s="13"/>
      <c r="N1" s="105"/>
      <c r="O1" s="105"/>
      <c r="P1" s="105"/>
      <c r="Q1" s="105"/>
      <c r="R1" s="105"/>
      <c r="S1" s="105"/>
      <c r="T1" s="105"/>
      <c r="U1" s="105"/>
      <c r="V1" s="105"/>
      <c r="W1" s="105"/>
      <c r="X1" s="105"/>
      <c r="Y1" s="105"/>
      <c r="Z1" s="105"/>
      <c r="AB1" s="26"/>
      <c r="AC1" s="104"/>
      <c r="AD1" s="104"/>
      <c r="AE1" s="104"/>
      <c r="AF1" s="104"/>
      <c r="AG1" s="104"/>
      <c r="AH1" s="104"/>
      <c r="AI1" s="104"/>
      <c r="AJ1" s="104"/>
      <c r="AK1" s="104"/>
      <c r="AL1" s="104"/>
      <c r="AM1" s="104"/>
      <c r="AN1" s="104"/>
      <c r="AO1" s="104"/>
      <c r="AQ1" s="72"/>
      <c r="AR1" s="120"/>
      <c r="AS1" s="120"/>
      <c r="AT1" s="120"/>
      <c r="AU1" s="120"/>
      <c r="AV1" s="120"/>
      <c r="AW1" s="120"/>
      <c r="AX1" s="120"/>
      <c r="AY1" s="120"/>
      <c r="AZ1" s="120"/>
      <c r="BA1" s="120"/>
      <c r="BB1" s="120"/>
      <c r="BC1" s="120"/>
      <c r="BD1" s="120"/>
    </row>
    <row r="2" spans="1:56" ht="26.5" customHeight="1" thickBot="1">
      <c r="A2" s="14"/>
      <c r="B2" s="14"/>
      <c r="C2" s="14"/>
      <c r="D2" s="14"/>
      <c r="E2" s="115" t="s">
        <v>223</v>
      </c>
      <c r="F2" s="116"/>
      <c r="G2" s="112" t="s">
        <v>224</v>
      </c>
      <c r="H2" s="113"/>
      <c r="I2" s="114"/>
      <c r="J2" s="117" t="s">
        <v>225</v>
      </c>
      <c r="K2" s="118"/>
      <c r="L2" s="119"/>
      <c r="M2" s="109" t="s">
        <v>175</v>
      </c>
      <c r="N2" s="110"/>
      <c r="O2" s="110"/>
      <c r="P2" s="110"/>
      <c r="Q2" s="110"/>
      <c r="R2" s="110"/>
      <c r="S2" s="110"/>
      <c r="T2" s="110"/>
      <c r="U2" s="110"/>
      <c r="V2" s="110"/>
      <c r="W2" s="110"/>
      <c r="X2" s="110"/>
      <c r="Y2" s="110"/>
      <c r="Z2" s="111"/>
      <c r="AA2" s="14"/>
      <c r="AB2" s="101" t="s">
        <v>174</v>
      </c>
      <c r="AC2" s="102"/>
      <c r="AD2" s="102"/>
      <c r="AE2" s="102"/>
      <c r="AF2" s="102"/>
      <c r="AG2" s="102"/>
      <c r="AH2" s="102"/>
      <c r="AI2" s="102"/>
      <c r="AJ2" s="102"/>
      <c r="AK2" s="102"/>
      <c r="AL2" s="102"/>
      <c r="AM2" s="102"/>
      <c r="AN2" s="102"/>
      <c r="AO2" s="103"/>
      <c r="AQ2" s="101" t="s">
        <v>202</v>
      </c>
      <c r="AR2" s="102"/>
      <c r="AS2" s="102"/>
      <c r="AT2" s="102"/>
      <c r="AU2" s="102"/>
      <c r="AV2" s="102"/>
      <c r="AW2" s="102"/>
      <c r="AX2" s="102"/>
      <c r="AY2" s="102"/>
      <c r="AZ2" s="102"/>
      <c r="BA2" s="102"/>
      <c r="BB2" s="102"/>
      <c r="BC2" s="102"/>
      <c r="BD2" s="103"/>
    </row>
    <row r="3" spans="1:56" ht="17">
      <c r="B3" s="15" t="s">
        <v>5</v>
      </c>
      <c r="C3" s="16" t="s">
        <v>19</v>
      </c>
      <c r="D3" s="43" t="s">
        <v>89</v>
      </c>
      <c r="E3" s="68" t="s">
        <v>197</v>
      </c>
      <c r="F3" s="69" t="s">
        <v>7</v>
      </c>
      <c r="G3" s="70" t="s">
        <v>198</v>
      </c>
      <c r="H3" s="86" t="s">
        <v>199</v>
      </c>
      <c r="I3" s="81" t="s">
        <v>201</v>
      </c>
      <c r="J3" s="87" t="s">
        <v>194</v>
      </c>
      <c r="K3" s="76" t="s">
        <v>195</v>
      </c>
      <c r="L3" s="82" t="s">
        <v>196</v>
      </c>
      <c r="M3" s="17" t="s">
        <v>128</v>
      </c>
      <c r="N3" s="39" t="s">
        <v>91</v>
      </c>
      <c r="O3" s="39" t="s">
        <v>92</v>
      </c>
      <c r="P3" s="17" t="s">
        <v>93</v>
      </c>
      <c r="Q3" s="17" t="s">
        <v>94</v>
      </c>
      <c r="R3" s="17" t="s">
        <v>95</v>
      </c>
      <c r="S3" s="17" t="s">
        <v>96</v>
      </c>
      <c r="T3" s="39" t="s">
        <v>97</v>
      </c>
      <c r="U3" s="39" t="s">
        <v>98</v>
      </c>
      <c r="V3" s="39" t="s">
        <v>99</v>
      </c>
      <c r="W3" s="39" t="s">
        <v>100</v>
      </c>
      <c r="X3" s="39" t="s">
        <v>101</v>
      </c>
      <c r="Y3" s="44" t="s">
        <v>2</v>
      </c>
      <c r="Z3" s="51" t="s">
        <v>124</v>
      </c>
      <c r="AB3" s="54" t="s">
        <v>133</v>
      </c>
      <c r="AC3" s="18" t="s">
        <v>134</v>
      </c>
      <c r="AD3" s="18" t="s">
        <v>135</v>
      </c>
      <c r="AE3" s="18" t="s">
        <v>136</v>
      </c>
      <c r="AF3" s="18" t="s">
        <v>137</v>
      </c>
      <c r="AG3" s="18" t="s">
        <v>138</v>
      </c>
      <c r="AH3" s="18" t="s">
        <v>139</v>
      </c>
      <c r="AI3" s="18" t="s">
        <v>140</v>
      </c>
      <c r="AJ3" s="18" t="s">
        <v>141</v>
      </c>
      <c r="AK3" s="18" t="s">
        <v>142</v>
      </c>
      <c r="AL3" s="18" t="s">
        <v>143</v>
      </c>
      <c r="AM3" s="18" t="s">
        <v>144</v>
      </c>
      <c r="AN3" s="19" t="s">
        <v>127</v>
      </c>
      <c r="AO3" s="55" t="s">
        <v>0</v>
      </c>
      <c r="AQ3" s="59" t="s">
        <v>133</v>
      </c>
      <c r="AR3" s="42" t="s">
        <v>113</v>
      </c>
      <c r="AS3" s="42" t="s">
        <v>114</v>
      </c>
      <c r="AT3" s="25" t="s">
        <v>115</v>
      </c>
      <c r="AU3" s="25" t="s">
        <v>116</v>
      </c>
      <c r="AV3" s="25" t="s">
        <v>117</v>
      </c>
      <c r="AW3" s="25" t="s">
        <v>118</v>
      </c>
      <c r="AX3" s="42" t="s">
        <v>119</v>
      </c>
      <c r="AY3" s="42" t="s">
        <v>120</v>
      </c>
      <c r="AZ3" s="42" t="s">
        <v>121</v>
      </c>
      <c r="BA3" s="42" t="s">
        <v>122</v>
      </c>
      <c r="BB3" s="42" t="s">
        <v>123</v>
      </c>
      <c r="BC3" s="45" t="s">
        <v>2</v>
      </c>
      <c r="BD3" s="60" t="s">
        <v>124</v>
      </c>
    </row>
    <row r="4" spans="1:56" ht="19.5" customHeight="1">
      <c r="B4" s="98" t="s">
        <v>1</v>
      </c>
      <c r="C4" s="20" t="s">
        <v>8</v>
      </c>
      <c r="D4" s="64" t="s">
        <v>129</v>
      </c>
      <c r="E4" s="63">
        <v>1</v>
      </c>
      <c r="F4" s="50">
        <v>0</v>
      </c>
      <c r="G4" s="63"/>
      <c r="H4" s="77">
        <v>1</v>
      </c>
      <c r="I4" s="90">
        <f>(F4+BC4)-(G4+H4)</f>
        <v>0</v>
      </c>
      <c r="J4" s="88">
        <f t="shared" ref="J4" si="0">Y4</f>
        <v>0</v>
      </c>
      <c r="K4" s="77">
        <f>AN4</f>
        <v>0</v>
      </c>
      <c r="L4" s="83">
        <f t="shared" ref="L4:L36" si="1">E4-J4+K4</f>
        <v>1</v>
      </c>
      <c r="M4" s="79">
        <f>SUMIFS('센터 자재 사용내역(01월)'!G:G,'센터 자재 사용내역(01월)'!E:E,'사급자재 사용내역'!C4,'센터 자재 사용내역(01월)'!F:F,"신규")+SUMIFS('센터 자재 사용내역(01월)'!G:G,'센터 자재 사용내역(01월)'!E:E,'사급자재 사용내역'!C4,'센터 자재 사용내역(01월)'!F:F,"교체")</f>
        <v>0</v>
      </c>
      <c r="N4" s="40">
        <f>SUMIFS('센터 자재 사용내역(02월)'!G:G,'센터 자재 사용내역(02월)'!E:E,'사급자재 사용내역'!C4,'센터 자재 사용내역(02월)'!F:F,"신규")+SUMIFS('센터 자재 사용내역(02월)'!G:G,'센터 자재 사용내역(02월)'!E:E,'사급자재 사용내역'!C4,'센터 자재 사용내역(02월)'!F:F,"교체")</f>
        <v>0</v>
      </c>
      <c r="O4" s="40">
        <f>SUMIFS('센터 자재 사용내역(03월)'!G:G,'센터 자재 사용내역(03월)'!E:E,'사급자재 사용내역'!C4,'센터 자재 사용내역(03월)'!F:F,"신규")+SUMIFS('센터 자재 사용내역(03월)'!G:G,'센터 자재 사용내역(03월)'!E:E,'사급자재 사용내역'!C4,'센터 자재 사용내역(03월)'!F:F,"교체")</f>
        <v>0</v>
      </c>
      <c r="P4" s="40">
        <f>SUMIFS('센터 자재 사용내역(04월)'!G:G,'센터 자재 사용내역(04월)'!E:E,'사급자재 사용내역'!C4,'센터 자재 사용내역(04월)'!F:F,"신규")+SUMIFS('센터 자재 사용내역(04월)'!G:G,'센터 자재 사용내역(04월)'!E:E,'사급자재 사용내역'!C4,'센터 자재 사용내역(04월)'!F:F,"교체")</f>
        <v>0</v>
      </c>
      <c r="Q4" s="40">
        <f>SUMIFS('센터 자재 사용내역(05월)'!G:G,'센터 자재 사용내역(05월)'!E:E,'사급자재 사용내역'!C4,'센터 자재 사용내역(05월)'!F:F,"신규")+SUMIFS('센터 자재 사용내역(05월)'!G:G,'센터 자재 사용내역(05월)'!E:E,'사급자재 사용내역'!C4,'센터 자재 사용내역(05월)'!F:F,"교체")</f>
        <v>0</v>
      </c>
      <c r="R4" s="40">
        <f>SUMIFS('센터 자재 사용내역(06월)'!G:G,'센터 자재 사용내역(06월)'!E:E,'사급자재 사용내역'!C4,'센터 자재 사용내역(06월)'!F:F,"신규")+SUMIFS('센터 자재 사용내역(06월)'!G:G,'센터 자재 사용내역(06월)'!E:E,'사급자재 사용내역'!C4,'센터 자재 사용내역(06월)'!F:F,"교체")</f>
        <v>0</v>
      </c>
      <c r="S4" s="40">
        <f>SUMIFS('센터 자재 사용내역(07월)'!G:G,'센터 자재 사용내역(07월)'!E:E,'사급자재 사용내역'!C4,'센터 자재 사용내역(07월)'!F:F,"신규")+SUMIFS('센터 자재 사용내역(07월)'!G:G,'센터 자재 사용내역(07월)'!E:E,'사급자재 사용내역'!C4,'센터 자재 사용내역(07월)'!F:F,"교체")</f>
        <v>0</v>
      </c>
      <c r="T4" s="40">
        <f>SUMIFS('센터 자재 사용내역(08월)'!G:G,'센터 자재 사용내역(08월)'!E:E,'사급자재 사용내역'!C4,'센터 자재 사용내역(08월)'!F:F,"신규")+SUMIFS('센터 자재 사용내역(08월)'!G:G,'센터 자재 사용내역(08월)'!E:E,'사급자재 사용내역'!C4,'센터 자재 사용내역(08월)'!F:F,"교체")</f>
        <v>0</v>
      </c>
      <c r="U4" s="40">
        <f>SUMIFS('센터 자재 사용내역(09월)'!G:G,'센터 자재 사용내역(09월)'!E:E,'사급자재 사용내역'!C4,'센터 자재 사용내역(09월)'!F:F,"신규")+SUMIFS('센터 자재 사용내역(09월)'!G:G,'센터 자재 사용내역(09월)'!E:E,'사급자재 사용내역'!C4,'센터 자재 사용내역(09월)'!F:F,"교체")</f>
        <v>0</v>
      </c>
      <c r="V4" s="40">
        <f>SUMIFS('센터 자재 사용내역(10월)'!G:G,'센터 자재 사용내역(10월)'!E:E,'사급자재 사용내역'!C4,'센터 자재 사용내역(10월)'!F:F,"신규")+SUMIFS('센터 자재 사용내역(10월)'!G:G,'센터 자재 사용내역(10월)'!E:E,'사급자재 사용내역'!C4,'센터 자재 사용내역(10월)'!F:F,"교체")</f>
        <v>0</v>
      </c>
      <c r="W4" s="40">
        <f>SUMIFS('센터 자재 사용내역(11월)'!G:G,'센터 자재 사용내역(11월)'!E:E,'사급자재 사용내역'!C4,'센터 자재 사용내역(11월)'!F:F,"신규")+SUMIFS('센터 자재 사용내역(11월)'!G:G,'센터 자재 사용내역(11월)'!E:E,'사급자재 사용내역'!C4,'센터 자재 사용내역(11월)'!F:F,"교체")</f>
        <v>0</v>
      </c>
      <c r="X4" s="40">
        <f>SUMIFS('센터 자재 사용내역(12월)'!G:G,'센터 자재 사용내역(12월)'!E:E,'사급자재 사용내역'!C4,'센터 자재 사용내역(12월)'!F:F,"신규")+SUMIFS('센터 자재 사용내역(12월)'!G:G,'센터 자재 사용내역(12월)'!E:E,'사급자재 사용내역'!C4,'센터 자재 사용내역(12월)'!F:F,"교체")</f>
        <v>0</v>
      </c>
      <c r="Y4" s="40">
        <f t="shared" ref="Y4:Y36" si="2">SUM(M4:X4)</f>
        <v>0</v>
      </c>
      <c r="Z4" s="52"/>
      <c r="AB4" s="56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1">
        <f t="shared" ref="AN4:AN36" si="3">SUM(AB4:AM4)</f>
        <v>0</v>
      </c>
      <c r="AO4" s="57"/>
      <c r="AQ4" s="61">
        <f>SUMIFS('센터 자재 사용내역(01월)'!G:G,'센터 자재 사용내역(01월)'!E:E,'사급자재 사용내역'!C4,'센터 자재 사용내역(01월)'!F:F,"불량")</f>
        <v>0</v>
      </c>
      <c r="AR4" s="40">
        <f>SUMIFS('센터 자재 사용내역(02월)'!G:G,'센터 자재 사용내역(02월)'!E:E,'사급자재 사용내역'!C4,'센터 자재 사용내역(02월)'!F:F,"불량")</f>
        <v>0</v>
      </c>
      <c r="AS4" s="40">
        <f>SUMIFS('센터 자재 사용내역(03월)'!G:G,'센터 자재 사용내역(03월)'!E:E,'사급자재 사용내역'!C4,'센터 자재 사용내역(03월)'!F:F,"불량")</f>
        <v>0</v>
      </c>
      <c r="AT4" s="40">
        <f>SUMIFS('센터 자재 사용내역(04월)'!G:G,'센터 자재 사용내역(04월)'!E:E,'사급자재 사용내역'!C4,'센터 자재 사용내역(04월)'!F:F,"불량")</f>
        <v>0</v>
      </c>
      <c r="AU4" s="40">
        <f>SUMIFS('센터 자재 사용내역(05월)'!G:G,'센터 자재 사용내역(05월)'!E:E,'사급자재 사용내역'!C4,'센터 자재 사용내역(05월)'!F:F,"불량")</f>
        <v>1</v>
      </c>
      <c r="AV4" s="40">
        <f>SUMIFS('센터 자재 사용내역(06월)'!G:G,'센터 자재 사용내역(06월)'!E:E,'사급자재 사용내역'!C4,'센터 자재 사용내역(06월)'!F:F,"불량")</f>
        <v>0</v>
      </c>
      <c r="AW4" s="40">
        <f>SUMIFS('센터 자재 사용내역(07월)'!G:G,'센터 자재 사용내역(07월)'!E:E,'사급자재 사용내역'!C4,'센터 자재 사용내역(07월)'!F:F,"불량")</f>
        <v>0</v>
      </c>
      <c r="AX4" s="40">
        <f>SUMIFS('센터 자재 사용내역(08월)'!G:G,'센터 자재 사용내역(08월)'!E:E,'사급자재 사용내역'!C4,'센터 자재 사용내역(08월)'!F:F,"불량")</f>
        <v>0</v>
      </c>
      <c r="AY4" s="40">
        <f>SUMIFS('센터 자재 사용내역(09월)'!G:G,'센터 자재 사용내역(09월)'!E:E,'사급자재 사용내역'!C4,'센터 자재 사용내역(09월)'!F:F,"불량")</f>
        <v>0</v>
      </c>
      <c r="AZ4" s="40">
        <f>SUMIFS('센터 자재 사용내역(10월)'!G:G,'센터 자재 사용내역(10월)'!E:E,'사급자재 사용내역'!C4,'센터 자재 사용내역(10월)'!F:F,"불량")</f>
        <v>0</v>
      </c>
      <c r="BA4" s="40">
        <f>SUMIFS('센터 자재 사용내역(11월)'!G:G,'센터 자재 사용내역(11월)'!E:E,'사급자재 사용내역'!C4,'센터 자재 사용내역(11월)'!F:F,"불량")</f>
        <v>0</v>
      </c>
      <c r="BB4" s="40">
        <f>SUMIFS('센터 자재 사용내역(12월)'!G:G,'센터 자재 사용내역(12월)'!E:E,'사급자재 사용내역'!C4,'센터 자재 사용내역(12월)'!F:F,"불량")</f>
        <v>0</v>
      </c>
      <c r="BC4" s="40">
        <f>SUM(AQ4:BB4)</f>
        <v>1</v>
      </c>
      <c r="BD4" s="62"/>
    </row>
    <row r="5" spans="1:56" ht="19.5" customHeight="1">
      <c r="B5" s="99"/>
      <c r="C5" s="22" t="s">
        <v>9</v>
      </c>
      <c r="D5" s="64" t="s">
        <v>129</v>
      </c>
      <c r="E5" s="46">
        <v>1</v>
      </c>
      <c r="F5" s="47">
        <v>2</v>
      </c>
      <c r="G5" s="46">
        <v>1</v>
      </c>
      <c r="H5" s="78">
        <v>3</v>
      </c>
      <c r="I5" s="90">
        <f t="shared" ref="I5:I69" si="4">(F5+BC5)-(G5+H5)</f>
        <v>0</v>
      </c>
      <c r="J5" s="89">
        <f t="shared" ref="J5:J26" si="5">Y5</f>
        <v>0</v>
      </c>
      <c r="K5" s="78">
        <f>AN5</f>
        <v>1</v>
      </c>
      <c r="L5" s="84">
        <f t="shared" si="1"/>
        <v>2</v>
      </c>
      <c r="M5" s="79">
        <f>SUMIFS('센터 자재 사용내역(01월)'!G:G,'센터 자재 사용내역(01월)'!E:E,'사급자재 사용내역'!C5,'센터 자재 사용내역(01월)'!F:F,"신규")+SUMIFS('센터 자재 사용내역(01월)'!G:G,'센터 자재 사용내역(01월)'!E:E,'사급자재 사용내역'!C5,'센터 자재 사용내역(01월)'!F:F,"교체")</f>
        <v>0</v>
      </c>
      <c r="N5" s="40">
        <f>SUMIFS('센터 자재 사용내역(02월)'!G:G,'센터 자재 사용내역(02월)'!E:E,'사급자재 사용내역'!C5,'센터 자재 사용내역(02월)'!F:F,"신규")+SUMIFS('센터 자재 사용내역(02월)'!G:G,'센터 자재 사용내역(02월)'!E:E,'사급자재 사용내역'!C5,'센터 자재 사용내역(02월)'!F:F,"교체")</f>
        <v>0</v>
      </c>
      <c r="O5" s="40">
        <f>SUMIFS('센터 자재 사용내역(03월)'!G:G,'센터 자재 사용내역(03월)'!E:E,'사급자재 사용내역'!C5,'센터 자재 사용내역(03월)'!F:F,"신규")+SUMIFS('센터 자재 사용내역(03월)'!G:G,'센터 자재 사용내역(03월)'!E:E,'사급자재 사용내역'!C5,'센터 자재 사용내역(03월)'!F:F,"교체")</f>
        <v>0</v>
      </c>
      <c r="P5" s="40">
        <f>SUMIFS('센터 자재 사용내역(04월)'!G:G,'센터 자재 사용내역(04월)'!E:E,'사급자재 사용내역'!C5,'센터 자재 사용내역(04월)'!F:F,"신규")+SUMIFS('센터 자재 사용내역(04월)'!G:G,'센터 자재 사용내역(04월)'!E:E,'사급자재 사용내역'!C5,'센터 자재 사용내역(04월)'!F:F,"교체")</f>
        <v>0</v>
      </c>
      <c r="Q5" s="40">
        <f>SUMIFS('센터 자재 사용내역(05월)'!G:G,'센터 자재 사용내역(05월)'!E:E,'사급자재 사용내역'!C5,'센터 자재 사용내역(05월)'!F:F,"신규")+SUMIFS('센터 자재 사용내역(05월)'!G:G,'센터 자재 사용내역(05월)'!E:E,'사급자재 사용내역'!C5,'센터 자재 사용내역(05월)'!F:F,"교체")</f>
        <v>0</v>
      </c>
      <c r="R5" s="40">
        <f>SUMIFS('센터 자재 사용내역(06월)'!G:G,'센터 자재 사용내역(06월)'!E:E,'사급자재 사용내역'!C5,'센터 자재 사용내역(06월)'!F:F,"신규")+SUMIFS('센터 자재 사용내역(06월)'!G:G,'센터 자재 사용내역(06월)'!E:E,'사급자재 사용내역'!C5,'센터 자재 사용내역(06월)'!F:F,"교체")</f>
        <v>0</v>
      </c>
      <c r="S5" s="40">
        <f>SUMIFS('센터 자재 사용내역(07월)'!G:G,'센터 자재 사용내역(07월)'!E:E,'사급자재 사용내역'!C5,'센터 자재 사용내역(07월)'!F:F,"신규")+SUMIFS('센터 자재 사용내역(07월)'!G:G,'센터 자재 사용내역(07월)'!E:E,'사급자재 사용내역'!C5,'센터 자재 사용내역(07월)'!F:F,"교체")</f>
        <v>0</v>
      </c>
      <c r="T5" s="40">
        <f>SUMIFS('센터 자재 사용내역(08월)'!G:G,'센터 자재 사용내역(08월)'!E:E,'사급자재 사용내역'!C5,'센터 자재 사용내역(08월)'!F:F,"신규")+SUMIFS('센터 자재 사용내역(08월)'!G:G,'센터 자재 사용내역(08월)'!E:E,'사급자재 사용내역'!C5,'센터 자재 사용내역(08월)'!F:F,"교체")</f>
        <v>0</v>
      </c>
      <c r="U5" s="40">
        <f>SUMIFS('센터 자재 사용내역(09월)'!G:G,'센터 자재 사용내역(09월)'!E:E,'사급자재 사용내역'!C5,'센터 자재 사용내역(09월)'!F:F,"신규")+SUMIFS('센터 자재 사용내역(09월)'!G:G,'센터 자재 사용내역(09월)'!E:E,'사급자재 사용내역'!C5,'센터 자재 사용내역(09월)'!F:F,"교체")</f>
        <v>0</v>
      </c>
      <c r="V5" s="40">
        <f>SUMIFS('센터 자재 사용내역(10월)'!G:G,'센터 자재 사용내역(10월)'!E:E,'사급자재 사용내역'!C5,'센터 자재 사용내역(10월)'!F:F,"신규")+SUMIFS('센터 자재 사용내역(10월)'!G:G,'센터 자재 사용내역(10월)'!E:E,'사급자재 사용내역'!C5,'센터 자재 사용내역(10월)'!F:F,"교체")</f>
        <v>0</v>
      </c>
      <c r="W5" s="40">
        <f>SUMIFS('센터 자재 사용내역(11월)'!G:G,'센터 자재 사용내역(11월)'!E:E,'사급자재 사용내역'!C5,'센터 자재 사용내역(11월)'!F:F,"신규")+SUMIFS('센터 자재 사용내역(11월)'!G:G,'센터 자재 사용내역(11월)'!E:E,'사급자재 사용내역'!C5,'센터 자재 사용내역(11월)'!F:F,"교체")</f>
        <v>0</v>
      </c>
      <c r="X5" s="40">
        <f>SUMIFS('센터 자재 사용내역(12월)'!G:G,'센터 자재 사용내역(12월)'!E:E,'사급자재 사용내역'!C5,'센터 자재 사용내역(12월)'!F:F,"신규")+SUMIFS('센터 자재 사용내역(12월)'!G:G,'센터 자재 사용내역(12월)'!E:E,'사급자재 사용내역'!C5,'센터 자재 사용내역(12월)'!F:F,"교체")</f>
        <v>0</v>
      </c>
      <c r="Y5" s="40">
        <f t="shared" si="2"/>
        <v>0</v>
      </c>
      <c r="Z5" s="52"/>
      <c r="AB5" s="56"/>
      <c r="AC5" s="29">
        <v>1</v>
      </c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1">
        <f t="shared" si="3"/>
        <v>1</v>
      </c>
      <c r="AO5" s="57"/>
      <c r="AQ5" s="61">
        <f>SUMIFS('센터 자재 사용내역(01월)'!G:G,'센터 자재 사용내역(01월)'!E:E,'사급자재 사용내역'!C5,'센터 자재 사용내역(01월)'!F:F,"불량")</f>
        <v>0</v>
      </c>
      <c r="AR5" s="40">
        <f>SUMIFS('센터 자재 사용내역(02월)'!G:G,'센터 자재 사용내역(02월)'!E:E,'사급자재 사용내역'!C5,'센터 자재 사용내역(02월)'!F:F,"불량")</f>
        <v>1</v>
      </c>
      <c r="AS5" s="40">
        <f>SUMIFS('센터 자재 사용내역(03월)'!G:G,'센터 자재 사용내역(03월)'!E:E,'사급자재 사용내역'!C5,'센터 자재 사용내역(03월)'!F:F,"불량")</f>
        <v>1</v>
      </c>
      <c r="AT5" s="40">
        <f>SUMIFS('센터 자재 사용내역(04월)'!G:G,'센터 자재 사용내역(04월)'!E:E,'사급자재 사용내역'!C5,'센터 자재 사용내역(04월)'!F:F,"불량")</f>
        <v>0</v>
      </c>
      <c r="AU5" s="40">
        <f>SUMIFS('센터 자재 사용내역(05월)'!G:G,'센터 자재 사용내역(05월)'!E:E,'사급자재 사용내역'!C5,'센터 자재 사용내역(05월)'!F:F,"불량")</f>
        <v>0</v>
      </c>
      <c r="AV5" s="40">
        <f>SUMIFS('센터 자재 사용내역(06월)'!G:G,'센터 자재 사용내역(06월)'!E:E,'사급자재 사용내역'!C5,'센터 자재 사용내역(06월)'!F:F,"불량")</f>
        <v>0</v>
      </c>
      <c r="AW5" s="40">
        <f>SUMIFS('센터 자재 사용내역(07월)'!G:G,'센터 자재 사용내역(07월)'!E:E,'사급자재 사용내역'!C5,'센터 자재 사용내역(07월)'!F:F,"불량")</f>
        <v>0</v>
      </c>
      <c r="AX5" s="40">
        <f>SUMIFS('센터 자재 사용내역(08월)'!G:G,'센터 자재 사용내역(08월)'!E:E,'사급자재 사용내역'!C5,'센터 자재 사용내역(08월)'!F:F,"불량")</f>
        <v>0</v>
      </c>
      <c r="AY5" s="40">
        <f>SUMIFS('센터 자재 사용내역(09월)'!G:G,'센터 자재 사용내역(09월)'!E:E,'사급자재 사용내역'!C5,'센터 자재 사용내역(09월)'!F:F,"불량")</f>
        <v>0</v>
      </c>
      <c r="AZ5" s="40">
        <f>SUMIFS('센터 자재 사용내역(10월)'!G:G,'센터 자재 사용내역(10월)'!E:E,'사급자재 사용내역'!C5,'센터 자재 사용내역(10월)'!F:F,"불량")</f>
        <v>0</v>
      </c>
      <c r="BA5" s="40">
        <f>SUMIFS('센터 자재 사용내역(11월)'!G:G,'센터 자재 사용내역(11월)'!E:E,'사급자재 사용내역'!C5,'센터 자재 사용내역(11월)'!F:F,"불량")</f>
        <v>0</v>
      </c>
      <c r="BB5" s="40">
        <f>SUMIFS('센터 자재 사용내역(12월)'!G:G,'센터 자재 사용내역(12월)'!E:E,'사급자재 사용내역'!C5,'센터 자재 사용내역(12월)'!F:F,"불량")</f>
        <v>0</v>
      </c>
      <c r="BC5" s="40">
        <f t="shared" ref="BC5:BC55" si="6">SUM(AQ5:BB5)</f>
        <v>2</v>
      </c>
      <c r="BD5" s="62"/>
    </row>
    <row r="6" spans="1:56" ht="19.5" customHeight="1">
      <c r="B6" s="99"/>
      <c r="C6" s="22" t="s">
        <v>10</v>
      </c>
      <c r="D6" s="64" t="s">
        <v>130</v>
      </c>
      <c r="E6" s="46">
        <v>0</v>
      </c>
      <c r="F6" s="47">
        <v>0</v>
      </c>
      <c r="G6" s="46"/>
      <c r="H6" s="78"/>
      <c r="I6" s="90">
        <f t="shared" si="4"/>
        <v>0</v>
      </c>
      <c r="J6" s="89">
        <f t="shared" si="5"/>
        <v>0</v>
      </c>
      <c r="K6" s="78">
        <f t="shared" ref="K6:K70" si="7">AN6</f>
        <v>0</v>
      </c>
      <c r="L6" s="84">
        <f t="shared" si="1"/>
        <v>0</v>
      </c>
      <c r="M6" s="79">
        <f>SUMIFS('센터 자재 사용내역(01월)'!G:G,'센터 자재 사용내역(01월)'!E:E,'사급자재 사용내역'!C6,'센터 자재 사용내역(01월)'!F:F,"신규")+SUMIFS('센터 자재 사용내역(01월)'!G:G,'센터 자재 사용내역(01월)'!E:E,'사급자재 사용내역'!C6,'센터 자재 사용내역(01월)'!F:F,"교체")</f>
        <v>0</v>
      </c>
      <c r="N6" s="40">
        <f>SUMIFS('센터 자재 사용내역(02월)'!G:G,'센터 자재 사용내역(02월)'!E:E,'사급자재 사용내역'!C6,'센터 자재 사용내역(02월)'!F:F,"신규")+SUMIFS('센터 자재 사용내역(02월)'!G:G,'센터 자재 사용내역(02월)'!E:E,'사급자재 사용내역'!C6,'센터 자재 사용내역(02월)'!F:F,"교체")</f>
        <v>0</v>
      </c>
      <c r="O6" s="40">
        <f>SUMIFS('센터 자재 사용내역(03월)'!G:G,'센터 자재 사용내역(03월)'!E:E,'사급자재 사용내역'!C6,'센터 자재 사용내역(03월)'!F:F,"신규")+SUMIFS('센터 자재 사용내역(03월)'!G:G,'센터 자재 사용내역(03월)'!E:E,'사급자재 사용내역'!C6,'센터 자재 사용내역(03월)'!F:F,"교체")</f>
        <v>0</v>
      </c>
      <c r="P6" s="40">
        <f>SUMIFS('센터 자재 사용내역(04월)'!G:G,'센터 자재 사용내역(04월)'!E:E,'사급자재 사용내역'!C6,'센터 자재 사용내역(04월)'!F:F,"신규")+SUMIFS('센터 자재 사용내역(04월)'!G:G,'센터 자재 사용내역(04월)'!E:E,'사급자재 사용내역'!C6,'센터 자재 사용내역(04월)'!F:F,"교체")</f>
        <v>0</v>
      </c>
      <c r="Q6" s="40">
        <f>SUMIFS('센터 자재 사용내역(05월)'!G:G,'센터 자재 사용내역(05월)'!E:E,'사급자재 사용내역'!C6,'센터 자재 사용내역(05월)'!F:F,"신규")+SUMIFS('센터 자재 사용내역(05월)'!G:G,'센터 자재 사용내역(05월)'!E:E,'사급자재 사용내역'!C6,'센터 자재 사용내역(05월)'!F:F,"교체")</f>
        <v>0</v>
      </c>
      <c r="R6" s="40">
        <f>SUMIFS('센터 자재 사용내역(06월)'!G:G,'센터 자재 사용내역(06월)'!E:E,'사급자재 사용내역'!C6,'센터 자재 사용내역(06월)'!F:F,"신규")+SUMIFS('센터 자재 사용내역(06월)'!G:G,'센터 자재 사용내역(06월)'!E:E,'사급자재 사용내역'!C6,'센터 자재 사용내역(06월)'!F:F,"교체")</f>
        <v>0</v>
      </c>
      <c r="S6" s="40">
        <f>SUMIFS('센터 자재 사용내역(07월)'!G:G,'센터 자재 사용내역(07월)'!E:E,'사급자재 사용내역'!C6,'센터 자재 사용내역(07월)'!F:F,"신규")+SUMIFS('센터 자재 사용내역(07월)'!G:G,'센터 자재 사용내역(07월)'!E:E,'사급자재 사용내역'!C6,'센터 자재 사용내역(07월)'!F:F,"교체")</f>
        <v>0</v>
      </c>
      <c r="T6" s="40">
        <f>SUMIFS('센터 자재 사용내역(08월)'!G:G,'센터 자재 사용내역(08월)'!E:E,'사급자재 사용내역'!C6,'센터 자재 사용내역(08월)'!F:F,"신규")+SUMIFS('센터 자재 사용내역(08월)'!G:G,'센터 자재 사용내역(08월)'!E:E,'사급자재 사용내역'!C6,'센터 자재 사용내역(08월)'!F:F,"교체")</f>
        <v>0</v>
      </c>
      <c r="U6" s="40">
        <f>SUMIFS('센터 자재 사용내역(09월)'!G:G,'센터 자재 사용내역(09월)'!E:E,'사급자재 사용내역'!C6,'센터 자재 사용내역(09월)'!F:F,"신규")+SUMIFS('센터 자재 사용내역(09월)'!G:G,'센터 자재 사용내역(09월)'!E:E,'사급자재 사용내역'!C6,'센터 자재 사용내역(09월)'!F:F,"교체")</f>
        <v>0</v>
      </c>
      <c r="V6" s="40">
        <f>SUMIFS('센터 자재 사용내역(10월)'!G:G,'센터 자재 사용내역(10월)'!E:E,'사급자재 사용내역'!C6,'센터 자재 사용내역(10월)'!F:F,"신규")+SUMIFS('센터 자재 사용내역(10월)'!G:G,'센터 자재 사용내역(10월)'!E:E,'사급자재 사용내역'!C6,'센터 자재 사용내역(10월)'!F:F,"교체")</f>
        <v>0</v>
      </c>
      <c r="W6" s="40">
        <f>SUMIFS('센터 자재 사용내역(11월)'!G:G,'센터 자재 사용내역(11월)'!E:E,'사급자재 사용내역'!C6,'센터 자재 사용내역(11월)'!F:F,"신규")+SUMIFS('센터 자재 사용내역(11월)'!G:G,'센터 자재 사용내역(11월)'!E:E,'사급자재 사용내역'!C6,'센터 자재 사용내역(11월)'!F:F,"교체")</f>
        <v>0</v>
      </c>
      <c r="X6" s="40">
        <f>SUMIFS('센터 자재 사용내역(12월)'!G:G,'센터 자재 사용내역(12월)'!E:E,'사급자재 사용내역'!C6,'센터 자재 사용내역(12월)'!F:F,"신규")+SUMIFS('센터 자재 사용내역(12월)'!G:G,'센터 자재 사용내역(12월)'!E:E,'사급자재 사용내역'!C6,'센터 자재 사용내역(12월)'!F:F,"교체")</f>
        <v>0</v>
      </c>
      <c r="Y6" s="40">
        <f t="shared" si="2"/>
        <v>0</v>
      </c>
      <c r="Z6" s="52"/>
      <c r="AB6" s="56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1">
        <f t="shared" si="3"/>
        <v>0</v>
      </c>
      <c r="AO6" s="57"/>
      <c r="AQ6" s="61">
        <f>SUMIFS('센터 자재 사용내역(01월)'!G:G,'센터 자재 사용내역(01월)'!E:E,'사급자재 사용내역'!C6,'센터 자재 사용내역(01월)'!F:F,"불량")</f>
        <v>0</v>
      </c>
      <c r="AR6" s="40">
        <f>SUMIFS('센터 자재 사용내역(02월)'!G:G,'센터 자재 사용내역(02월)'!E:E,'사급자재 사용내역'!C6,'센터 자재 사용내역(02월)'!F:F,"불량")</f>
        <v>0</v>
      </c>
      <c r="AS6" s="40">
        <f>SUMIFS('센터 자재 사용내역(03월)'!G:G,'센터 자재 사용내역(03월)'!E:E,'사급자재 사용내역'!C6,'센터 자재 사용내역(03월)'!F:F,"불량")</f>
        <v>0</v>
      </c>
      <c r="AT6" s="40">
        <f>SUMIFS('센터 자재 사용내역(04월)'!G:G,'센터 자재 사용내역(04월)'!E:E,'사급자재 사용내역'!C6,'센터 자재 사용내역(04월)'!F:F,"불량")</f>
        <v>0</v>
      </c>
      <c r="AU6" s="40">
        <f>SUMIFS('센터 자재 사용내역(05월)'!G:G,'센터 자재 사용내역(05월)'!E:E,'사급자재 사용내역'!C6,'센터 자재 사용내역(05월)'!F:F,"불량")</f>
        <v>0</v>
      </c>
      <c r="AV6" s="40">
        <f>SUMIFS('센터 자재 사용내역(06월)'!G:G,'센터 자재 사용내역(06월)'!E:E,'사급자재 사용내역'!C6,'센터 자재 사용내역(06월)'!F:F,"불량")</f>
        <v>0</v>
      </c>
      <c r="AW6" s="40">
        <f>SUMIFS('센터 자재 사용내역(07월)'!G:G,'센터 자재 사용내역(07월)'!E:E,'사급자재 사용내역'!C6,'센터 자재 사용내역(07월)'!F:F,"불량")</f>
        <v>0</v>
      </c>
      <c r="AX6" s="40">
        <f>SUMIFS('센터 자재 사용내역(08월)'!G:G,'센터 자재 사용내역(08월)'!E:E,'사급자재 사용내역'!C6,'센터 자재 사용내역(08월)'!F:F,"불량")</f>
        <v>0</v>
      </c>
      <c r="AY6" s="40">
        <f>SUMIFS('센터 자재 사용내역(09월)'!G:G,'센터 자재 사용내역(09월)'!E:E,'사급자재 사용내역'!C6,'센터 자재 사용내역(09월)'!F:F,"불량")</f>
        <v>0</v>
      </c>
      <c r="AZ6" s="40">
        <f>SUMIFS('센터 자재 사용내역(10월)'!G:G,'센터 자재 사용내역(10월)'!E:E,'사급자재 사용내역'!C6,'센터 자재 사용내역(10월)'!F:F,"불량")</f>
        <v>0</v>
      </c>
      <c r="BA6" s="40">
        <f>SUMIFS('센터 자재 사용내역(11월)'!G:G,'센터 자재 사용내역(11월)'!E:E,'사급자재 사용내역'!C6,'센터 자재 사용내역(11월)'!F:F,"불량")</f>
        <v>0</v>
      </c>
      <c r="BB6" s="40">
        <f>SUMIFS('센터 자재 사용내역(12월)'!G:G,'센터 자재 사용내역(12월)'!E:E,'사급자재 사용내역'!C6,'센터 자재 사용내역(12월)'!F:F,"불량")</f>
        <v>0</v>
      </c>
      <c r="BC6" s="40">
        <f t="shared" si="6"/>
        <v>0</v>
      </c>
      <c r="BD6" s="62"/>
    </row>
    <row r="7" spans="1:56" ht="19.5" customHeight="1">
      <c r="B7" s="99"/>
      <c r="C7" s="22" t="s">
        <v>11</v>
      </c>
      <c r="D7" s="64" t="s">
        <v>129</v>
      </c>
      <c r="E7" s="46">
        <v>1</v>
      </c>
      <c r="F7" s="47">
        <v>0</v>
      </c>
      <c r="G7" s="46"/>
      <c r="H7" s="78"/>
      <c r="I7" s="90">
        <f t="shared" si="4"/>
        <v>0</v>
      </c>
      <c r="J7" s="89">
        <f t="shared" si="5"/>
        <v>0</v>
      </c>
      <c r="K7" s="78">
        <f t="shared" si="7"/>
        <v>0</v>
      </c>
      <c r="L7" s="84">
        <f t="shared" si="1"/>
        <v>1</v>
      </c>
      <c r="M7" s="79">
        <f>SUMIFS('센터 자재 사용내역(01월)'!G:G,'센터 자재 사용내역(01월)'!E:E,'사급자재 사용내역'!C7,'센터 자재 사용내역(01월)'!F:F,"신규")+SUMIFS('센터 자재 사용내역(01월)'!G:G,'센터 자재 사용내역(01월)'!E:E,'사급자재 사용내역'!C7,'센터 자재 사용내역(01월)'!F:F,"교체")</f>
        <v>0</v>
      </c>
      <c r="N7" s="40">
        <f>SUMIFS('센터 자재 사용내역(02월)'!G:G,'센터 자재 사용내역(02월)'!E:E,'사급자재 사용내역'!C7,'센터 자재 사용내역(02월)'!F:F,"신규")+SUMIFS('센터 자재 사용내역(02월)'!G:G,'센터 자재 사용내역(02월)'!E:E,'사급자재 사용내역'!C7,'센터 자재 사용내역(02월)'!F:F,"교체")</f>
        <v>0</v>
      </c>
      <c r="O7" s="40">
        <f>SUMIFS('센터 자재 사용내역(03월)'!G:G,'센터 자재 사용내역(03월)'!E:E,'사급자재 사용내역'!C7,'센터 자재 사용내역(03월)'!F:F,"신규")+SUMIFS('센터 자재 사용내역(03월)'!G:G,'센터 자재 사용내역(03월)'!E:E,'사급자재 사용내역'!C7,'센터 자재 사용내역(03월)'!F:F,"교체")</f>
        <v>0</v>
      </c>
      <c r="P7" s="40">
        <f>SUMIFS('센터 자재 사용내역(04월)'!G:G,'센터 자재 사용내역(04월)'!E:E,'사급자재 사용내역'!C7,'센터 자재 사용내역(04월)'!F:F,"신규")+SUMIFS('센터 자재 사용내역(04월)'!G:G,'센터 자재 사용내역(04월)'!E:E,'사급자재 사용내역'!C7,'센터 자재 사용내역(04월)'!F:F,"교체")</f>
        <v>0</v>
      </c>
      <c r="Q7" s="40">
        <f>SUMIFS('센터 자재 사용내역(05월)'!G:G,'센터 자재 사용내역(05월)'!E:E,'사급자재 사용내역'!C7,'센터 자재 사용내역(05월)'!F:F,"신규")+SUMIFS('센터 자재 사용내역(05월)'!G:G,'센터 자재 사용내역(05월)'!E:E,'사급자재 사용내역'!C7,'센터 자재 사용내역(05월)'!F:F,"교체")</f>
        <v>0</v>
      </c>
      <c r="R7" s="40">
        <f>SUMIFS('센터 자재 사용내역(06월)'!G:G,'센터 자재 사용내역(06월)'!E:E,'사급자재 사용내역'!C7,'센터 자재 사용내역(06월)'!F:F,"신규")+SUMIFS('센터 자재 사용내역(06월)'!G:G,'센터 자재 사용내역(06월)'!E:E,'사급자재 사용내역'!C7,'센터 자재 사용내역(06월)'!F:F,"교체")</f>
        <v>0</v>
      </c>
      <c r="S7" s="40">
        <f>SUMIFS('센터 자재 사용내역(07월)'!G:G,'센터 자재 사용내역(07월)'!E:E,'사급자재 사용내역'!C7,'센터 자재 사용내역(07월)'!F:F,"신규")+SUMIFS('센터 자재 사용내역(07월)'!G:G,'센터 자재 사용내역(07월)'!E:E,'사급자재 사용내역'!C7,'센터 자재 사용내역(07월)'!F:F,"교체")</f>
        <v>0</v>
      </c>
      <c r="T7" s="40">
        <f>SUMIFS('센터 자재 사용내역(08월)'!G:G,'센터 자재 사용내역(08월)'!E:E,'사급자재 사용내역'!C7,'센터 자재 사용내역(08월)'!F:F,"신규")+SUMIFS('센터 자재 사용내역(08월)'!G:G,'센터 자재 사용내역(08월)'!E:E,'사급자재 사용내역'!C7,'센터 자재 사용내역(08월)'!F:F,"교체")</f>
        <v>0</v>
      </c>
      <c r="U7" s="40">
        <f>SUMIFS('센터 자재 사용내역(09월)'!G:G,'센터 자재 사용내역(09월)'!E:E,'사급자재 사용내역'!C7,'센터 자재 사용내역(09월)'!F:F,"신규")+SUMIFS('센터 자재 사용내역(09월)'!G:G,'센터 자재 사용내역(09월)'!E:E,'사급자재 사용내역'!C7,'센터 자재 사용내역(09월)'!F:F,"교체")</f>
        <v>0</v>
      </c>
      <c r="V7" s="40">
        <f>SUMIFS('센터 자재 사용내역(10월)'!G:G,'센터 자재 사용내역(10월)'!E:E,'사급자재 사용내역'!C7,'센터 자재 사용내역(10월)'!F:F,"신규")+SUMIFS('센터 자재 사용내역(10월)'!G:G,'센터 자재 사용내역(10월)'!E:E,'사급자재 사용내역'!C7,'센터 자재 사용내역(10월)'!F:F,"교체")</f>
        <v>0</v>
      </c>
      <c r="W7" s="40">
        <f>SUMIFS('센터 자재 사용내역(11월)'!G:G,'센터 자재 사용내역(11월)'!E:E,'사급자재 사용내역'!C7,'센터 자재 사용내역(11월)'!F:F,"신규")+SUMIFS('센터 자재 사용내역(11월)'!G:G,'센터 자재 사용내역(11월)'!E:E,'사급자재 사용내역'!C7,'센터 자재 사용내역(11월)'!F:F,"교체")</f>
        <v>0</v>
      </c>
      <c r="X7" s="40">
        <f>SUMIFS('센터 자재 사용내역(12월)'!G:G,'센터 자재 사용내역(12월)'!E:E,'사급자재 사용내역'!C7,'센터 자재 사용내역(12월)'!F:F,"신규")+SUMIFS('센터 자재 사용내역(12월)'!G:G,'센터 자재 사용내역(12월)'!E:E,'사급자재 사용내역'!C7,'센터 자재 사용내역(12월)'!F:F,"교체")</f>
        <v>0</v>
      </c>
      <c r="Y7" s="40">
        <f t="shared" si="2"/>
        <v>0</v>
      </c>
      <c r="Z7" s="52"/>
      <c r="AB7" s="56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1">
        <f t="shared" si="3"/>
        <v>0</v>
      </c>
      <c r="AO7" s="57"/>
      <c r="AQ7" s="61">
        <f>SUMIFS('센터 자재 사용내역(01월)'!G:G,'센터 자재 사용내역(01월)'!E:E,'사급자재 사용내역'!C7,'센터 자재 사용내역(01월)'!F:F,"불량")</f>
        <v>0</v>
      </c>
      <c r="AR7" s="40">
        <f>SUMIFS('센터 자재 사용내역(02월)'!G:G,'센터 자재 사용내역(02월)'!E:E,'사급자재 사용내역'!C7,'센터 자재 사용내역(02월)'!F:F,"불량")</f>
        <v>0</v>
      </c>
      <c r="AS7" s="40">
        <f>SUMIFS('센터 자재 사용내역(03월)'!G:G,'센터 자재 사용내역(03월)'!E:E,'사급자재 사용내역'!C7,'센터 자재 사용내역(03월)'!F:F,"불량")</f>
        <v>0</v>
      </c>
      <c r="AT7" s="40">
        <f>SUMIFS('센터 자재 사용내역(04월)'!G:G,'센터 자재 사용내역(04월)'!E:E,'사급자재 사용내역'!C7,'센터 자재 사용내역(04월)'!F:F,"불량")</f>
        <v>0</v>
      </c>
      <c r="AU7" s="40">
        <f>SUMIFS('센터 자재 사용내역(05월)'!G:G,'센터 자재 사용내역(05월)'!E:E,'사급자재 사용내역'!C7,'센터 자재 사용내역(05월)'!F:F,"불량")</f>
        <v>0</v>
      </c>
      <c r="AV7" s="40">
        <f>SUMIFS('센터 자재 사용내역(06월)'!G:G,'센터 자재 사용내역(06월)'!E:E,'사급자재 사용내역'!C7,'센터 자재 사용내역(06월)'!F:F,"불량")</f>
        <v>0</v>
      </c>
      <c r="AW7" s="40">
        <f>SUMIFS('센터 자재 사용내역(07월)'!G:G,'센터 자재 사용내역(07월)'!E:E,'사급자재 사용내역'!C7,'센터 자재 사용내역(07월)'!F:F,"불량")</f>
        <v>0</v>
      </c>
      <c r="AX7" s="40">
        <f>SUMIFS('센터 자재 사용내역(08월)'!G:G,'센터 자재 사용내역(08월)'!E:E,'사급자재 사용내역'!C7,'센터 자재 사용내역(08월)'!F:F,"불량")</f>
        <v>0</v>
      </c>
      <c r="AY7" s="40">
        <f>SUMIFS('센터 자재 사용내역(09월)'!G:G,'센터 자재 사용내역(09월)'!E:E,'사급자재 사용내역'!C7,'센터 자재 사용내역(09월)'!F:F,"불량")</f>
        <v>0</v>
      </c>
      <c r="AZ7" s="40">
        <f>SUMIFS('센터 자재 사용내역(10월)'!G:G,'센터 자재 사용내역(10월)'!E:E,'사급자재 사용내역'!C7,'센터 자재 사용내역(10월)'!F:F,"불량")</f>
        <v>0</v>
      </c>
      <c r="BA7" s="40">
        <f>SUMIFS('센터 자재 사용내역(11월)'!G:G,'센터 자재 사용내역(11월)'!E:E,'사급자재 사용내역'!C7,'센터 자재 사용내역(11월)'!F:F,"불량")</f>
        <v>0</v>
      </c>
      <c r="BB7" s="40">
        <f>SUMIFS('센터 자재 사용내역(12월)'!G:G,'센터 자재 사용내역(12월)'!E:E,'사급자재 사용내역'!C7,'센터 자재 사용내역(12월)'!F:F,"불량")</f>
        <v>0</v>
      </c>
      <c r="BC7" s="40">
        <f t="shared" si="6"/>
        <v>0</v>
      </c>
      <c r="BD7" s="62"/>
    </row>
    <row r="8" spans="1:56" ht="19.5" customHeight="1">
      <c r="B8" s="99"/>
      <c r="C8" s="22" t="s">
        <v>12</v>
      </c>
      <c r="D8" s="64" t="s">
        <v>130</v>
      </c>
      <c r="E8" s="46">
        <v>4</v>
      </c>
      <c r="F8" s="47">
        <v>0</v>
      </c>
      <c r="G8" s="46"/>
      <c r="H8" s="78"/>
      <c r="I8" s="90">
        <f t="shared" si="4"/>
        <v>1</v>
      </c>
      <c r="J8" s="89">
        <f t="shared" si="5"/>
        <v>1</v>
      </c>
      <c r="K8" s="78">
        <f t="shared" si="7"/>
        <v>0</v>
      </c>
      <c r="L8" s="84">
        <f t="shared" si="1"/>
        <v>3</v>
      </c>
      <c r="M8" s="79">
        <f>SUMIFS('센터 자재 사용내역(01월)'!G:G,'센터 자재 사용내역(01월)'!E:E,'사급자재 사용내역'!C8,'센터 자재 사용내역(01월)'!F:F,"신규")+SUMIFS('센터 자재 사용내역(01월)'!G:G,'센터 자재 사용내역(01월)'!E:E,'사급자재 사용내역'!C8,'센터 자재 사용내역(01월)'!F:F,"교체")</f>
        <v>0</v>
      </c>
      <c r="N8" s="40">
        <f>SUMIFS('센터 자재 사용내역(02월)'!G:G,'센터 자재 사용내역(02월)'!E:E,'사급자재 사용내역'!C8,'센터 자재 사용내역(02월)'!F:F,"신규")+SUMIFS('센터 자재 사용내역(02월)'!G:G,'센터 자재 사용내역(02월)'!E:E,'사급자재 사용내역'!C8,'센터 자재 사용내역(02월)'!F:F,"교체")</f>
        <v>0</v>
      </c>
      <c r="O8" s="40">
        <f>SUMIFS('센터 자재 사용내역(03월)'!G:G,'센터 자재 사용내역(03월)'!E:E,'사급자재 사용내역'!C8,'센터 자재 사용내역(03월)'!F:F,"신규")+SUMIFS('센터 자재 사용내역(03월)'!G:G,'센터 자재 사용내역(03월)'!E:E,'사급자재 사용내역'!C8,'센터 자재 사용내역(03월)'!F:F,"교체")</f>
        <v>0</v>
      </c>
      <c r="P8" s="40">
        <f>SUMIFS('센터 자재 사용내역(04월)'!G:G,'센터 자재 사용내역(04월)'!E:E,'사급자재 사용내역'!C8,'센터 자재 사용내역(04월)'!F:F,"신규")+SUMIFS('센터 자재 사용내역(04월)'!G:G,'센터 자재 사용내역(04월)'!E:E,'사급자재 사용내역'!C8,'센터 자재 사용내역(04월)'!F:F,"교체")</f>
        <v>0</v>
      </c>
      <c r="Q8" s="40">
        <f>SUMIFS('센터 자재 사용내역(05월)'!G:G,'센터 자재 사용내역(05월)'!E:E,'사급자재 사용내역'!C8,'센터 자재 사용내역(05월)'!F:F,"신규")+SUMIFS('센터 자재 사용내역(05월)'!G:G,'센터 자재 사용내역(05월)'!E:E,'사급자재 사용내역'!C8,'센터 자재 사용내역(05월)'!F:F,"교체")</f>
        <v>0</v>
      </c>
      <c r="R8" s="40">
        <f>SUMIFS('센터 자재 사용내역(06월)'!G:G,'센터 자재 사용내역(06월)'!E:E,'사급자재 사용내역'!C8,'센터 자재 사용내역(06월)'!F:F,"신규")+SUMIFS('센터 자재 사용내역(06월)'!G:G,'센터 자재 사용내역(06월)'!E:E,'사급자재 사용내역'!C8,'센터 자재 사용내역(06월)'!F:F,"교체")</f>
        <v>0</v>
      </c>
      <c r="S8" s="40">
        <f>SUMIFS('센터 자재 사용내역(07월)'!G:G,'센터 자재 사용내역(07월)'!E:E,'사급자재 사용내역'!C8,'센터 자재 사용내역(07월)'!F:F,"신규")+SUMIFS('센터 자재 사용내역(07월)'!G:G,'센터 자재 사용내역(07월)'!E:E,'사급자재 사용내역'!C8,'센터 자재 사용내역(07월)'!F:F,"교체")</f>
        <v>1</v>
      </c>
      <c r="T8" s="40">
        <f>SUMIFS('센터 자재 사용내역(08월)'!G:G,'센터 자재 사용내역(08월)'!E:E,'사급자재 사용내역'!C8,'센터 자재 사용내역(08월)'!F:F,"신규")+SUMIFS('센터 자재 사용내역(08월)'!G:G,'센터 자재 사용내역(08월)'!E:E,'사급자재 사용내역'!C8,'센터 자재 사용내역(08월)'!F:F,"교체")</f>
        <v>0</v>
      </c>
      <c r="U8" s="40">
        <f>SUMIFS('센터 자재 사용내역(09월)'!G:G,'센터 자재 사용내역(09월)'!E:E,'사급자재 사용내역'!C8,'센터 자재 사용내역(09월)'!F:F,"신규")+SUMIFS('센터 자재 사용내역(09월)'!G:G,'센터 자재 사용내역(09월)'!E:E,'사급자재 사용내역'!C8,'센터 자재 사용내역(09월)'!F:F,"교체")</f>
        <v>0</v>
      </c>
      <c r="V8" s="40">
        <f>SUMIFS('센터 자재 사용내역(10월)'!G:G,'센터 자재 사용내역(10월)'!E:E,'사급자재 사용내역'!C8,'센터 자재 사용내역(10월)'!F:F,"신규")+SUMIFS('센터 자재 사용내역(10월)'!G:G,'센터 자재 사용내역(10월)'!E:E,'사급자재 사용내역'!C8,'센터 자재 사용내역(10월)'!F:F,"교체")</f>
        <v>0</v>
      </c>
      <c r="W8" s="40">
        <f>SUMIFS('센터 자재 사용내역(11월)'!G:G,'센터 자재 사용내역(11월)'!E:E,'사급자재 사용내역'!C8,'센터 자재 사용내역(11월)'!F:F,"신규")+SUMIFS('센터 자재 사용내역(11월)'!G:G,'센터 자재 사용내역(11월)'!E:E,'사급자재 사용내역'!C8,'센터 자재 사용내역(11월)'!F:F,"교체")</f>
        <v>0</v>
      </c>
      <c r="X8" s="40">
        <f>SUMIFS('센터 자재 사용내역(12월)'!G:G,'센터 자재 사용내역(12월)'!E:E,'사급자재 사용내역'!C8,'센터 자재 사용내역(12월)'!F:F,"신규")+SUMIFS('센터 자재 사용내역(12월)'!G:G,'센터 자재 사용내역(12월)'!E:E,'사급자재 사용내역'!C8,'센터 자재 사용내역(12월)'!F:F,"교체")</f>
        <v>0</v>
      </c>
      <c r="Y8" s="40">
        <f t="shared" si="2"/>
        <v>1</v>
      </c>
      <c r="Z8" s="52"/>
      <c r="AB8" s="56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1">
        <f t="shared" si="3"/>
        <v>0</v>
      </c>
      <c r="AO8" s="57"/>
      <c r="AQ8" s="61">
        <f>SUMIFS('센터 자재 사용내역(01월)'!G:G,'센터 자재 사용내역(01월)'!E:E,'사급자재 사용내역'!C8,'센터 자재 사용내역(01월)'!F:F,"불량")</f>
        <v>0</v>
      </c>
      <c r="AR8" s="40">
        <f>SUMIFS('센터 자재 사용내역(02월)'!G:G,'센터 자재 사용내역(02월)'!E:E,'사급자재 사용내역'!C8,'센터 자재 사용내역(02월)'!F:F,"불량")</f>
        <v>0</v>
      </c>
      <c r="AS8" s="40">
        <f>SUMIFS('센터 자재 사용내역(03월)'!G:G,'센터 자재 사용내역(03월)'!E:E,'사급자재 사용내역'!C8,'센터 자재 사용내역(03월)'!F:F,"불량")</f>
        <v>0</v>
      </c>
      <c r="AT8" s="40">
        <f>SUMIFS('센터 자재 사용내역(04월)'!G:G,'센터 자재 사용내역(04월)'!E:E,'사급자재 사용내역'!C8,'센터 자재 사용내역(04월)'!F:F,"불량")</f>
        <v>0</v>
      </c>
      <c r="AU8" s="40">
        <f>SUMIFS('센터 자재 사용내역(05월)'!G:G,'센터 자재 사용내역(05월)'!E:E,'사급자재 사용내역'!C8,'센터 자재 사용내역(05월)'!F:F,"불량")</f>
        <v>0</v>
      </c>
      <c r="AV8" s="40">
        <f>SUMIFS('센터 자재 사용내역(06월)'!G:G,'센터 자재 사용내역(06월)'!E:E,'사급자재 사용내역'!C8,'센터 자재 사용내역(06월)'!F:F,"불량")</f>
        <v>0</v>
      </c>
      <c r="AW8" s="40">
        <f>SUMIFS('센터 자재 사용내역(07월)'!G:G,'센터 자재 사용내역(07월)'!E:E,'사급자재 사용내역'!C8,'센터 자재 사용내역(07월)'!F:F,"불량")</f>
        <v>1</v>
      </c>
      <c r="AX8" s="40">
        <f>SUMIFS('센터 자재 사용내역(08월)'!G:G,'센터 자재 사용내역(08월)'!E:E,'사급자재 사용내역'!C8,'센터 자재 사용내역(08월)'!F:F,"불량")</f>
        <v>0</v>
      </c>
      <c r="AY8" s="40">
        <f>SUMIFS('센터 자재 사용내역(09월)'!G:G,'센터 자재 사용내역(09월)'!E:E,'사급자재 사용내역'!C8,'센터 자재 사용내역(09월)'!F:F,"불량")</f>
        <v>0</v>
      </c>
      <c r="AZ8" s="40">
        <f>SUMIFS('센터 자재 사용내역(10월)'!G:G,'센터 자재 사용내역(10월)'!E:E,'사급자재 사용내역'!C8,'센터 자재 사용내역(10월)'!F:F,"불량")</f>
        <v>0</v>
      </c>
      <c r="BA8" s="40">
        <f>SUMIFS('센터 자재 사용내역(11월)'!G:G,'센터 자재 사용내역(11월)'!E:E,'사급자재 사용내역'!C8,'센터 자재 사용내역(11월)'!F:F,"불량")</f>
        <v>0</v>
      </c>
      <c r="BB8" s="40">
        <f>SUMIFS('센터 자재 사용내역(12월)'!G:G,'센터 자재 사용내역(12월)'!E:E,'사급자재 사용내역'!C8,'센터 자재 사용내역(12월)'!F:F,"불량")</f>
        <v>0</v>
      </c>
      <c r="BC8" s="40">
        <f t="shared" si="6"/>
        <v>1</v>
      </c>
      <c r="BD8" s="62"/>
    </row>
    <row r="9" spans="1:56" ht="19.5" customHeight="1">
      <c r="B9" s="99"/>
      <c r="C9" s="22" t="s">
        <v>13</v>
      </c>
      <c r="D9" s="64" t="s">
        <v>129</v>
      </c>
      <c r="E9" s="46">
        <v>2</v>
      </c>
      <c r="F9" s="47">
        <v>0</v>
      </c>
      <c r="G9" s="46"/>
      <c r="H9" s="78"/>
      <c r="I9" s="90">
        <f t="shared" si="4"/>
        <v>0</v>
      </c>
      <c r="J9" s="89">
        <f t="shared" si="5"/>
        <v>0</v>
      </c>
      <c r="K9" s="78">
        <f t="shared" si="7"/>
        <v>0</v>
      </c>
      <c r="L9" s="84">
        <f t="shared" si="1"/>
        <v>2</v>
      </c>
      <c r="M9" s="79">
        <f>SUMIFS('센터 자재 사용내역(01월)'!G:G,'센터 자재 사용내역(01월)'!E:E,'사급자재 사용내역'!C9,'센터 자재 사용내역(01월)'!F:F,"신규")+SUMIFS('센터 자재 사용내역(01월)'!G:G,'센터 자재 사용내역(01월)'!E:E,'사급자재 사용내역'!C9,'센터 자재 사용내역(01월)'!F:F,"교체")</f>
        <v>0</v>
      </c>
      <c r="N9" s="40">
        <f>SUMIFS('센터 자재 사용내역(02월)'!G:G,'센터 자재 사용내역(02월)'!E:E,'사급자재 사용내역'!C9,'센터 자재 사용내역(02월)'!F:F,"신규")+SUMIFS('센터 자재 사용내역(02월)'!G:G,'센터 자재 사용내역(02월)'!E:E,'사급자재 사용내역'!C9,'센터 자재 사용내역(02월)'!F:F,"교체")</f>
        <v>0</v>
      </c>
      <c r="O9" s="40">
        <f>SUMIFS('센터 자재 사용내역(03월)'!G:G,'센터 자재 사용내역(03월)'!E:E,'사급자재 사용내역'!C9,'센터 자재 사용내역(03월)'!F:F,"신규")+SUMIFS('센터 자재 사용내역(03월)'!G:G,'센터 자재 사용내역(03월)'!E:E,'사급자재 사용내역'!C9,'센터 자재 사용내역(03월)'!F:F,"교체")</f>
        <v>0</v>
      </c>
      <c r="P9" s="40">
        <f>SUMIFS('센터 자재 사용내역(04월)'!G:G,'센터 자재 사용내역(04월)'!E:E,'사급자재 사용내역'!C9,'센터 자재 사용내역(04월)'!F:F,"신규")+SUMIFS('센터 자재 사용내역(04월)'!G:G,'센터 자재 사용내역(04월)'!E:E,'사급자재 사용내역'!C9,'센터 자재 사용내역(04월)'!F:F,"교체")</f>
        <v>0</v>
      </c>
      <c r="Q9" s="40">
        <f>SUMIFS('센터 자재 사용내역(05월)'!G:G,'센터 자재 사용내역(05월)'!E:E,'사급자재 사용내역'!C9,'센터 자재 사용내역(05월)'!F:F,"신규")+SUMIFS('센터 자재 사용내역(05월)'!G:G,'센터 자재 사용내역(05월)'!E:E,'사급자재 사용내역'!C9,'센터 자재 사용내역(05월)'!F:F,"교체")</f>
        <v>0</v>
      </c>
      <c r="R9" s="40">
        <f>SUMIFS('센터 자재 사용내역(06월)'!G:G,'센터 자재 사용내역(06월)'!E:E,'사급자재 사용내역'!C9,'센터 자재 사용내역(06월)'!F:F,"신규")+SUMIFS('센터 자재 사용내역(06월)'!G:G,'센터 자재 사용내역(06월)'!E:E,'사급자재 사용내역'!C9,'센터 자재 사용내역(06월)'!F:F,"교체")</f>
        <v>0</v>
      </c>
      <c r="S9" s="40">
        <f>SUMIFS('센터 자재 사용내역(07월)'!G:G,'센터 자재 사용내역(07월)'!E:E,'사급자재 사용내역'!C9,'센터 자재 사용내역(07월)'!F:F,"신규")+SUMIFS('센터 자재 사용내역(07월)'!G:G,'센터 자재 사용내역(07월)'!E:E,'사급자재 사용내역'!C9,'센터 자재 사용내역(07월)'!F:F,"교체")</f>
        <v>0</v>
      </c>
      <c r="T9" s="40">
        <f>SUMIFS('센터 자재 사용내역(08월)'!G:G,'센터 자재 사용내역(08월)'!E:E,'사급자재 사용내역'!C9,'센터 자재 사용내역(08월)'!F:F,"신규")+SUMIFS('센터 자재 사용내역(08월)'!G:G,'센터 자재 사용내역(08월)'!E:E,'사급자재 사용내역'!C9,'센터 자재 사용내역(08월)'!F:F,"교체")</f>
        <v>0</v>
      </c>
      <c r="U9" s="40">
        <f>SUMIFS('센터 자재 사용내역(09월)'!G:G,'센터 자재 사용내역(09월)'!E:E,'사급자재 사용내역'!C9,'센터 자재 사용내역(09월)'!F:F,"신규")+SUMIFS('센터 자재 사용내역(09월)'!G:G,'센터 자재 사용내역(09월)'!E:E,'사급자재 사용내역'!C9,'센터 자재 사용내역(09월)'!F:F,"교체")</f>
        <v>0</v>
      </c>
      <c r="V9" s="40">
        <f>SUMIFS('센터 자재 사용내역(10월)'!G:G,'센터 자재 사용내역(10월)'!E:E,'사급자재 사용내역'!C9,'센터 자재 사용내역(10월)'!F:F,"신규")+SUMIFS('센터 자재 사용내역(10월)'!G:G,'센터 자재 사용내역(10월)'!E:E,'사급자재 사용내역'!C9,'센터 자재 사용내역(10월)'!F:F,"교체")</f>
        <v>0</v>
      </c>
      <c r="W9" s="40">
        <f>SUMIFS('센터 자재 사용내역(11월)'!G:G,'센터 자재 사용내역(11월)'!E:E,'사급자재 사용내역'!C9,'센터 자재 사용내역(11월)'!F:F,"신규")+SUMIFS('센터 자재 사용내역(11월)'!G:G,'센터 자재 사용내역(11월)'!E:E,'사급자재 사용내역'!C9,'센터 자재 사용내역(11월)'!F:F,"교체")</f>
        <v>0</v>
      </c>
      <c r="X9" s="40">
        <f>SUMIFS('센터 자재 사용내역(12월)'!G:G,'센터 자재 사용내역(12월)'!E:E,'사급자재 사용내역'!C9,'센터 자재 사용내역(12월)'!F:F,"신규")+SUMIFS('센터 자재 사용내역(12월)'!G:G,'센터 자재 사용내역(12월)'!E:E,'사급자재 사용내역'!C9,'센터 자재 사용내역(12월)'!F:F,"교체")</f>
        <v>0</v>
      </c>
      <c r="Y9" s="40">
        <f t="shared" si="2"/>
        <v>0</v>
      </c>
      <c r="Z9" s="52"/>
      <c r="AB9" s="56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1">
        <f t="shared" si="3"/>
        <v>0</v>
      </c>
      <c r="AO9" s="57"/>
      <c r="AQ9" s="61">
        <f>SUMIFS('센터 자재 사용내역(01월)'!G:G,'센터 자재 사용내역(01월)'!E:E,'사급자재 사용내역'!C9,'센터 자재 사용내역(01월)'!F:F,"불량")</f>
        <v>0</v>
      </c>
      <c r="AR9" s="40">
        <f>SUMIFS('센터 자재 사용내역(02월)'!G:G,'센터 자재 사용내역(02월)'!E:E,'사급자재 사용내역'!C9,'센터 자재 사용내역(02월)'!F:F,"불량")</f>
        <v>0</v>
      </c>
      <c r="AS9" s="40">
        <f>SUMIFS('센터 자재 사용내역(03월)'!G:G,'센터 자재 사용내역(03월)'!E:E,'사급자재 사용내역'!C9,'센터 자재 사용내역(03월)'!F:F,"불량")</f>
        <v>0</v>
      </c>
      <c r="AT9" s="40">
        <f>SUMIFS('센터 자재 사용내역(04월)'!G:G,'센터 자재 사용내역(04월)'!E:E,'사급자재 사용내역'!C9,'센터 자재 사용내역(04월)'!F:F,"불량")</f>
        <v>0</v>
      </c>
      <c r="AU9" s="40">
        <f>SUMIFS('센터 자재 사용내역(05월)'!G:G,'센터 자재 사용내역(05월)'!E:E,'사급자재 사용내역'!C9,'센터 자재 사용내역(05월)'!F:F,"불량")</f>
        <v>0</v>
      </c>
      <c r="AV9" s="40">
        <f>SUMIFS('센터 자재 사용내역(06월)'!G:G,'센터 자재 사용내역(06월)'!E:E,'사급자재 사용내역'!C9,'센터 자재 사용내역(06월)'!F:F,"불량")</f>
        <v>0</v>
      </c>
      <c r="AW9" s="40">
        <f>SUMIFS('센터 자재 사용내역(07월)'!G:G,'센터 자재 사용내역(07월)'!E:E,'사급자재 사용내역'!C9,'센터 자재 사용내역(07월)'!F:F,"불량")</f>
        <v>0</v>
      </c>
      <c r="AX9" s="40">
        <f>SUMIFS('센터 자재 사용내역(08월)'!G:G,'센터 자재 사용내역(08월)'!E:E,'사급자재 사용내역'!C9,'센터 자재 사용내역(08월)'!F:F,"불량")</f>
        <v>0</v>
      </c>
      <c r="AY9" s="40">
        <f>SUMIFS('센터 자재 사용내역(09월)'!G:G,'센터 자재 사용내역(09월)'!E:E,'사급자재 사용내역'!C9,'센터 자재 사용내역(09월)'!F:F,"불량")</f>
        <v>0</v>
      </c>
      <c r="AZ9" s="40">
        <f>SUMIFS('센터 자재 사용내역(10월)'!G:G,'센터 자재 사용내역(10월)'!E:E,'사급자재 사용내역'!C9,'센터 자재 사용내역(10월)'!F:F,"불량")</f>
        <v>0</v>
      </c>
      <c r="BA9" s="40">
        <f>SUMIFS('센터 자재 사용내역(11월)'!G:G,'센터 자재 사용내역(11월)'!E:E,'사급자재 사용내역'!C9,'센터 자재 사용내역(11월)'!F:F,"불량")</f>
        <v>0</v>
      </c>
      <c r="BB9" s="40">
        <f>SUMIFS('센터 자재 사용내역(12월)'!G:G,'센터 자재 사용내역(12월)'!E:E,'사급자재 사용내역'!C9,'센터 자재 사용내역(12월)'!F:F,"불량")</f>
        <v>0</v>
      </c>
      <c r="BC9" s="40">
        <f t="shared" si="6"/>
        <v>0</v>
      </c>
      <c r="BD9" s="62"/>
    </row>
    <row r="10" spans="1:56" ht="19.5" customHeight="1">
      <c r="B10" s="99"/>
      <c r="C10" s="22" t="s">
        <v>1321</v>
      </c>
      <c r="D10" s="64" t="s">
        <v>129</v>
      </c>
      <c r="E10" s="46">
        <v>3</v>
      </c>
      <c r="F10" s="47">
        <v>0</v>
      </c>
      <c r="G10" s="46"/>
      <c r="H10" s="78"/>
      <c r="I10" s="90">
        <f t="shared" si="4"/>
        <v>0</v>
      </c>
      <c r="J10" s="89">
        <f t="shared" si="5"/>
        <v>1</v>
      </c>
      <c r="K10" s="78">
        <f t="shared" si="7"/>
        <v>0</v>
      </c>
      <c r="L10" s="84">
        <f t="shared" si="1"/>
        <v>2</v>
      </c>
      <c r="M10" s="79">
        <f>SUMIFS('센터 자재 사용내역(01월)'!G:G,'센터 자재 사용내역(01월)'!E:E,'사급자재 사용내역'!C10,'센터 자재 사용내역(01월)'!F:F,"신규")+SUMIFS('센터 자재 사용내역(01월)'!G:G,'센터 자재 사용내역(01월)'!E:E,'사급자재 사용내역'!C10,'센터 자재 사용내역(01월)'!F:F,"교체")</f>
        <v>0</v>
      </c>
      <c r="N10" s="40">
        <f>SUMIFS('센터 자재 사용내역(02월)'!G:G,'센터 자재 사용내역(02월)'!E:E,'사급자재 사용내역'!C10,'센터 자재 사용내역(02월)'!F:F,"신규")+SUMIFS('센터 자재 사용내역(02월)'!G:G,'센터 자재 사용내역(02월)'!E:E,'사급자재 사용내역'!C10,'센터 자재 사용내역(02월)'!F:F,"교체")</f>
        <v>0</v>
      </c>
      <c r="O10" s="40">
        <f>SUMIFS('센터 자재 사용내역(03월)'!G:G,'센터 자재 사용내역(03월)'!E:E,'사급자재 사용내역'!C10,'센터 자재 사용내역(03월)'!F:F,"신규")+SUMIFS('센터 자재 사용내역(03월)'!G:G,'센터 자재 사용내역(03월)'!E:E,'사급자재 사용내역'!C10,'센터 자재 사용내역(03월)'!F:F,"교체")</f>
        <v>0</v>
      </c>
      <c r="P10" s="40">
        <f>SUMIFS('센터 자재 사용내역(04월)'!G:G,'센터 자재 사용내역(04월)'!E:E,'사급자재 사용내역'!C10,'센터 자재 사용내역(04월)'!F:F,"신규")+SUMIFS('센터 자재 사용내역(04월)'!G:G,'센터 자재 사용내역(04월)'!E:E,'사급자재 사용내역'!C10,'센터 자재 사용내역(04월)'!F:F,"교체")</f>
        <v>0</v>
      </c>
      <c r="Q10" s="40">
        <f>SUMIFS('센터 자재 사용내역(05월)'!G:G,'센터 자재 사용내역(05월)'!E:E,'사급자재 사용내역'!C10,'센터 자재 사용내역(05월)'!F:F,"신규")+SUMIFS('센터 자재 사용내역(05월)'!G:G,'센터 자재 사용내역(05월)'!E:E,'사급자재 사용내역'!C10,'센터 자재 사용내역(05월)'!F:F,"교체")</f>
        <v>1</v>
      </c>
      <c r="R10" s="40">
        <f>SUMIFS('센터 자재 사용내역(06월)'!G:G,'센터 자재 사용내역(06월)'!E:E,'사급자재 사용내역'!C10,'센터 자재 사용내역(06월)'!F:F,"신규")+SUMIFS('센터 자재 사용내역(06월)'!G:G,'센터 자재 사용내역(06월)'!E:E,'사급자재 사용내역'!C10,'센터 자재 사용내역(06월)'!F:F,"교체")</f>
        <v>0</v>
      </c>
      <c r="S10" s="40">
        <f>SUMIFS('센터 자재 사용내역(07월)'!G:G,'센터 자재 사용내역(07월)'!E:E,'사급자재 사용내역'!C10,'센터 자재 사용내역(07월)'!F:F,"신규")+SUMIFS('센터 자재 사용내역(07월)'!G:G,'센터 자재 사용내역(07월)'!E:E,'사급자재 사용내역'!C10,'센터 자재 사용내역(07월)'!F:F,"교체")</f>
        <v>0</v>
      </c>
      <c r="T10" s="40">
        <f>SUMIFS('센터 자재 사용내역(08월)'!G:G,'센터 자재 사용내역(08월)'!E:E,'사급자재 사용내역'!C10,'센터 자재 사용내역(08월)'!F:F,"신규")+SUMIFS('센터 자재 사용내역(08월)'!G:G,'센터 자재 사용내역(08월)'!E:E,'사급자재 사용내역'!C10,'센터 자재 사용내역(08월)'!F:F,"교체")</f>
        <v>0</v>
      </c>
      <c r="U10" s="40">
        <f>SUMIFS('센터 자재 사용내역(09월)'!G:G,'센터 자재 사용내역(09월)'!E:E,'사급자재 사용내역'!C10,'센터 자재 사용내역(09월)'!F:F,"신규")+SUMIFS('센터 자재 사용내역(09월)'!G:G,'센터 자재 사용내역(09월)'!E:E,'사급자재 사용내역'!C10,'센터 자재 사용내역(09월)'!F:F,"교체")</f>
        <v>0</v>
      </c>
      <c r="V10" s="40">
        <f>SUMIFS('센터 자재 사용내역(10월)'!G:G,'센터 자재 사용내역(10월)'!E:E,'사급자재 사용내역'!C10,'센터 자재 사용내역(10월)'!F:F,"신규")+SUMIFS('센터 자재 사용내역(10월)'!G:G,'센터 자재 사용내역(10월)'!E:E,'사급자재 사용내역'!C10,'센터 자재 사용내역(10월)'!F:F,"교체")</f>
        <v>0</v>
      </c>
      <c r="W10" s="40">
        <f>SUMIFS('센터 자재 사용내역(11월)'!G:G,'센터 자재 사용내역(11월)'!E:E,'사급자재 사용내역'!C10,'센터 자재 사용내역(11월)'!F:F,"신규")+SUMIFS('센터 자재 사용내역(11월)'!G:G,'센터 자재 사용내역(11월)'!E:E,'사급자재 사용내역'!C10,'센터 자재 사용내역(11월)'!F:F,"교체")</f>
        <v>0</v>
      </c>
      <c r="X10" s="40">
        <f>SUMIFS('센터 자재 사용내역(12월)'!G:G,'센터 자재 사용내역(12월)'!E:E,'사급자재 사용내역'!C10,'센터 자재 사용내역(12월)'!F:F,"신규")+SUMIFS('센터 자재 사용내역(12월)'!G:G,'센터 자재 사용내역(12월)'!E:E,'사급자재 사용내역'!C10,'센터 자재 사용내역(12월)'!F:F,"교체")</f>
        <v>0</v>
      </c>
      <c r="Y10" s="40">
        <f t="shared" si="2"/>
        <v>1</v>
      </c>
      <c r="Z10" s="52"/>
      <c r="AB10" s="56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1">
        <f t="shared" si="3"/>
        <v>0</v>
      </c>
      <c r="AO10" s="57"/>
      <c r="AQ10" s="61">
        <f>SUMIFS('센터 자재 사용내역(01월)'!G:G,'센터 자재 사용내역(01월)'!E:E,'사급자재 사용내역'!C10,'센터 자재 사용내역(01월)'!F:F,"불량")</f>
        <v>0</v>
      </c>
      <c r="AR10" s="40">
        <f>SUMIFS('센터 자재 사용내역(02월)'!G:G,'센터 자재 사용내역(02월)'!E:E,'사급자재 사용내역'!C10,'센터 자재 사용내역(02월)'!F:F,"불량")</f>
        <v>0</v>
      </c>
      <c r="AS10" s="40">
        <f>SUMIFS('센터 자재 사용내역(03월)'!G:G,'센터 자재 사용내역(03월)'!E:E,'사급자재 사용내역'!C10,'센터 자재 사용내역(03월)'!F:F,"불량")</f>
        <v>0</v>
      </c>
      <c r="AT10" s="40">
        <f>SUMIFS('센터 자재 사용내역(04월)'!G:G,'센터 자재 사용내역(04월)'!E:E,'사급자재 사용내역'!C10,'센터 자재 사용내역(04월)'!F:F,"불량")</f>
        <v>0</v>
      </c>
      <c r="AU10" s="40">
        <f>SUMIFS('센터 자재 사용내역(05월)'!G:G,'센터 자재 사용내역(05월)'!E:E,'사급자재 사용내역'!C10,'센터 자재 사용내역(05월)'!F:F,"불량")</f>
        <v>0</v>
      </c>
      <c r="AV10" s="40">
        <f>SUMIFS('센터 자재 사용내역(06월)'!G:G,'센터 자재 사용내역(06월)'!E:E,'사급자재 사용내역'!C10,'센터 자재 사용내역(06월)'!F:F,"불량")</f>
        <v>0</v>
      </c>
      <c r="AW10" s="40">
        <f>SUMIFS('센터 자재 사용내역(07월)'!G:G,'센터 자재 사용내역(07월)'!E:E,'사급자재 사용내역'!C10,'센터 자재 사용내역(07월)'!F:F,"불량")</f>
        <v>0</v>
      </c>
      <c r="AX10" s="40">
        <f>SUMIFS('센터 자재 사용내역(08월)'!G:G,'센터 자재 사용내역(08월)'!E:E,'사급자재 사용내역'!C10,'센터 자재 사용내역(08월)'!F:F,"불량")</f>
        <v>0</v>
      </c>
      <c r="AY10" s="40">
        <f>SUMIFS('센터 자재 사용내역(09월)'!G:G,'센터 자재 사용내역(09월)'!E:E,'사급자재 사용내역'!C10,'센터 자재 사용내역(09월)'!F:F,"불량")</f>
        <v>0</v>
      </c>
      <c r="AZ10" s="40">
        <f>SUMIFS('센터 자재 사용내역(10월)'!G:G,'센터 자재 사용내역(10월)'!E:E,'사급자재 사용내역'!C10,'센터 자재 사용내역(10월)'!F:F,"불량")</f>
        <v>0</v>
      </c>
      <c r="BA10" s="40">
        <f>SUMIFS('센터 자재 사용내역(11월)'!G:G,'센터 자재 사용내역(11월)'!E:E,'사급자재 사용내역'!C10,'센터 자재 사용내역(11월)'!F:F,"불량")</f>
        <v>0</v>
      </c>
      <c r="BB10" s="40">
        <f>SUMIFS('센터 자재 사용내역(12월)'!G:G,'센터 자재 사용내역(12월)'!E:E,'사급자재 사용내역'!C10,'센터 자재 사용내역(12월)'!F:F,"불량")</f>
        <v>0</v>
      </c>
      <c r="BC10" s="40">
        <f t="shared" si="6"/>
        <v>0</v>
      </c>
      <c r="BD10" s="62"/>
    </row>
    <row r="11" spans="1:56" ht="19.5" customHeight="1">
      <c r="B11" s="99"/>
      <c r="C11" s="22" t="s">
        <v>112</v>
      </c>
      <c r="D11" s="64" t="s">
        <v>129</v>
      </c>
      <c r="E11" s="46">
        <v>3</v>
      </c>
      <c r="F11" s="47">
        <v>0</v>
      </c>
      <c r="G11" s="46"/>
      <c r="H11" s="78"/>
      <c r="I11" s="90">
        <f t="shared" si="4"/>
        <v>0</v>
      </c>
      <c r="J11" s="89">
        <f t="shared" si="5"/>
        <v>0</v>
      </c>
      <c r="K11" s="78">
        <f t="shared" si="7"/>
        <v>0</v>
      </c>
      <c r="L11" s="84">
        <f t="shared" si="1"/>
        <v>3</v>
      </c>
      <c r="M11" s="79">
        <f>SUMIFS('센터 자재 사용내역(01월)'!G:G,'센터 자재 사용내역(01월)'!E:E,'사급자재 사용내역'!C11,'센터 자재 사용내역(01월)'!F:F,"신규")+SUMIFS('센터 자재 사용내역(01월)'!G:G,'센터 자재 사용내역(01월)'!E:E,'사급자재 사용내역'!C11,'센터 자재 사용내역(01월)'!F:F,"교체")</f>
        <v>0</v>
      </c>
      <c r="N11" s="40">
        <f>SUMIFS('센터 자재 사용내역(02월)'!G:G,'센터 자재 사용내역(02월)'!E:E,'사급자재 사용내역'!C11,'센터 자재 사용내역(02월)'!F:F,"신규")+SUMIFS('센터 자재 사용내역(02월)'!G:G,'센터 자재 사용내역(02월)'!E:E,'사급자재 사용내역'!C11,'센터 자재 사용내역(02월)'!F:F,"교체")</f>
        <v>0</v>
      </c>
      <c r="O11" s="40">
        <f>SUMIFS('센터 자재 사용내역(03월)'!G:G,'센터 자재 사용내역(03월)'!E:E,'사급자재 사용내역'!C11,'센터 자재 사용내역(03월)'!F:F,"신규")+SUMIFS('센터 자재 사용내역(03월)'!G:G,'센터 자재 사용내역(03월)'!E:E,'사급자재 사용내역'!C11,'센터 자재 사용내역(03월)'!F:F,"교체")</f>
        <v>0</v>
      </c>
      <c r="P11" s="40">
        <f>SUMIFS('센터 자재 사용내역(04월)'!G:G,'센터 자재 사용내역(04월)'!E:E,'사급자재 사용내역'!C11,'센터 자재 사용내역(04월)'!F:F,"신규")+SUMIFS('센터 자재 사용내역(04월)'!G:G,'센터 자재 사용내역(04월)'!E:E,'사급자재 사용내역'!C11,'센터 자재 사용내역(04월)'!F:F,"교체")</f>
        <v>0</v>
      </c>
      <c r="Q11" s="40">
        <f>SUMIFS('센터 자재 사용내역(05월)'!G:G,'센터 자재 사용내역(05월)'!E:E,'사급자재 사용내역'!C11,'센터 자재 사용내역(05월)'!F:F,"신규")+SUMIFS('센터 자재 사용내역(05월)'!G:G,'센터 자재 사용내역(05월)'!E:E,'사급자재 사용내역'!C11,'센터 자재 사용내역(05월)'!F:F,"교체")</f>
        <v>0</v>
      </c>
      <c r="R11" s="40">
        <f>SUMIFS('센터 자재 사용내역(06월)'!G:G,'센터 자재 사용내역(06월)'!E:E,'사급자재 사용내역'!C11,'센터 자재 사용내역(06월)'!F:F,"신규")+SUMIFS('센터 자재 사용내역(06월)'!G:G,'센터 자재 사용내역(06월)'!E:E,'사급자재 사용내역'!C11,'센터 자재 사용내역(06월)'!F:F,"교체")</f>
        <v>0</v>
      </c>
      <c r="S11" s="40">
        <f>SUMIFS('센터 자재 사용내역(07월)'!G:G,'센터 자재 사용내역(07월)'!E:E,'사급자재 사용내역'!C11,'센터 자재 사용내역(07월)'!F:F,"신규")+SUMIFS('센터 자재 사용내역(07월)'!G:G,'센터 자재 사용내역(07월)'!E:E,'사급자재 사용내역'!C11,'센터 자재 사용내역(07월)'!F:F,"교체")</f>
        <v>0</v>
      </c>
      <c r="T11" s="40">
        <f>SUMIFS('센터 자재 사용내역(08월)'!G:G,'센터 자재 사용내역(08월)'!E:E,'사급자재 사용내역'!C11,'센터 자재 사용내역(08월)'!F:F,"신규")+SUMIFS('센터 자재 사용내역(08월)'!G:G,'센터 자재 사용내역(08월)'!E:E,'사급자재 사용내역'!C11,'센터 자재 사용내역(08월)'!F:F,"교체")</f>
        <v>0</v>
      </c>
      <c r="U11" s="40">
        <f>SUMIFS('센터 자재 사용내역(09월)'!G:G,'센터 자재 사용내역(09월)'!E:E,'사급자재 사용내역'!C11,'센터 자재 사용내역(09월)'!F:F,"신규")+SUMIFS('센터 자재 사용내역(09월)'!G:G,'센터 자재 사용내역(09월)'!E:E,'사급자재 사용내역'!C11,'센터 자재 사용내역(09월)'!F:F,"교체")</f>
        <v>0</v>
      </c>
      <c r="V11" s="40">
        <f>SUMIFS('센터 자재 사용내역(10월)'!G:G,'센터 자재 사용내역(10월)'!E:E,'사급자재 사용내역'!C11,'센터 자재 사용내역(10월)'!F:F,"신규")+SUMIFS('센터 자재 사용내역(10월)'!G:G,'센터 자재 사용내역(10월)'!E:E,'사급자재 사용내역'!C11,'센터 자재 사용내역(10월)'!F:F,"교체")</f>
        <v>0</v>
      </c>
      <c r="W11" s="40">
        <f>SUMIFS('센터 자재 사용내역(11월)'!G:G,'센터 자재 사용내역(11월)'!E:E,'사급자재 사용내역'!C11,'센터 자재 사용내역(11월)'!F:F,"신규")+SUMIFS('센터 자재 사용내역(11월)'!G:G,'센터 자재 사용내역(11월)'!E:E,'사급자재 사용내역'!C11,'센터 자재 사용내역(11월)'!F:F,"교체")</f>
        <v>0</v>
      </c>
      <c r="X11" s="40">
        <f>SUMIFS('센터 자재 사용내역(12월)'!G:G,'센터 자재 사용내역(12월)'!E:E,'사급자재 사용내역'!C11,'센터 자재 사용내역(12월)'!F:F,"신규")+SUMIFS('센터 자재 사용내역(12월)'!G:G,'센터 자재 사용내역(12월)'!E:E,'사급자재 사용내역'!C11,'센터 자재 사용내역(12월)'!F:F,"교체")</f>
        <v>0</v>
      </c>
      <c r="Y11" s="40">
        <f t="shared" si="2"/>
        <v>0</v>
      </c>
      <c r="Z11" s="52"/>
      <c r="AB11" s="56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1">
        <f t="shared" si="3"/>
        <v>0</v>
      </c>
      <c r="AO11" s="57"/>
      <c r="AQ11" s="61">
        <f>SUMIFS('센터 자재 사용내역(01월)'!G:G,'센터 자재 사용내역(01월)'!E:E,'사급자재 사용내역'!C11,'센터 자재 사용내역(01월)'!F:F,"불량")</f>
        <v>0</v>
      </c>
      <c r="AR11" s="40">
        <f>SUMIFS('센터 자재 사용내역(02월)'!G:G,'센터 자재 사용내역(02월)'!E:E,'사급자재 사용내역'!C11,'센터 자재 사용내역(02월)'!F:F,"불량")</f>
        <v>0</v>
      </c>
      <c r="AS11" s="40">
        <f>SUMIFS('센터 자재 사용내역(03월)'!G:G,'센터 자재 사용내역(03월)'!E:E,'사급자재 사용내역'!C11,'센터 자재 사용내역(03월)'!F:F,"불량")</f>
        <v>0</v>
      </c>
      <c r="AT11" s="40">
        <f>SUMIFS('센터 자재 사용내역(04월)'!G:G,'센터 자재 사용내역(04월)'!E:E,'사급자재 사용내역'!C11,'센터 자재 사용내역(04월)'!F:F,"불량")</f>
        <v>0</v>
      </c>
      <c r="AU11" s="40">
        <f>SUMIFS('센터 자재 사용내역(05월)'!G:G,'센터 자재 사용내역(05월)'!E:E,'사급자재 사용내역'!C11,'센터 자재 사용내역(05월)'!F:F,"불량")</f>
        <v>0</v>
      </c>
      <c r="AV11" s="40">
        <f>SUMIFS('센터 자재 사용내역(06월)'!G:G,'센터 자재 사용내역(06월)'!E:E,'사급자재 사용내역'!C11,'센터 자재 사용내역(06월)'!F:F,"불량")</f>
        <v>0</v>
      </c>
      <c r="AW11" s="40">
        <f>SUMIFS('센터 자재 사용내역(07월)'!G:G,'센터 자재 사용내역(07월)'!E:E,'사급자재 사용내역'!C11,'센터 자재 사용내역(07월)'!F:F,"불량")</f>
        <v>0</v>
      </c>
      <c r="AX11" s="40">
        <f>SUMIFS('센터 자재 사용내역(08월)'!G:G,'센터 자재 사용내역(08월)'!E:E,'사급자재 사용내역'!C11,'센터 자재 사용내역(08월)'!F:F,"불량")</f>
        <v>0</v>
      </c>
      <c r="AY11" s="40">
        <f>SUMIFS('센터 자재 사용내역(09월)'!G:G,'센터 자재 사용내역(09월)'!E:E,'사급자재 사용내역'!C11,'센터 자재 사용내역(09월)'!F:F,"불량")</f>
        <v>0</v>
      </c>
      <c r="AZ11" s="40">
        <f>SUMIFS('센터 자재 사용내역(10월)'!G:G,'센터 자재 사용내역(10월)'!E:E,'사급자재 사용내역'!C11,'센터 자재 사용내역(10월)'!F:F,"불량")</f>
        <v>0</v>
      </c>
      <c r="BA11" s="40">
        <f>SUMIFS('센터 자재 사용내역(11월)'!G:G,'센터 자재 사용내역(11월)'!E:E,'사급자재 사용내역'!C11,'센터 자재 사용내역(11월)'!F:F,"불량")</f>
        <v>0</v>
      </c>
      <c r="BB11" s="40">
        <f>SUMIFS('센터 자재 사용내역(12월)'!G:G,'센터 자재 사용내역(12월)'!E:E,'사급자재 사용내역'!C11,'센터 자재 사용내역(12월)'!F:F,"불량")</f>
        <v>0</v>
      </c>
      <c r="BC11" s="40">
        <f t="shared" si="6"/>
        <v>0</v>
      </c>
      <c r="BD11" s="62"/>
    </row>
    <row r="12" spans="1:56" ht="19.5" customHeight="1">
      <c r="B12" s="99"/>
      <c r="C12" s="22" t="s">
        <v>15</v>
      </c>
      <c r="D12" s="64" t="s">
        <v>129</v>
      </c>
      <c r="E12" s="46">
        <v>0</v>
      </c>
      <c r="F12" s="47">
        <v>0</v>
      </c>
      <c r="G12" s="46"/>
      <c r="H12" s="78"/>
      <c r="I12" s="90">
        <f t="shared" si="4"/>
        <v>0</v>
      </c>
      <c r="J12" s="89">
        <f t="shared" si="5"/>
        <v>0</v>
      </c>
      <c r="K12" s="78">
        <f t="shared" si="7"/>
        <v>0</v>
      </c>
      <c r="L12" s="84">
        <f t="shared" si="1"/>
        <v>0</v>
      </c>
      <c r="M12" s="79">
        <f>SUMIFS('센터 자재 사용내역(01월)'!G:G,'센터 자재 사용내역(01월)'!E:E,'사급자재 사용내역'!C12,'센터 자재 사용내역(01월)'!F:F,"신규")+SUMIFS('센터 자재 사용내역(01월)'!G:G,'센터 자재 사용내역(01월)'!E:E,'사급자재 사용내역'!C12,'센터 자재 사용내역(01월)'!F:F,"교체")</f>
        <v>0</v>
      </c>
      <c r="N12" s="40">
        <f>SUMIFS('센터 자재 사용내역(02월)'!G:G,'센터 자재 사용내역(02월)'!E:E,'사급자재 사용내역'!C12,'센터 자재 사용내역(02월)'!F:F,"신규")+SUMIFS('센터 자재 사용내역(02월)'!G:G,'센터 자재 사용내역(02월)'!E:E,'사급자재 사용내역'!C12,'센터 자재 사용내역(02월)'!F:F,"교체")</f>
        <v>0</v>
      </c>
      <c r="O12" s="40">
        <f>SUMIFS('센터 자재 사용내역(03월)'!G:G,'센터 자재 사용내역(03월)'!E:E,'사급자재 사용내역'!C12,'센터 자재 사용내역(03월)'!F:F,"신규")+SUMIFS('센터 자재 사용내역(03월)'!G:G,'센터 자재 사용내역(03월)'!E:E,'사급자재 사용내역'!C12,'센터 자재 사용내역(03월)'!F:F,"교체")</f>
        <v>0</v>
      </c>
      <c r="P12" s="40">
        <f>SUMIFS('센터 자재 사용내역(04월)'!G:G,'센터 자재 사용내역(04월)'!E:E,'사급자재 사용내역'!C12,'센터 자재 사용내역(04월)'!F:F,"신규")+SUMIFS('센터 자재 사용내역(04월)'!G:G,'센터 자재 사용내역(04월)'!E:E,'사급자재 사용내역'!C12,'센터 자재 사용내역(04월)'!F:F,"교체")</f>
        <v>0</v>
      </c>
      <c r="Q12" s="40">
        <f>SUMIFS('센터 자재 사용내역(05월)'!G:G,'센터 자재 사용내역(05월)'!E:E,'사급자재 사용내역'!C12,'센터 자재 사용내역(05월)'!F:F,"신규")+SUMIFS('센터 자재 사용내역(05월)'!G:G,'센터 자재 사용내역(05월)'!E:E,'사급자재 사용내역'!C12,'센터 자재 사용내역(05월)'!F:F,"교체")</f>
        <v>0</v>
      </c>
      <c r="R12" s="40">
        <f>SUMIFS('센터 자재 사용내역(06월)'!G:G,'센터 자재 사용내역(06월)'!E:E,'사급자재 사용내역'!C12,'센터 자재 사용내역(06월)'!F:F,"신규")+SUMIFS('센터 자재 사용내역(06월)'!G:G,'센터 자재 사용내역(06월)'!E:E,'사급자재 사용내역'!C12,'센터 자재 사용내역(06월)'!F:F,"교체")</f>
        <v>0</v>
      </c>
      <c r="S12" s="40">
        <f>SUMIFS('센터 자재 사용내역(07월)'!G:G,'센터 자재 사용내역(07월)'!E:E,'사급자재 사용내역'!C12,'센터 자재 사용내역(07월)'!F:F,"신규")+SUMIFS('센터 자재 사용내역(07월)'!G:G,'센터 자재 사용내역(07월)'!E:E,'사급자재 사용내역'!C12,'센터 자재 사용내역(07월)'!F:F,"교체")</f>
        <v>0</v>
      </c>
      <c r="T12" s="40">
        <f>SUMIFS('센터 자재 사용내역(08월)'!G:G,'센터 자재 사용내역(08월)'!E:E,'사급자재 사용내역'!C12,'센터 자재 사용내역(08월)'!F:F,"신규")+SUMIFS('센터 자재 사용내역(08월)'!G:G,'센터 자재 사용내역(08월)'!E:E,'사급자재 사용내역'!C12,'센터 자재 사용내역(08월)'!F:F,"교체")</f>
        <v>0</v>
      </c>
      <c r="U12" s="40">
        <f>SUMIFS('센터 자재 사용내역(09월)'!G:G,'센터 자재 사용내역(09월)'!E:E,'사급자재 사용내역'!C12,'센터 자재 사용내역(09월)'!F:F,"신규")+SUMIFS('센터 자재 사용내역(09월)'!G:G,'센터 자재 사용내역(09월)'!E:E,'사급자재 사용내역'!C12,'센터 자재 사용내역(09월)'!F:F,"교체")</f>
        <v>0</v>
      </c>
      <c r="V12" s="40">
        <f>SUMIFS('센터 자재 사용내역(10월)'!G:G,'센터 자재 사용내역(10월)'!E:E,'사급자재 사용내역'!C12,'센터 자재 사용내역(10월)'!F:F,"신규")+SUMIFS('센터 자재 사용내역(10월)'!G:G,'센터 자재 사용내역(10월)'!E:E,'사급자재 사용내역'!C12,'센터 자재 사용내역(10월)'!F:F,"교체")</f>
        <v>0</v>
      </c>
      <c r="W12" s="40">
        <f>SUMIFS('센터 자재 사용내역(11월)'!G:G,'센터 자재 사용내역(11월)'!E:E,'사급자재 사용내역'!C12,'센터 자재 사용내역(11월)'!F:F,"신규")+SUMIFS('센터 자재 사용내역(11월)'!G:G,'센터 자재 사용내역(11월)'!E:E,'사급자재 사용내역'!C12,'센터 자재 사용내역(11월)'!F:F,"교체")</f>
        <v>0</v>
      </c>
      <c r="X12" s="40">
        <f>SUMIFS('센터 자재 사용내역(12월)'!G:G,'센터 자재 사용내역(12월)'!E:E,'사급자재 사용내역'!C12,'센터 자재 사용내역(12월)'!F:F,"신규")+SUMIFS('센터 자재 사용내역(12월)'!G:G,'센터 자재 사용내역(12월)'!E:E,'사급자재 사용내역'!C12,'센터 자재 사용내역(12월)'!F:F,"교체")</f>
        <v>0</v>
      </c>
      <c r="Y12" s="40">
        <f t="shared" si="2"/>
        <v>0</v>
      </c>
      <c r="Z12" s="52"/>
      <c r="AB12" s="56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1">
        <f t="shared" si="3"/>
        <v>0</v>
      </c>
      <c r="AO12" s="57"/>
      <c r="AQ12" s="61">
        <f>SUMIFS('센터 자재 사용내역(01월)'!G:G,'센터 자재 사용내역(01월)'!E:E,'사급자재 사용내역'!C12,'센터 자재 사용내역(01월)'!F:F,"불량")</f>
        <v>0</v>
      </c>
      <c r="AR12" s="40">
        <f>SUMIFS('센터 자재 사용내역(02월)'!G:G,'센터 자재 사용내역(02월)'!E:E,'사급자재 사용내역'!C12,'센터 자재 사용내역(02월)'!F:F,"불량")</f>
        <v>0</v>
      </c>
      <c r="AS12" s="40">
        <f>SUMIFS('센터 자재 사용내역(03월)'!G:G,'센터 자재 사용내역(03월)'!E:E,'사급자재 사용내역'!C12,'센터 자재 사용내역(03월)'!F:F,"불량")</f>
        <v>0</v>
      </c>
      <c r="AT12" s="40">
        <f>SUMIFS('센터 자재 사용내역(04월)'!G:G,'센터 자재 사용내역(04월)'!E:E,'사급자재 사용내역'!C12,'센터 자재 사용내역(04월)'!F:F,"불량")</f>
        <v>0</v>
      </c>
      <c r="AU12" s="40">
        <f>SUMIFS('센터 자재 사용내역(05월)'!G:G,'센터 자재 사용내역(05월)'!E:E,'사급자재 사용내역'!C12,'센터 자재 사용내역(05월)'!F:F,"불량")</f>
        <v>0</v>
      </c>
      <c r="AV12" s="40">
        <f>SUMIFS('센터 자재 사용내역(06월)'!G:G,'센터 자재 사용내역(06월)'!E:E,'사급자재 사용내역'!C12,'센터 자재 사용내역(06월)'!F:F,"불량")</f>
        <v>0</v>
      </c>
      <c r="AW12" s="40">
        <f>SUMIFS('센터 자재 사용내역(07월)'!G:G,'센터 자재 사용내역(07월)'!E:E,'사급자재 사용내역'!C12,'센터 자재 사용내역(07월)'!F:F,"불량")</f>
        <v>0</v>
      </c>
      <c r="AX12" s="40">
        <f>SUMIFS('센터 자재 사용내역(08월)'!G:G,'센터 자재 사용내역(08월)'!E:E,'사급자재 사용내역'!C12,'센터 자재 사용내역(08월)'!F:F,"불량")</f>
        <v>0</v>
      </c>
      <c r="AY12" s="40">
        <f>SUMIFS('센터 자재 사용내역(09월)'!G:G,'센터 자재 사용내역(09월)'!E:E,'사급자재 사용내역'!C12,'센터 자재 사용내역(09월)'!F:F,"불량")</f>
        <v>0</v>
      </c>
      <c r="AZ12" s="40">
        <f>SUMIFS('센터 자재 사용내역(10월)'!G:G,'센터 자재 사용내역(10월)'!E:E,'사급자재 사용내역'!C12,'센터 자재 사용내역(10월)'!F:F,"불량")</f>
        <v>0</v>
      </c>
      <c r="BA12" s="40">
        <f>SUMIFS('센터 자재 사용내역(11월)'!G:G,'센터 자재 사용내역(11월)'!E:E,'사급자재 사용내역'!C12,'센터 자재 사용내역(11월)'!F:F,"불량")</f>
        <v>0</v>
      </c>
      <c r="BB12" s="40">
        <f>SUMIFS('센터 자재 사용내역(12월)'!G:G,'센터 자재 사용내역(12월)'!E:E,'사급자재 사용내역'!C12,'센터 자재 사용내역(12월)'!F:F,"불량")</f>
        <v>0</v>
      </c>
      <c r="BC12" s="40">
        <f t="shared" si="6"/>
        <v>0</v>
      </c>
      <c r="BD12" s="62"/>
    </row>
    <row r="13" spans="1:56" ht="19.5" customHeight="1">
      <c r="B13" s="99"/>
      <c r="C13" s="22" t="s">
        <v>147</v>
      </c>
      <c r="D13" s="64" t="s">
        <v>131</v>
      </c>
      <c r="E13" s="46">
        <v>2</v>
      </c>
      <c r="F13" s="47">
        <v>0</v>
      </c>
      <c r="G13" s="46"/>
      <c r="H13" s="78">
        <v>4</v>
      </c>
      <c r="I13" s="90">
        <f t="shared" si="4"/>
        <v>1</v>
      </c>
      <c r="J13" s="89">
        <f t="shared" si="5"/>
        <v>1</v>
      </c>
      <c r="K13" s="78">
        <f t="shared" si="7"/>
        <v>8</v>
      </c>
      <c r="L13" s="84">
        <f t="shared" si="1"/>
        <v>9</v>
      </c>
      <c r="M13" s="79">
        <f>SUMIFS('센터 자재 사용내역(01월)'!G:G,'센터 자재 사용내역(01월)'!E:E,'사급자재 사용내역'!C13,'센터 자재 사용내역(01월)'!F:F,"신규")+SUMIFS('센터 자재 사용내역(01월)'!G:G,'센터 자재 사용내역(01월)'!E:E,'사급자재 사용내역'!C13,'센터 자재 사용내역(01월)'!F:F,"교체")</f>
        <v>0</v>
      </c>
      <c r="N13" s="40">
        <f>SUMIFS('센터 자재 사용내역(02월)'!G:G,'센터 자재 사용내역(02월)'!E:E,'사급자재 사용내역'!C13,'센터 자재 사용내역(02월)'!F:F,"신규")+SUMIFS('센터 자재 사용내역(02월)'!G:G,'센터 자재 사용내역(02월)'!E:E,'사급자재 사용내역'!C13,'센터 자재 사용내역(02월)'!F:F,"교체")</f>
        <v>0</v>
      </c>
      <c r="O13" s="40">
        <f>SUMIFS('센터 자재 사용내역(03월)'!G:G,'센터 자재 사용내역(03월)'!E:E,'사급자재 사용내역'!C13,'센터 자재 사용내역(03월)'!F:F,"신규")+SUMIFS('센터 자재 사용내역(03월)'!G:G,'센터 자재 사용내역(03월)'!E:E,'사급자재 사용내역'!C13,'센터 자재 사용내역(03월)'!F:F,"교체")</f>
        <v>0</v>
      </c>
      <c r="P13" s="40">
        <f>SUMIFS('센터 자재 사용내역(04월)'!G:G,'센터 자재 사용내역(04월)'!E:E,'사급자재 사용내역'!C13,'센터 자재 사용내역(04월)'!F:F,"신규")+SUMIFS('센터 자재 사용내역(04월)'!G:G,'센터 자재 사용내역(04월)'!E:E,'사급자재 사용내역'!C13,'센터 자재 사용내역(04월)'!F:F,"교체")</f>
        <v>0</v>
      </c>
      <c r="Q13" s="40">
        <f>SUMIFS('센터 자재 사용내역(05월)'!G:G,'센터 자재 사용내역(05월)'!E:E,'사급자재 사용내역'!C13,'센터 자재 사용내역(05월)'!F:F,"신규")+SUMIFS('센터 자재 사용내역(05월)'!G:G,'센터 자재 사용내역(05월)'!E:E,'사급자재 사용내역'!C13,'센터 자재 사용내역(05월)'!F:F,"교체")</f>
        <v>0</v>
      </c>
      <c r="R13" s="40">
        <f>SUMIFS('센터 자재 사용내역(06월)'!G:G,'센터 자재 사용내역(06월)'!E:E,'사급자재 사용내역'!C13,'센터 자재 사용내역(06월)'!F:F,"신규")+SUMIFS('센터 자재 사용내역(06월)'!G:G,'센터 자재 사용내역(06월)'!E:E,'사급자재 사용내역'!C13,'센터 자재 사용내역(06월)'!F:F,"교체")</f>
        <v>0</v>
      </c>
      <c r="S13" s="40">
        <f>SUMIFS('센터 자재 사용내역(07월)'!G:G,'센터 자재 사용내역(07월)'!E:E,'사급자재 사용내역'!C13,'센터 자재 사용내역(07월)'!F:F,"신규")+SUMIFS('센터 자재 사용내역(07월)'!G:G,'센터 자재 사용내역(07월)'!E:E,'사급자재 사용내역'!C13,'센터 자재 사용내역(07월)'!F:F,"교체")</f>
        <v>1</v>
      </c>
      <c r="T13" s="40">
        <f>SUMIFS('센터 자재 사용내역(08월)'!G:G,'센터 자재 사용내역(08월)'!E:E,'사급자재 사용내역'!C13,'센터 자재 사용내역(08월)'!F:F,"신규")+SUMIFS('센터 자재 사용내역(08월)'!G:G,'센터 자재 사용내역(08월)'!E:E,'사급자재 사용내역'!C13,'센터 자재 사용내역(08월)'!F:F,"교체")</f>
        <v>0</v>
      </c>
      <c r="U13" s="40">
        <f>SUMIFS('센터 자재 사용내역(09월)'!G:G,'센터 자재 사용내역(09월)'!E:E,'사급자재 사용내역'!C13,'센터 자재 사용내역(09월)'!F:F,"신규")+SUMIFS('센터 자재 사용내역(09월)'!G:G,'센터 자재 사용내역(09월)'!E:E,'사급자재 사용내역'!C13,'센터 자재 사용내역(09월)'!F:F,"교체")</f>
        <v>0</v>
      </c>
      <c r="V13" s="40">
        <f>SUMIFS('센터 자재 사용내역(10월)'!G:G,'센터 자재 사용내역(10월)'!E:E,'사급자재 사용내역'!C13,'센터 자재 사용내역(10월)'!F:F,"신규")+SUMIFS('센터 자재 사용내역(10월)'!G:G,'센터 자재 사용내역(10월)'!E:E,'사급자재 사용내역'!C13,'센터 자재 사용내역(10월)'!F:F,"교체")</f>
        <v>0</v>
      </c>
      <c r="W13" s="40">
        <f>SUMIFS('센터 자재 사용내역(11월)'!G:G,'센터 자재 사용내역(11월)'!E:E,'사급자재 사용내역'!C13,'센터 자재 사용내역(11월)'!F:F,"신규")+SUMIFS('센터 자재 사용내역(11월)'!G:G,'센터 자재 사용내역(11월)'!E:E,'사급자재 사용내역'!C13,'센터 자재 사용내역(11월)'!F:F,"교체")</f>
        <v>0</v>
      </c>
      <c r="X13" s="40">
        <f>SUMIFS('센터 자재 사용내역(12월)'!G:G,'센터 자재 사용내역(12월)'!E:E,'사급자재 사용내역'!C13,'센터 자재 사용내역(12월)'!F:F,"신규")+SUMIFS('센터 자재 사용내역(12월)'!G:G,'센터 자재 사용내역(12월)'!E:E,'사급자재 사용내역'!C13,'센터 자재 사용내역(12월)'!F:F,"교체")</f>
        <v>0</v>
      </c>
      <c r="Y13" s="40">
        <f t="shared" si="2"/>
        <v>1</v>
      </c>
      <c r="Z13" s="52"/>
      <c r="AB13" s="56"/>
      <c r="AC13" s="29"/>
      <c r="AD13" s="29"/>
      <c r="AE13" s="29">
        <v>3</v>
      </c>
      <c r="AF13" s="29"/>
      <c r="AG13" s="29"/>
      <c r="AH13" s="29"/>
      <c r="AI13" s="29">
        <v>5</v>
      </c>
      <c r="AJ13" s="29"/>
      <c r="AK13" s="29"/>
      <c r="AL13" s="29"/>
      <c r="AM13" s="29"/>
      <c r="AN13" s="21">
        <f t="shared" si="3"/>
        <v>8</v>
      </c>
      <c r="AO13" s="57"/>
      <c r="AQ13" s="61">
        <f>SUMIFS('센터 자재 사용내역(01월)'!G:G,'센터 자재 사용내역(01월)'!E:E,'사급자재 사용내역'!C13,'센터 자재 사용내역(01월)'!F:F,"불량")</f>
        <v>0</v>
      </c>
      <c r="AR13" s="40">
        <f>SUMIFS('센터 자재 사용내역(02월)'!G:G,'센터 자재 사용내역(02월)'!E:E,'사급자재 사용내역'!C13,'센터 자재 사용내역(02월)'!F:F,"불량")</f>
        <v>1</v>
      </c>
      <c r="AS13" s="40">
        <f>SUMIFS('센터 자재 사용내역(03월)'!G:G,'센터 자재 사용내역(03월)'!E:E,'사급자재 사용내역'!C13,'센터 자재 사용내역(03월)'!F:F,"불량")</f>
        <v>0</v>
      </c>
      <c r="AT13" s="40">
        <f>SUMIFS('센터 자재 사용내역(04월)'!G:G,'센터 자재 사용내역(04월)'!E:E,'사급자재 사용내역'!C13,'센터 자재 사용내역(04월)'!F:F,"불량")</f>
        <v>0</v>
      </c>
      <c r="AU13" s="40">
        <f>SUMIFS('센터 자재 사용내역(05월)'!G:G,'센터 자재 사용내역(05월)'!E:E,'사급자재 사용내역'!C13,'센터 자재 사용내역(05월)'!F:F,"불량")</f>
        <v>0</v>
      </c>
      <c r="AV13" s="40">
        <f>SUMIFS('센터 자재 사용내역(06월)'!G:G,'센터 자재 사용내역(06월)'!E:E,'사급자재 사용내역'!C13,'센터 자재 사용내역(06월)'!F:F,"불량")</f>
        <v>3</v>
      </c>
      <c r="AW13" s="40">
        <f>SUMIFS('센터 자재 사용내역(07월)'!G:G,'센터 자재 사용내역(07월)'!E:E,'사급자재 사용내역'!C13,'센터 자재 사용내역(07월)'!F:F,"불량")</f>
        <v>1</v>
      </c>
      <c r="AX13" s="40">
        <f>SUMIFS('센터 자재 사용내역(08월)'!G:G,'센터 자재 사용내역(08월)'!E:E,'사급자재 사용내역'!C13,'센터 자재 사용내역(08월)'!F:F,"불량")</f>
        <v>0</v>
      </c>
      <c r="AY13" s="40">
        <f>SUMIFS('센터 자재 사용내역(09월)'!G:G,'센터 자재 사용내역(09월)'!E:E,'사급자재 사용내역'!C13,'센터 자재 사용내역(09월)'!F:F,"불량")</f>
        <v>0</v>
      </c>
      <c r="AZ13" s="40">
        <f>SUMIFS('센터 자재 사용내역(10월)'!G:G,'센터 자재 사용내역(10월)'!E:E,'사급자재 사용내역'!C13,'센터 자재 사용내역(10월)'!F:F,"불량")</f>
        <v>0</v>
      </c>
      <c r="BA13" s="40">
        <f>SUMIFS('센터 자재 사용내역(11월)'!G:G,'센터 자재 사용내역(11월)'!E:E,'사급자재 사용내역'!C13,'센터 자재 사용내역(11월)'!F:F,"불량")</f>
        <v>0</v>
      </c>
      <c r="BB13" s="40">
        <f>SUMIFS('센터 자재 사용내역(12월)'!G:G,'센터 자재 사용내역(12월)'!E:E,'사급자재 사용내역'!C13,'센터 자재 사용내역(12월)'!F:F,"불량")</f>
        <v>0</v>
      </c>
      <c r="BC13" s="40">
        <f t="shared" si="6"/>
        <v>5</v>
      </c>
      <c r="BD13" s="62"/>
    </row>
    <row r="14" spans="1:56" ht="19.5" customHeight="1">
      <c r="B14" s="99"/>
      <c r="C14" s="22" t="s">
        <v>17</v>
      </c>
      <c r="D14" s="64" t="s">
        <v>131</v>
      </c>
      <c r="E14" s="46">
        <v>2</v>
      </c>
      <c r="F14" s="47">
        <v>0</v>
      </c>
      <c r="G14" s="46"/>
      <c r="H14" s="78">
        <v>1</v>
      </c>
      <c r="I14" s="90">
        <f t="shared" si="4"/>
        <v>2</v>
      </c>
      <c r="J14" s="89">
        <f t="shared" si="5"/>
        <v>0</v>
      </c>
      <c r="K14" s="78">
        <f t="shared" si="7"/>
        <v>0</v>
      </c>
      <c r="L14" s="84">
        <f t="shared" si="1"/>
        <v>2</v>
      </c>
      <c r="M14" s="79">
        <f>SUMIFS('센터 자재 사용내역(01월)'!G:G,'센터 자재 사용내역(01월)'!E:E,'사급자재 사용내역'!C14,'센터 자재 사용내역(01월)'!F:F,"신규")+SUMIFS('센터 자재 사용내역(01월)'!G:G,'센터 자재 사용내역(01월)'!E:E,'사급자재 사용내역'!C14,'센터 자재 사용내역(01월)'!F:F,"교체")</f>
        <v>0</v>
      </c>
      <c r="N14" s="40">
        <f>SUMIFS('센터 자재 사용내역(02월)'!G:G,'센터 자재 사용내역(02월)'!E:E,'사급자재 사용내역'!C14,'센터 자재 사용내역(02월)'!F:F,"신규")+SUMIFS('센터 자재 사용내역(02월)'!G:G,'센터 자재 사용내역(02월)'!E:E,'사급자재 사용내역'!C14,'센터 자재 사용내역(02월)'!F:F,"교체")</f>
        <v>0</v>
      </c>
      <c r="O14" s="40">
        <f>SUMIFS('센터 자재 사용내역(03월)'!G:G,'센터 자재 사용내역(03월)'!E:E,'사급자재 사용내역'!C14,'센터 자재 사용내역(03월)'!F:F,"신규")+SUMIFS('센터 자재 사용내역(03월)'!G:G,'센터 자재 사용내역(03월)'!E:E,'사급자재 사용내역'!C14,'센터 자재 사용내역(03월)'!F:F,"교체")</f>
        <v>0</v>
      </c>
      <c r="P14" s="40">
        <f>SUMIFS('센터 자재 사용내역(04월)'!G:G,'센터 자재 사용내역(04월)'!E:E,'사급자재 사용내역'!C14,'센터 자재 사용내역(04월)'!F:F,"신규")+SUMIFS('센터 자재 사용내역(04월)'!G:G,'센터 자재 사용내역(04월)'!E:E,'사급자재 사용내역'!C14,'센터 자재 사용내역(04월)'!F:F,"교체")</f>
        <v>0</v>
      </c>
      <c r="Q14" s="40">
        <f>SUMIFS('센터 자재 사용내역(05월)'!G:G,'센터 자재 사용내역(05월)'!E:E,'사급자재 사용내역'!C14,'센터 자재 사용내역(05월)'!F:F,"신규")+SUMIFS('센터 자재 사용내역(05월)'!G:G,'센터 자재 사용내역(05월)'!E:E,'사급자재 사용내역'!C14,'센터 자재 사용내역(05월)'!F:F,"교체")</f>
        <v>0</v>
      </c>
      <c r="R14" s="40">
        <f>SUMIFS('센터 자재 사용내역(06월)'!G:G,'센터 자재 사용내역(06월)'!E:E,'사급자재 사용내역'!C14,'센터 자재 사용내역(06월)'!F:F,"신규")+SUMIFS('센터 자재 사용내역(06월)'!G:G,'센터 자재 사용내역(06월)'!E:E,'사급자재 사용내역'!C14,'센터 자재 사용내역(06월)'!F:F,"교체")</f>
        <v>0</v>
      </c>
      <c r="S14" s="40">
        <f>SUMIFS('센터 자재 사용내역(07월)'!G:G,'센터 자재 사용내역(07월)'!E:E,'사급자재 사용내역'!C14,'센터 자재 사용내역(07월)'!F:F,"신규")+SUMIFS('센터 자재 사용내역(07월)'!G:G,'센터 자재 사용내역(07월)'!E:E,'사급자재 사용내역'!C14,'센터 자재 사용내역(07월)'!F:F,"교체")</f>
        <v>0</v>
      </c>
      <c r="T14" s="40">
        <f>SUMIFS('센터 자재 사용내역(08월)'!G:G,'센터 자재 사용내역(08월)'!E:E,'사급자재 사용내역'!C14,'센터 자재 사용내역(08월)'!F:F,"신규")+SUMIFS('센터 자재 사용내역(08월)'!G:G,'센터 자재 사용내역(08월)'!E:E,'사급자재 사용내역'!C14,'센터 자재 사용내역(08월)'!F:F,"교체")</f>
        <v>0</v>
      </c>
      <c r="U14" s="40">
        <f>SUMIFS('센터 자재 사용내역(09월)'!G:G,'센터 자재 사용내역(09월)'!E:E,'사급자재 사용내역'!C14,'센터 자재 사용내역(09월)'!F:F,"신규")+SUMIFS('센터 자재 사용내역(09월)'!G:G,'센터 자재 사용내역(09월)'!E:E,'사급자재 사용내역'!C14,'센터 자재 사용내역(09월)'!F:F,"교체")</f>
        <v>0</v>
      </c>
      <c r="V14" s="40">
        <f>SUMIFS('센터 자재 사용내역(10월)'!G:G,'센터 자재 사용내역(10월)'!E:E,'사급자재 사용내역'!C14,'센터 자재 사용내역(10월)'!F:F,"신규")+SUMIFS('센터 자재 사용내역(10월)'!G:G,'센터 자재 사용내역(10월)'!E:E,'사급자재 사용내역'!C14,'센터 자재 사용내역(10월)'!F:F,"교체")</f>
        <v>0</v>
      </c>
      <c r="W14" s="40">
        <f>SUMIFS('센터 자재 사용내역(11월)'!G:G,'센터 자재 사용내역(11월)'!E:E,'사급자재 사용내역'!C14,'센터 자재 사용내역(11월)'!F:F,"신규")+SUMIFS('센터 자재 사용내역(11월)'!G:G,'센터 자재 사용내역(11월)'!E:E,'사급자재 사용내역'!C14,'센터 자재 사용내역(11월)'!F:F,"교체")</f>
        <v>0</v>
      </c>
      <c r="X14" s="40">
        <f>SUMIFS('센터 자재 사용내역(12월)'!G:G,'센터 자재 사용내역(12월)'!E:E,'사급자재 사용내역'!C14,'센터 자재 사용내역(12월)'!F:F,"신규")+SUMIFS('센터 자재 사용내역(12월)'!G:G,'센터 자재 사용내역(12월)'!E:E,'사급자재 사용내역'!C14,'센터 자재 사용내역(12월)'!F:F,"교체")</f>
        <v>0</v>
      </c>
      <c r="Y14" s="40">
        <f t="shared" si="2"/>
        <v>0</v>
      </c>
      <c r="Z14" s="52"/>
      <c r="AB14" s="56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1">
        <f t="shared" si="3"/>
        <v>0</v>
      </c>
      <c r="AO14" s="57"/>
      <c r="AQ14" s="61">
        <f>SUMIFS('센터 자재 사용내역(01월)'!G:G,'센터 자재 사용내역(01월)'!E:E,'사급자재 사용내역'!C14,'센터 자재 사용내역(01월)'!F:F,"불량")</f>
        <v>1</v>
      </c>
      <c r="AR14" s="40">
        <f>SUMIFS('센터 자재 사용내역(02월)'!G:G,'센터 자재 사용내역(02월)'!E:E,'사급자재 사용내역'!C14,'센터 자재 사용내역(02월)'!F:F,"불량")</f>
        <v>0</v>
      </c>
      <c r="AS14" s="40">
        <f>SUMIFS('센터 자재 사용내역(03월)'!G:G,'센터 자재 사용내역(03월)'!E:E,'사급자재 사용내역'!C14,'센터 자재 사용내역(03월)'!F:F,"불량")</f>
        <v>0</v>
      </c>
      <c r="AT14" s="40">
        <f>SUMIFS('센터 자재 사용내역(04월)'!G:G,'센터 자재 사용내역(04월)'!E:E,'사급자재 사용내역'!C14,'센터 자재 사용내역(04월)'!F:F,"불량")</f>
        <v>0</v>
      </c>
      <c r="AU14" s="40">
        <f>SUMIFS('센터 자재 사용내역(05월)'!G:G,'센터 자재 사용내역(05월)'!E:E,'사급자재 사용내역'!C14,'센터 자재 사용내역(05월)'!F:F,"불량")</f>
        <v>0</v>
      </c>
      <c r="AV14" s="40">
        <f>SUMIFS('센터 자재 사용내역(06월)'!G:G,'센터 자재 사용내역(06월)'!E:E,'사급자재 사용내역'!C14,'센터 자재 사용내역(06월)'!F:F,"불량")</f>
        <v>0</v>
      </c>
      <c r="AW14" s="40">
        <f>SUMIFS('센터 자재 사용내역(07월)'!G:G,'센터 자재 사용내역(07월)'!E:E,'사급자재 사용내역'!C14,'센터 자재 사용내역(07월)'!F:F,"불량")</f>
        <v>1</v>
      </c>
      <c r="AX14" s="40">
        <f>SUMIFS('센터 자재 사용내역(08월)'!G:G,'센터 자재 사용내역(08월)'!E:E,'사급자재 사용내역'!C14,'센터 자재 사용내역(08월)'!F:F,"불량")</f>
        <v>1</v>
      </c>
      <c r="AY14" s="40">
        <f>SUMIFS('센터 자재 사용내역(09월)'!G:G,'센터 자재 사용내역(09월)'!E:E,'사급자재 사용내역'!C14,'센터 자재 사용내역(09월)'!F:F,"불량")</f>
        <v>0</v>
      </c>
      <c r="AZ14" s="40">
        <f>SUMIFS('센터 자재 사용내역(10월)'!G:G,'센터 자재 사용내역(10월)'!E:E,'사급자재 사용내역'!C14,'센터 자재 사용내역(10월)'!F:F,"불량")</f>
        <v>0</v>
      </c>
      <c r="BA14" s="40">
        <f>SUMIFS('센터 자재 사용내역(11월)'!G:G,'센터 자재 사용내역(11월)'!E:E,'사급자재 사용내역'!C14,'센터 자재 사용내역(11월)'!F:F,"불량")</f>
        <v>0</v>
      </c>
      <c r="BB14" s="40">
        <f>SUMIFS('센터 자재 사용내역(12월)'!G:G,'센터 자재 사용내역(12월)'!E:E,'사급자재 사용내역'!C14,'센터 자재 사용내역(12월)'!F:F,"불량")</f>
        <v>0</v>
      </c>
      <c r="BC14" s="40">
        <f t="shared" si="6"/>
        <v>3</v>
      </c>
      <c r="BD14" s="62"/>
    </row>
    <row r="15" spans="1:56" ht="19.5" customHeight="1">
      <c r="B15" s="99"/>
      <c r="C15" s="22" t="s">
        <v>16</v>
      </c>
      <c r="D15" s="64" t="s">
        <v>129</v>
      </c>
      <c r="E15" s="46">
        <v>13</v>
      </c>
      <c r="F15" s="47">
        <v>3</v>
      </c>
      <c r="G15" s="46"/>
      <c r="H15" s="78">
        <v>3</v>
      </c>
      <c r="I15" s="90">
        <f t="shared" si="4"/>
        <v>1</v>
      </c>
      <c r="J15" s="89">
        <f t="shared" si="5"/>
        <v>12</v>
      </c>
      <c r="K15" s="78">
        <f t="shared" si="7"/>
        <v>9</v>
      </c>
      <c r="L15" s="84">
        <f t="shared" si="1"/>
        <v>10</v>
      </c>
      <c r="M15" s="79">
        <f>SUMIFS('센터 자재 사용내역(01월)'!G:G,'센터 자재 사용내역(01월)'!E:E,'사급자재 사용내역'!C15,'센터 자재 사용내역(01월)'!F:F,"신규")+SUMIFS('센터 자재 사용내역(01월)'!G:G,'센터 자재 사용내역(01월)'!E:E,'사급자재 사용내역'!C15,'센터 자재 사용내역(01월)'!F:F,"교체")</f>
        <v>0</v>
      </c>
      <c r="N15" s="40">
        <f>SUMIFS('센터 자재 사용내역(02월)'!G:G,'센터 자재 사용내역(02월)'!E:E,'사급자재 사용내역'!C15,'센터 자재 사용내역(02월)'!F:F,"신규")+SUMIFS('센터 자재 사용내역(02월)'!G:G,'센터 자재 사용내역(02월)'!E:E,'사급자재 사용내역'!C15,'센터 자재 사용내역(02월)'!F:F,"교체")</f>
        <v>3</v>
      </c>
      <c r="O15" s="40">
        <f>SUMIFS('센터 자재 사용내역(03월)'!G:G,'센터 자재 사용내역(03월)'!E:E,'사급자재 사용내역'!C15,'센터 자재 사용내역(03월)'!F:F,"신규")+SUMIFS('센터 자재 사용내역(03월)'!G:G,'센터 자재 사용내역(03월)'!E:E,'사급자재 사용내역'!C15,'센터 자재 사용내역(03월)'!F:F,"교체")</f>
        <v>1</v>
      </c>
      <c r="P15" s="40">
        <f>SUMIFS('센터 자재 사용내역(04월)'!G:G,'센터 자재 사용내역(04월)'!E:E,'사급자재 사용내역'!C15,'센터 자재 사용내역(04월)'!F:F,"신규")+SUMIFS('센터 자재 사용내역(04월)'!G:G,'센터 자재 사용내역(04월)'!E:E,'사급자재 사용내역'!C15,'센터 자재 사용내역(04월)'!F:F,"교체")</f>
        <v>0</v>
      </c>
      <c r="Q15" s="40">
        <f>SUMIFS('센터 자재 사용내역(05월)'!G:G,'센터 자재 사용내역(05월)'!E:E,'사급자재 사용내역'!C15,'센터 자재 사용내역(05월)'!F:F,"신규")+SUMIFS('센터 자재 사용내역(05월)'!G:G,'센터 자재 사용내역(05월)'!E:E,'사급자재 사용내역'!C15,'센터 자재 사용내역(05월)'!F:F,"교체")</f>
        <v>1</v>
      </c>
      <c r="R15" s="40">
        <f>SUMIFS('센터 자재 사용내역(06월)'!G:G,'센터 자재 사용내역(06월)'!E:E,'사급자재 사용내역'!C15,'센터 자재 사용내역(06월)'!F:F,"신규")+SUMIFS('센터 자재 사용내역(06월)'!G:G,'센터 자재 사용내역(06월)'!E:E,'사급자재 사용내역'!C15,'센터 자재 사용내역(06월)'!F:F,"교체")</f>
        <v>3</v>
      </c>
      <c r="S15" s="40">
        <f>SUMIFS('센터 자재 사용내역(07월)'!G:G,'센터 자재 사용내역(07월)'!E:E,'사급자재 사용내역'!C15,'센터 자재 사용내역(07월)'!F:F,"신규")+SUMIFS('센터 자재 사용내역(07월)'!G:G,'센터 자재 사용내역(07월)'!E:E,'사급자재 사용내역'!C15,'센터 자재 사용내역(07월)'!F:F,"교체")</f>
        <v>2</v>
      </c>
      <c r="T15" s="40">
        <f>SUMIFS('센터 자재 사용내역(08월)'!G:G,'센터 자재 사용내역(08월)'!E:E,'사급자재 사용내역'!C15,'센터 자재 사용내역(08월)'!F:F,"신규")+SUMIFS('센터 자재 사용내역(08월)'!G:G,'센터 자재 사용내역(08월)'!E:E,'사급자재 사용내역'!C15,'센터 자재 사용내역(08월)'!F:F,"교체")</f>
        <v>2</v>
      </c>
      <c r="U15" s="40">
        <f>SUMIFS('센터 자재 사용내역(09월)'!G:G,'센터 자재 사용내역(09월)'!E:E,'사급자재 사용내역'!C15,'센터 자재 사용내역(09월)'!F:F,"신규")+SUMIFS('센터 자재 사용내역(09월)'!G:G,'센터 자재 사용내역(09월)'!E:E,'사급자재 사용내역'!C15,'센터 자재 사용내역(09월)'!F:F,"교체")</f>
        <v>0</v>
      </c>
      <c r="V15" s="40">
        <f>SUMIFS('센터 자재 사용내역(10월)'!G:G,'센터 자재 사용내역(10월)'!E:E,'사급자재 사용내역'!C15,'센터 자재 사용내역(10월)'!F:F,"신규")+SUMIFS('센터 자재 사용내역(10월)'!G:G,'센터 자재 사용내역(10월)'!E:E,'사급자재 사용내역'!C15,'센터 자재 사용내역(10월)'!F:F,"교체")</f>
        <v>0</v>
      </c>
      <c r="W15" s="40">
        <f>SUMIFS('센터 자재 사용내역(11월)'!G:G,'센터 자재 사용내역(11월)'!E:E,'사급자재 사용내역'!C15,'센터 자재 사용내역(11월)'!F:F,"신규")+SUMIFS('센터 자재 사용내역(11월)'!G:G,'센터 자재 사용내역(11월)'!E:E,'사급자재 사용내역'!C15,'센터 자재 사용내역(11월)'!F:F,"교체")</f>
        <v>0</v>
      </c>
      <c r="X15" s="40">
        <f>SUMIFS('센터 자재 사용내역(12월)'!G:G,'센터 자재 사용내역(12월)'!E:E,'사급자재 사용내역'!C15,'센터 자재 사용내역(12월)'!F:F,"신규")+SUMIFS('센터 자재 사용내역(12월)'!G:G,'센터 자재 사용내역(12월)'!E:E,'사급자재 사용내역'!C15,'센터 자재 사용내역(12월)'!F:F,"교체")</f>
        <v>0</v>
      </c>
      <c r="Y15" s="40">
        <f t="shared" si="2"/>
        <v>12</v>
      </c>
      <c r="Z15" s="52"/>
      <c r="AB15" s="56">
        <v>1</v>
      </c>
      <c r="AC15" s="29"/>
      <c r="AD15" s="29">
        <v>2</v>
      </c>
      <c r="AE15" s="29">
        <v>2</v>
      </c>
      <c r="AF15" s="29">
        <v>1</v>
      </c>
      <c r="AG15" s="29">
        <v>1</v>
      </c>
      <c r="AH15" s="29">
        <v>2</v>
      </c>
      <c r="AI15" s="29"/>
      <c r="AJ15" s="29"/>
      <c r="AK15" s="29"/>
      <c r="AL15" s="29"/>
      <c r="AM15" s="29"/>
      <c r="AN15" s="21">
        <f t="shared" si="3"/>
        <v>9</v>
      </c>
      <c r="AO15" s="57"/>
      <c r="AQ15" s="61">
        <f>SUMIFS('센터 자재 사용내역(01월)'!G:G,'센터 자재 사용내역(01월)'!E:E,'사급자재 사용내역'!C15,'센터 자재 사용내역(01월)'!F:F,"불량")</f>
        <v>0</v>
      </c>
      <c r="AR15" s="40">
        <f>SUMIFS('센터 자재 사용내역(02월)'!G:G,'센터 자재 사용내역(02월)'!E:E,'사급자재 사용내역'!C15,'센터 자재 사용내역(02월)'!F:F,"불량")</f>
        <v>0</v>
      </c>
      <c r="AS15" s="40">
        <f>SUMIFS('센터 자재 사용내역(03월)'!G:G,'센터 자재 사용내역(03월)'!E:E,'사급자재 사용내역'!C15,'센터 자재 사용내역(03월)'!F:F,"불량")</f>
        <v>0</v>
      </c>
      <c r="AT15" s="40">
        <f>SUMIFS('센터 자재 사용내역(04월)'!G:G,'센터 자재 사용내역(04월)'!E:E,'사급자재 사용내역'!C15,'센터 자재 사용내역(04월)'!F:F,"불량")</f>
        <v>0</v>
      </c>
      <c r="AU15" s="40">
        <f>SUMIFS('센터 자재 사용내역(05월)'!G:G,'센터 자재 사용내역(05월)'!E:E,'사급자재 사용내역'!C15,'센터 자재 사용내역(05월)'!F:F,"불량")</f>
        <v>0</v>
      </c>
      <c r="AV15" s="40">
        <f>SUMIFS('센터 자재 사용내역(06월)'!G:G,'센터 자재 사용내역(06월)'!E:E,'사급자재 사용내역'!C15,'센터 자재 사용내역(06월)'!F:F,"불량")</f>
        <v>0</v>
      </c>
      <c r="AW15" s="40">
        <f>SUMIFS('센터 자재 사용내역(07월)'!G:G,'센터 자재 사용내역(07월)'!E:E,'사급자재 사용내역'!C15,'센터 자재 사용내역(07월)'!F:F,"불량")</f>
        <v>0</v>
      </c>
      <c r="AX15" s="40">
        <f>SUMIFS('센터 자재 사용내역(08월)'!G:G,'센터 자재 사용내역(08월)'!E:E,'사급자재 사용내역'!C15,'센터 자재 사용내역(08월)'!F:F,"불량")</f>
        <v>1</v>
      </c>
      <c r="AY15" s="40">
        <f>SUMIFS('센터 자재 사용내역(09월)'!G:G,'센터 자재 사용내역(09월)'!E:E,'사급자재 사용내역'!C15,'센터 자재 사용내역(09월)'!F:F,"불량")</f>
        <v>0</v>
      </c>
      <c r="AZ15" s="40">
        <f>SUMIFS('센터 자재 사용내역(10월)'!G:G,'센터 자재 사용내역(10월)'!E:E,'사급자재 사용내역'!C15,'센터 자재 사용내역(10월)'!F:F,"불량")</f>
        <v>0</v>
      </c>
      <c r="BA15" s="40">
        <f>SUMIFS('센터 자재 사용내역(11월)'!G:G,'센터 자재 사용내역(11월)'!E:E,'사급자재 사용내역'!C15,'센터 자재 사용내역(11월)'!F:F,"불량")</f>
        <v>0</v>
      </c>
      <c r="BB15" s="40">
        <f>SUMIFS('센터 자재 사용내역(12월)'!G:G,'센터 자재 사용내역(12월)'!E:E,'사급자재 사용내역'!C15,'센터 자재 사용내역(12월)'!F:F,"불량")</f>
        <v>0</v>
      </c>
      <c r="BC15" s="40">
        <f t="shared" si="6"/>
        <v>1</v>
      </c>
      <c r="BD15" s="62"/>
    </row>
    <row r="16" spans="1:56" ht="19.5" customHeight="1">
      <c r="B16" s="99"/>
      <c r="C16" s="22" t="s">
        <v>215</v>
      </c>
      <c r="D16" s="64" t="s">
        <v>129</v>
      </c>
      <c r="E16" s="46">
        <v>0</v>
      </c>
      <c r="F16" s="47">
        <v>0</v>
      </c>
      <c r="G16" s="46"/>
      <c r="H16" s="78"/>
      <c r="I16" s="90">
        <f t="shared" si="4"/>
        <v>0</v>
      </c>
      <c r="J16" s="89">
        <f t="shared" si="5"/>
        <v>0</v>
      </c>
      <c r="K16" s="78">
        <f>AN16</f>
        <v>0</v>
      </c>
      <c r="L16" s="84">
        <f t="shared" si="1"/>
        <v>0</v>
      </c>
      <c r="M16" s="79">
        <f>SUMIFS('센터 자재 사용내역(01월)'!G:G,'센터 자재 사용내역(01월)'!E:E,'사급자재 사용내역'!C16,'센터 자재 사용내역(01월)'!F:F,"신규")+SUMIFS('센터 자재 사용내역(01월)'!G:G,'센터 자재 사용내역(01월)'!E:E,'사급자재 사용내역'!C16,'센터 자재 사용내역(01월)'!F:F,"교체")</f>
        <v>0</v>
      </c>
      <c r="N16" s="40">
        <f>SUMIFS('센터 자재 사용내역(02월)'!G:G,'센터 자재 사용내역(02월)'!E:E,'사급자재 사용내역'!C16,'센터 자재 사용내역(02월)'!F:F,"신규")+SUMIFS('센터 자재 사용내역(02월)'!G:G,'센터 자재 사용내역(02월)'!E:E,'사급자재 사용내역'!C16,'센터 자재 사용내역(02월)'!F:F,"교체")</f>
        <v>0</v>
      </c>
      <c r="O16" s="40">
        <f>SUMIFS('센터 자재 사용내역(03월)'!G:G,'센터 자재 사용내역(03월)'!E:E,'사급자재 사용내역'!C16,'센터 자재 사용내역(03월)'!F:F,"신규")+SUMIFS('센터 자재 사용내역(03월)'!G:G,'센터 자재 사용내역(03월)'!E:E,'사급자재 사용내역'!C16,'센터 자재 사용내역(03월)'!F:F,"교체")</f>
        <v>0</v>
      </c>
      <c r="P16" s="40">
        <f>SUMIFS('센터 자재 사용내역(04월)'!G:G,'센터 자재 사용내역(04월)'!E:E,'사급자재 사용내역'!C16,'센터 자재 사용내역(04월)'!F:F,"신규")+SUMIFS('센터 자재 사용내역(04월)'!G:G,'센터 자재 사용내역(04월)'!E:E,'사급자재 사용내역'!C16,'센터 자재 사용내역(04월)'!F:F,"교체")</f>
        <v>0</v>
      </c>
      <c r="Q16" s="40">
        <f>SUMIFS('센터 자재 사용내역(05월)'!G:G,'센터 자재 사용내역(05월)'!E:E,'사급자재 사용내역'!C16,'센터 자재 사용내역(05월)'!F:F,"신규")+SUMIFS('센터 자재 사용내역(05월)'!G:G,'센터 자재 사용내역(05월)'!E:E,'사급자재 사용내역'!C16,'센터 자재 사용내역(05월)'!F:F,"교체")</f>
        <v>0</v>
      </c>
      <c r="R16" s="40">
        <f>SUMIFS('센터 자재 사용내역(06월)'!G:G,'센터 자재 사용내역(06월)'!E:E,'사급자재 사용내역'!C16,'센터 자재 사용내역(06월)'!F:F,"신규")+SUMIFS('센터 자재 사용내역(06월)'!G:G,'센터 자재 사용내역(06월)'!E:E,'사급자재 사용내역'!C16,'센터 자재 사용내역(06월)'!F:F,"교체")</f>
        <v>0</v>
      </c>
      <c r="S16" s="40">
        <f>SUMIFS('센터 자재 사용내역(07월)'!G:G,'센터 자재 사용내역(07월)'!E:E,'사급자재 사용내역'!C16,'센터 자재 사용내역(07월)'!F:F,"신규")+SUMIFS('센터 자재 사용내역(07월)'!G:G,'센터 자재 사용내역(07월)'!E:E,'사급자재 사용내역'!C16,'센터 자재 사용내역(07월)'!F:F,"교체")</f>
        <v>0</v>
      </c>
      <c r="T16" s="40">
        <f>SUMIFS('센터 자재 사용내역(08월)'!G:G,'센터 자재 사용내역(08월)'!E:E,'사급자재 사용내역'!C16,'센터 자재 사용내역(08월)'!F:F,"신규")+SUMIFS('센터 자재 사용내역(08월)'!G:G,'센터 자재 사용내역(08월)'!E:E,'사급자재 사용내역'!C16,'센터 자재 사용내역(08월)'!F:F,"교체")</f>
        <v>0</v>
      </c>
      <c r="U16" s="40">
        <f>SUMIFS('센터 자재 사용내역(09월)'!G:G,'센터 자재 사용내역(09월)'!E:E,'사급자재 사용내역'!C16,'센터 자재 사용내역(09월)'!F:F,"신규")+SUMIFS('센터 자재 사용내역(09월)'!G:G,'센터 자재 사용내역(09월)'!E:E,'사급자재 사용내역'!C16,'센터 자재 사용내역(09월)'!F:F,"교체")</f>
        <v>0</v>
      </c>
      <c r="V16" s="40">
        <f>SUMIFS('센터 자재 사용내역(10월)'!G:G,'센터 자재 사용내역(10월)'!E:E,'사급자재 사용내역'!C16,'센터 자재 사용내역(10월)'!F:F,"신규")+SUMIFS('센터 자재 사용내역(10월)'!G:G,'센터 자재 사용내역(10월)'!E:E,'사급자재 사용내역'!C16,'센터 자재 사용내역(10월)'!F:F,"교체")</f>
        <v>0</v>
      </c>
      <c r="W16" s="40">
        <f>SUMIFS('센터 자재 사용내역(11월)'!G:G,'센터 자재 사용내역(11월)'!E:E,'사급자재 사용내역'!C16,'센터 자재 사용내역(11월)'!F:F,"신규")+SUMIFS('센터 자재 사용내역(11월)'!G:G,'센터 자재 사용내역(11월)'!E:E,'사급자재 사용내역'!C16,'센터 자재 사용내역(11월)'!F:F,"교체")</f>
        <v>0</v>
      </c>
      <c r="X16" s="40">
        <f>SUMIFS('센터 자재 사용내역(12월)'!G:G,'센터 자재 사용내역(12월)'!E:E,'사급자재 사용내역'!C16,'센터 자재 사용내역(12월)'!F:F,"신규")+SUMIFS('센터 자재 사용내역(12월)'!G:G,'센터 자재 사용내역(12월)'!E:E,'사급자재 사용내역'!C16,'센터 자재 사용내역(12월)'!F:F,"교체")</f>
        <v>0</v>
      </c>
      <c r="Y16" s="40">
        <f t="shared" si="2"/>
        <v>0</v>
      </c>
      <c r="Z16" s="52"/>
      <c r="AB16" s="56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1">
        <f t="shared" si="3"/>
        <v>0</v>
      </c>
      <c r="AO16" s="57"/>
      <c r="AQ16" s="61">
        <f>SUMIFS('센터 자재 사용내역(01월)'!G:G,'센터 자재 사용내역(01월)'!E:E,'사급자재 사용내역'!C16,'센터 자재 사용내역(01월)'!F:F,"불량")</f>
        <v>0</v>
      </c>
      <c r="AR16" s="40">
        <f>SUMIFS('센터 자재 사용내역(02월)'!G:G,'센터 자재 사용내역(02월)'!E:E,'사급자재 사용내역'!C16,'센터 자재 사용내역(02월)'!F:F,"불량")</f>
        <v>0</v>
      </c>
      <c r="AS16" s="40">
        <f>SUMIFS('센터 자재 사용내역(03월)'!G:G,'센터 자재 사용내역(03월)'!E:E,'사급자재 사용내역'!C16,'센터 자재 사용내역(03월)'!F:F,"불량")</f>
        <v>0</v>
      </c>
      <c r="AT16" s="40">
        <f>SUMIFS('센터 자재 사용내역(04월)'!G:G,'센터 자재 사용내역(04월)'!E:E,'사급자재 사용내역'!C16,'센터 자재 사용내역(04월)'!F:F,"불량")</f>
        <v>0</v>
      </c>
      <c r="AU16" s="40">
        <f>SUMIFS('센터 자재 사용내역(05월)'!G:G,'센터 자재 사용내역(05월)'!E:E,'사급자재 사용내역'!C16,'센터 자재 사용내역(05월)'!F:F,"불량")</f>
        <v>0</v>
      </c>
      <c r="AV16" s="40">
        <f>SUMIFS('센터 자재 사용내역(06월)'!G:G,'센터 자재 사용내역(06월)'!E:E,'사급자재 사용내역'!C16,'센터 자재 사용내역(06월)'!F:F,"불량")</f>
        <v>0</v>
      </c>
      <c r="AW16" s="40">
        <f>SUMIFS('센터 자재 사용내역(07월)'!G:G,'센터 자재 사용내역(07월)'!E:E,'사급자재 사용내역'!C16,'센터 자재 사용내역(07월)'!F:F,"불량")</f>
        <v>0</v>
      </c>
      <c r="AX16" s="40">
        <f>SUMIFS('센터 자재 사용내역(08월)'!G:G,'센터 자재 사용내역(08월)'!E:E,'사급자재 사용내역'!C16,'센터 자재 사용내역(08월)'!F:F,"불량")</f>
        <v>0</v>
      </c>
      <c r="AY16" s="40">
        <f>SUMIFS('센터 자재 사용내역(09월)'!G:G,'센터 자재 사용내역(09월)'!E:E,'사급자재 사용내역'!C16,'센터 자재 사용내역(09월)'!F:F,"불량")</f>
        <v>0</v>
      </c>
      <c r="AZ16" s="40">
        <f>SUMIFS('센터 자재 사용내역(10월)'!G:G,'센터 자재 사용내역(10월)'!E:E,'사급자재 사용내역'!C16,'센터 자재 사용내역(10월)'!F:F,"불량")</f>
        <v>0</v>
      </c>
      <c r="BA16" s="40">
        <f>SUMIFS('센터 자재 사용내역(11월)'!G:G,'센터 자재 사용내역(11월)'!E:E,'사급자재 사용내역'!C16,'센터 자재 사용내역(11월)'!F:F,"불량")</f>
        <v>0</v>
      </c>
      <c r="BB16" s="40">
        <f>SUMIFS('센터 자재 사용내역(12월)'!G:G,'센터 자재 사용내역(12월)'!E:E,'사급자재 사용내역'!C16,'센터 자재 사용내역(12월)'!F:F,"불량")</f>
        <v>0</v>
      </c>
      <c r="BC16" s="40">
        <f t="shared" si="6"/>
        <v>0</v>
      </c>
      <c r="BD16" s="62"/>
    </row>
    <row r="17" spans="2:56" ht="19.5" customHeight="1">
      <c r="B17" s="99"/>
      <c r="C17" s="22" t="s">
        <v>221</v>
      </c>
      <c r="D17" s="64" t="s">
        <v>129</v>
      </c>
      <c r="E17" s="46">
        <v>4</v>
      </c>
      <c r="F17" s="47">
        <v>1</v>
      </c>
      <c r="G17" s="46"/>
      <c r="H17" s="78"/>
      <c r="I17" s="90">
        <f t="shared" ref="I17" si="8">(F17+BC17)-(G17+H17)</f>
        <v>2</v>
      </c>
      <c r="J17" s="89">
        <f t="shared" ref="J17" si="9">Y17</f>
        <v>6</v>
      </c>
      <c r="K17" s="78">
        <f>AN17</f>
        <v>2</v>
      </c>
      <c r="L17" s="84">
        <f t="shared" ref="L17" si="10">E17-J17+K17</f>
        <v>0</v>
      </c>
      <c r="M17" s="79">
        <f>SUMIFS('센터 자재 사용내역(01월)'!G:G,'센터 자재 사용내역(01월)'!E:E,'사급자재 사용내역'!C17,'센터 자재 사용내역(01월)'!F:F,"신규")+SUMIFS('센터 자재 사용내역(01월)'!G:G,'센터 자재 사용내역(01월)'!E:E,'사급자재 사용내역'!C17,'센터 자재 사용내역(01월)'!F:F,"교체")</f>
        <v>2</v>
      </c>
      <c r="N17" s="40">
        <f>SUMIFS('센터 자재 사용내역(02월)'!G:G,'센터 자재 사용내역(02월)'!E:E,'사급자재 사용내역'!C17,'센터 자재 사용내역(02월)'!F:F,"신규")+SUMIFS('센터 자재 사용내역(02월)'!G:G,'센터 자재 사용내역(02월)'!E:E,'사급자재 사용내역'!C17,'센터 자재 사용내역(02월)'!F:F,"교체")</f>
        <v>0</v>
      </c>
      <c r="O17" s="40">
        <f>SUMIFS('센터 자재 사용내역(03월)'!G:G,'센터 자재 사용내역(03월)'!E:E,'사급자재 사용내역'!C17,'센터 자재 사용내역(03월)'!F:F,"신규")+SUMIFS('센터 자재 사용내역(03월)'!G:G,'센터 자재 사용내역(03월)'!E:E,'사급자재 사용내역'!C17,'센터 자재 사용내역(03월)'!F:F,"교체")</f>
        <v>0</v>
      </c>
      <c r="P17" s="40">
        <f>SUMIFS('센터 자재 사용내역(04월)'!G:G,'센터 자재 사용내역(04월)'!E:E,'사급자재 사용내역'!C17,'센터 자재 사용내역(04월)'!F:F,"신규")+SUMIFS('센터 자재 사용내역(04월)'!G:G,'센터 자재 사용내역(04월)'!E:E,'사급자재 사용내역'!C17,'센터 자재 사용내역(04월)'!F:F,"교체")</f>
        <v>1</v>
      </c>
      <c r="Q17" s="40">
        <f>SUMIFS('센터 자재 사용내역(05월)'!G:G,'센터 자재 사용내역(05월)'!E:E,'사급자재 사용내역'!C17,'센터 자재 사용내역(05월)'!F:F,"신규")+SUMIFS('센터 자재 사용내역(05월)'!G:G,'센터 자재 사용내역(05월)'!E:E,'사급자재 사용내역'!C17,'센터 자재 사용내역(05월)'!F:F,"교체")</f>
        <v>1</v>
      </c>
      <c r="R17" s="40">
        <f>SUMIFS('센터 자재 사용내역(06월)'!G:G,'센터 자재 사용내역(06월)'!E:E,'사급자재 사용내역'!C17,'센터 자재 사용내역(06월)'!F:F,"신규")+SUMIFS('센터 자재 사용내역(06월)'!G:G,'센터 자재 사용내역(06월)'!E:E,'사급자재 사용내역'!C17,'센터 자재 사용내역(06월)'!F:F,"교체")</f>
        <v>0</v>
      </c>
      <c r="S17" s="40">
        <f>SUMIFS('센터 자재 사용내역(07월)'!G:G,'센터 자재 사용내역(07월)'!E:E,'사급자재 사용내역'!C17,'센터 자재 사용내역(07월)'!F:F,"신규")+SUMIFS('센터 자재 사용내역(07월)'!G:G,'센터 자재 사용내역(07월)'!E:E,'사급자재 사용내역'!C17,'센터 자재 사용내역(07월)'!F:F,"교체")</f>
        <v>1</v>
      </c>
      <c r="T17" s="40">
        <f>SUMIFS('센터 자재 사용내역(08월)'!G:G,'센터 자재 사용내역(08월)'!E:E,'사급자재 사용내역'!C17,'센터 자재 사용내역(08월)'!F:F,"신규")+SUMIFS('센터 자재 사용내역(08월)'!G:G,'센터 자재 사용내역(08월)'!E:E,'사급자재 사용내역'!C17,'센터 자재 사용내역(08월)'!F:F,"교체")</f>
        <v>1</v>
      </c>
      <c r="U17" s="40">
        <f>SUMIFS('센터 자재 사용내역(09월)'!G:G,'센터 자재 사용내역(09월)'!E:E,'사급자재 사용내역'!C17,'센터 자재 사용내역(09월)'!F:F,"신규")+SUMIFS('센터 자재 사용내역(09월)'!G:G,'센터 자재 사용내역(09월)'!E:E,'사급자재 사용내역'!C17,'센터 자재 사용내역(09월)'!F:F,"교체")</f>
        <v>0</v>
      </c>
      <c r="V17" s="40">
        <f>SUMIFS('센터 자재 사용내역(10월)'!G:G,'센터 자재 사용내역(10월)'!E:E,'사급자재 사용내역'!C17,'센터 자재 사용내역(10월)'!F:F,"신규")+SUMIFS('센터 자재 사용내역(10월)'!G:G,'센터 자재 사용내역(10월)'!E:E,'사급자재 사용내역'!C17,'센터 자재 사용내역(10월)'!F:F,"교체")</f>
        <v>0</v>
      </c>
      <c r="W17" s="40">
        <f>SUMIFS('센터 자재 사용내역(11월)'!G:G,'센터 자재 사용내역(11월)'!E:E,'사급자재 사용내역'!C17,'센터 자재 사용내역(11월)'!F:F,"신규")+SUMIFS('센터 자재 사용내역(11월)'!G:G,'센터 자재 사용내역(11월)'!E:E,'사급자재 사용내역'!C17,'센터 자재 사용내역(11월)'!F:F,"교체")</f>
        <v>0</v>
      </c>
      <c r="X17" s="40">
        <f>SUMIFS('센터 자재 사용내역(12월)'!G:G,'센터 자재 사용내역(12월)'!E:E,'사급자재 사용내역'!C17,'센터 자재 사용내역(12월)'!F:F,"신규")+SUMIFS('센터 자재 사용내역(12월)'!G:G,'센터 자재 사용내역(12월)'!E:E,'사급자재 사용내역'!C17,'센터 자재 사용내역(12월)'!F:F,"교체")</f>
        <v>0</v>
      </c>
      <c r="Y17" s="40">
        <f t="shared" ref="Y17" si="11">SUM(M17:X17)</f>
        <v>6</v>
      </c>
      <c r="Z17" s="52"/>
      <c r="AB17" s="56">
        <v>2</v>
      </c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1">
        <f t="shared" ref="AN17" si="12">SUM(AB17:AM17)</f>
        <v>2</v>
      </c>
      <c r="AO17" s="57"/>
      <c r="AQ17" s="61">
        <f>SUMIFS('센터 자재 사용내역(01월)'!G:G,'센터 자재 사용내역(01월)'!E:E,'사급자재 사용내역'!C17,'센터 자재 사용내역(01월)'!F:F,"불량")</f>
        <v>0</v>
      </c>
      <c r="AR17" s="40">
        <f>SUMIFS('센터 자재 사용내역(02월)'!G:G,'센터 자재 사용내역(02월)'!E:E,'사급자재 사용내역'!C17,'센터 자재 사용내역(02월)'!F:F,"불량")</f>
        <v>0</v>
      </c>
      <c r="AS17" s="40">
        <f>SUMIFS('센터 자재 사용내역(03월)'!G:G,'센터 자재 사용내역(03월)'!E:E,'사급자재 사용내역'!C17,'센터 자재 사용내역(03월)'!F:F,"불량")</f>
        <v>0</v>
      </c>
      <c r="AT17" s="40">
        <f>SUMIFS('센터 자재 사용내역(04월)'!G:G,'센터 자재 사용내역(04월)'!E:E,'사급자재 사용내역'!C17,'센터 자재 사용내역(04월)'!F:F,"불량")</f>
        <v>0</v>
      </c>
      <c r="AU17" s="40">
        <f>SUMIFS('센터 자재 사용내역(05월)'!G:G,'센터 자재 사용내역(05월)'!E:E,'사급자재 사용내역'!C17,'센터 자재 사용내역(05월)'!F:F,"불량")</f>
        <v>0</v>
      </c>
      <c r="AV17" s="40">
        <f>SUMIFS('센터 자재 사용내역(06월)'!G:G,'센터 자재 사용내역(06월)'!E:E,'사급자재 사용내역'!C17,'센터 자재 사용내역(06월)'!F:F,"불량")</f>
        <v>0</v>
      </c>
      <c r="AW17" s="40">
        <f>SUMIFS('센터 자재 사용내역(07월)'!G:G,'센터 자재 사용내역(07월)'!E:E,'사급자재 사용내역'!C17,'센터 자재 사용내역(07월)'!F:F,"불량")</f>
        <v>0</v>
      </c>
      <c r="AX17" s="40">
        <f>SUMIFS('센터 자재 사용내역(08월)'!G:G,'센터 자재 사용내역(08월)'!E:E,'사급자재 사용내역'!C17,'센터 자재 사용내역(08월)'!F:F,"불량")</f>
        <v>1</v>
      </c>
      <c r="AY17" s="40">
        <f>SUMIFS('센터 자재 사용내역(09월)'!G:G,'센터 자재 사용내역(09월)'!E:E,'사급자재 사용내역'!C17,'센터 자재 사용내역(09월)'!F:F,"불량")</f>
        <v>0</v>
      </c>
      <c r="AZ17" s="40">
        <f>SUMIFS('센터 자재 사용내역(10월)'!G:G,'센터 자재 사용내역(10월)'!E:E,'사급자재 사용내역'!C17,'센터 자재 사용내역(10월)'!F:F,"불량")</f>
        <v>0</v>
      </c>
      <c r="BA17" s="40">
        <f>SUMIFS('센터 자재 사용내역(11월)'!G:G,'센터 자재 사용내역(11월)'!E:E,'사급자재 사용내역'!C17,'센터 자재 사용내역(11월)'!F:F,"불량")</f>
        <v>0</v>
      </c>
      <c r="BB17" s="40">
        <f>SUMIFS('센터 자재 사용내역(12월)'!G:G,'센터 자재 사용내역(12월)'!E:E,'사급자재 사용내역'!C17,'센터 자재 사용내역(12월)'!F:F,"불량")</f>
        <v>0</v>
      </c>
      <c r="BC17" s="40">
        <f t="shared" ref="BC17" si="13">SUM(AQ17:BB17)</f>
        <v>1</v>
      </c>
      <c r="BD17" s="62"/>
    </row>
    <row r="18" spans="2:56" ht="19.5" customHeight="1">
      <c r="B18" s="99"/>
      <c r="C18" s="22" t="s">
        <v>204</v>
      </c>
      <c r="D18" s="64" t="s">
        <v>129</v>
      </c>
      <c r="E18" s="46">
        <v>2</v>
      </c>
      <c r="F18" s="47">
        <v>2</v>
      </c>
      <c r="G18" s="46"/>
      <c r="H18" s="78"/>
      <c r="I18" s="90">
        <f t="shared" si="4"/>
        <v>3</v>
      </c>
      <c r="J18" s="89">
        <f t="shared" si="5"/>
        <v>5</v>
      </c>
      <c r="K18" s="78">
        <f t="shared" si="7"/>
        <v>9</v>
      </c>
      <c r="L18" s="84">
        <f t="shared" si="1"/>
        <v>6</v>
      </c>
      <c r="M18" s="79">
        <f>SUMIFS('센터 자재 사용내역(01월)'!G:G,'센터 자재 사용내역(01월)'!E:E,'사급자재 사용내역'!C18,'센터 자재 사용내역(01월)'!F:F,"신규")+SUMIFS('센터 자재 사용내역(01월)'!G:G,'센터 자재 사용내역(01월)'!E:E,'사급자재 사용내역'!C18,'센터 자재 사용내역(01월)'!F:F,"교체")</f>
        <v>1</v>
      </c>
      <c r="N18" s="40">
        <f>SUMIFS('센터 자재 사용내역(02월)'!G:G,'센터 자재 사용내역(02월)'!E:E,'사급자재 사용내역'!C18,'센터 자재 사용내역(02월)'!F:F,"신규")+SUMIFS('센터 자재 사용내역(02월)'!G:G,'센터 자재 사용내역(02월)'!E:E,'사급자재 사용내역'!C18,'센터 자재 사용내역(02월)'!F:F,"교체")</f>
        <v>0</v>
      </c>
      <c r="O18" s="40">
        <f>SUMIFS('센터 자재 사용내역(03월)'!G:G,'센터 자재 사용내역(03월)'!E:E,'사급자재 사용내역'!C18,'센터 자재 사용내역(03월)'!F:F,"신규")+SUMIFS('센터 자재 사용내역(03월)'!G:G,'센터 자재 사용내역(03월)'!E:E,'사급자재 사용내역'!C18,'센터 자재 사용내역(03월)'!F:F,"교체")</f>
        <v>0</v>
      </c>
      <c r="P18" s="40">
        <f>SUMIFS('센터 자재 사용내역(04월)'!G:G,'센터 자재 사용내역(04월)'!E:E,'사급자재 사용내역'!C18,'센터 자재 사용내역(04월)'!F:F,"신규")+SUMIFS('센터 자재 사용내역(04월)'!G:G,'센터 자재 사용내역(04월)'!E:E,'사급자재 사용내역'!C18,'센터 자재 사용내역(04월)'!F:F,"교체")</f>
        <v>0</v>
      </c>
      <c r="Q18" s="40">
        <f>SUMIFS('센터 자재 사용내역(05월)'!G:G,'센터 자재 사용내역(05월)'!E:E,'사급자재 사용내역'!C18,'센터 자재 사용내역(05월)'!F:F,"신규")+SUMIFS('센터 자재 사용내역(05월)'!G:G,'센터 자재 사용내역(05월)'!E:E,'사급자재 사용내역'!C18,'센터 자재 사용내역(05월)'!F:F,"교체")</f>
        <v>0</v>
      </c>
      <c r="R18" s="40">
        <f>SUMIFS('센터 자재 사용내역(06월)'!G:G,'센터 자재 사용내역(06월)'!E:E,'사급자재 사용내역'!C18,'센터 자재 사용내역(06월)'!F:F,"신규")+SUMIFS('센터 자재 사용내역(06월)'!G:G,'센터 자재 사용내역(06월)'!E:E,'사급자재 사용내역'!C18,'센터 자재 사용내역(06월)'!F:F,"교체")</f>
        <v>0</v>
      </c>
      <c r="S18" s="40">
        <f>SUMIFS('센터 자재 사용내역(07월)'!G:G,'센터 자재 사용내역(07월)'!E:E,'사급자재 사용내역'!C18,'센터 자재 사용내역(07월)'!F:F,"신규")+SUMIFS('센터 자재 사용내역(07월)'!G:G,'센터 자재 사용내역(07월)'!E:E,'사급자재 사용내역'!C18,'센터 자재 사용내역(07월)'!F:F,"교체")</f>
        <v>1</v>
      </c>
      <c r="T18" s="40">
        <f>SUMIFS('센터 자재 사용내역(08월)'!G:G,'센터 자재 사용내역(08월)'!E:E,'사급자재 사용내역'!C18,'센터 자재 사용내역(08월)'!F:F,"신규")+SUMIFS('센터 자재 사용내역(08월)'!G:G,'센터 자재 사용내역(08월)'!E:E,'사급자재 사용내역'!C18,'센터 자재 사용내역(08월)'!F:F,"교체")</f>
        <v>3</v>
      </c>
      <c r="U18" s="40">
        <f>SUMIFS('센터 자재 사용내역(09월)'!G:G,'센터 자재 사용내역(09월)'!E:E,'사급자재 사용내역'!C18,'센터 자재 사용내역(09월)'!F:F,"신규")+SUMIFS('센터 자재 사용내역(09월)'!G:G,'센터 자재 사용내역(09월)'!E:E,'사급자재 사용내역'!C18,'센터 자재 사용내역(09월)'!F:F,"교체")</f>
        <v>0</v>
      </c>
      <c r="V18" s="40">
        <f>SUMIFS('센터 자재 사용내역(10월)'!G:G,'센터 자재 사용내역(10월)'!E:E,'사급자재 사용내역'!C18,'센터 자재 사용내역(10월)'!F:F,"신규")+SUMIFS('센터 자재 사용내역(10월)'!G:G,'센터 자재 사용내역(10월)'!E:E,'사급자재 사용내역'!C18,'센터 자재 사용내역(10월)'!F:F,"교체")</f>
        <v>0</v>
      </c>
      <c r="W18" s="40">
        <f>SUMIFS('센터 자재 사용내역(11월)'!G:G,'센터 자재 사용내역(11월)'!E:E,'사급자재 사용내역'!C18,'센터 자재 사용내역(11월)'!F:F,"신규")+SUMIFS('센터 자재 사용내역(11월)'!G:G,'센터 자재 사용내역(11월)'!E:E,'사급자재 사용내역'!C18,'센터 자재 사용내역(11월)'!F:F,"교체")</f>
        <v>0</v>
      </c>
      <c r="X18" s="40">
        <f>SUMIFS('센터 자재 사용내역(12월)'!G:G,'센터 자재 사용내역(12월)'!E:E,'사급자재 사용내역'!C18,'센터 자재 사용내역(12월)'!F:F,"신규")+SUMIFS('센터 자재 사용내역(12월)'!G:G,'센터 자재 사용내역(12월)'!E:E,'사급자재 사용내역'!C18,'센터 자재 사용내역(12월)'!F:F,"교체")</f>
        <v>0</v>
      </c>
      <c r="Y18" s="40">
        <f t="shared" si="2"/>
        <v>5</v>
      </c>
      <c r="Z18" s="52"/>
      <c r="AB18" s="56"/>
      <c r="AC18" s="29">
        <v>2</v>
      </c>
      <c r="AD18" s="29">
        <v>1</v>
      </c>
      <c r="AE18" s="29">
        <v>1</v>
      </c>
      <c r="AF18" s="29">
        <v>1</v>
      </c>
      <c r="AG18" s="29">
        <v>1</v>
      </c>
      <c r="AH18" s="29">
        <v>1</v>
      </c>
      <c r="AI18" s="29">
        <v>2</v>
      </c>
      <c r="AJ18" s="29"/>
      <c r="AK18" s="29"/>
      <c r="AL18" s="29"/>
      <c r="AM18" s="29"/>
      <c r="AN18" s="21">
        <f t="shared" si="3"/>
        <v>9</v>
      </c>
      <c r="AO18" s="57"/>
      <c r="AQ18" s="61">
        <f>SUMIFS('센터 자재 사용내역(01월)'!G:G,'센터 자재 사용내역(01월)'!E:E,'사급자재 사용내역'!C18,'센터 자재 사용내역(01월)'!F:F,"불량")</f>
        <v>0</v>
      </c>
      <c r="AR18" s="40">
        <f>SUMIFS('센터 자재 사용내역(02월)'!G:G,'센터 자재 사용내역(02월)'!E:E,'사급자재 사용내역'!C18,'센터 자재 사용내역(02월)'!F:F,"불량")</f>
        <v>0</v>
      </c>
      <c r="AS18" s="40">
        <f>SUMIFS('센터 자재 사용내역(03월)'!G:G,'센터 자재 사용내역(03월)'!E:E,'사급자재 사용내역'!C18,'센터 자재 사용내역(03월)'!F:F,"불량")</f>
        <v>0</v>
      </c>
      <c r="AT18" s="40">
        <f>SUMIFS('센터 자재 사용내역(04월)'!G:G,'센터 자재 사용내역(04월)'!E:E,'사급자재 사용내역'!C18,'센터 자재 사용내역(04월)'!F:F,"불량")</f>
        <v>0</v>
      </c>
      <c r="AU18" s="40">
        <f>SUMIFS('센터 자재 사용내역(05월)'!G:G,'센터 자재 사용내역(05월)'!E:E,'사급자재 사용내역'!C18,'센터 자재 사용내역(05월)'!F:F,"불량")</f>
        <v>0</v>
      </c>
      <c r="AV18" s="40">
        <f>SUMIFS('센터 자재 사용내역(06월)'!G:G,'센터 자재 사용내역(06월)'!E:E,'사급자재 사용내역'!C18,'센터 자재 사용내역(06월)'!F:F,"불량")</f>
        <v>0</v>
      </c>
      <c r="AW18" s="40">
        <f>SUMIFS('센터 자재 사용내역(07월)'!G:G,'센터 자재 사용내역(07월)'!E:E,'사급자재 사용내역'!C18,'센터 자재 사용내역(07월)'!F:F,"불량")</f>
        <v>0</v>
      </c>
      <c r="AX18" s="40">
        <f>SUMIFS('센터 자재 사용내역(08월)'!G:G,'센터 자재 사용내역(08월)'!E:E,'사급자재 사용내역'!C18,'센터 자재 사용내역(08월)'!F:F,"불량")</f>
        <v>1</v>
      </c>
      <c r="AY18" s="40">
        <f>SUMIFS('센터 자재 사용내역(09월)'!G:G,'센터 자재 사용내역(09월)'!E:E,'사급자재 사용내역'!C18,'센터 자재 사용내역(09월)'!F:F,"불량")</f>
        <v>0</v>
      </c>
      <c r="AZ18" s="40">
        <f>SUMIFS('센터 자재 사용내역(10월)'!G:G,'센터 자재 사용내역(10월)'!E:E,'사급자재 사용내역'!C18,'센터 자재 사용내역(10월)'!F:F,"불량")</f>
        <v>0</v>
      </c>
      <c r="BA18" s="40">
        <f>SUMIFS('센터 자재 사용내역(11월)'!G:G,'센터 자재 사용내역(11월)'!E:E,'사급자재 사용내역'!C18,'센터 자재 사용내역(11월)'!F:F,"불량")</f>
        <v>0</v>
      </c>
      <c r="BB18" s="40">
        <f>SUMIFS('센터 자재 사용내역(12월)'!G:G,'센터 자재 사용내역(12월)'!E:E,'사급자재 사용내역'!C18,'센터 자재 사용내역(12월)'!F:F,"불량")</f>
        <v>0</v>
      </c>
      <c r="BC18" s="40">
        <f t="shared" si="6"/>
        <v>1</v>
      </c>
      <c r="BD18" s="62"/>
    </row>
    <row r="19" spans="2:56" ht="19.5" customHeight="1">
      <c r="B19" s="99"/>
      <c r="C19" s="22" t="s">
        <v>126</v>
      </c>
      <c r="D19" s="64" t="s">
        <v>129</v>
      </c>
      <c r="E19" s="46">
        <v>28</v>
      </c>
      <c r="F19" s="47">
        <v>1</v>
      </c>
      <c r="G19" s="46">
        <v>1</v>
      </c>
      <c r="H19" s="78"/>
      <c r="I19" s="90">
        <f t="shared" si="4"/>
        <v>0</v>
      </c>
      <c r="J19" s="89">
        <f t="shared" si="5"/>
        <v>0</v>
      </c>
      <c r="K19" s="78">
        <f t="shared" si="7"/>
        <v>0</v>
      </c>
      <c r="L19" s="84">
        <f t="shared" si="1"/>
        <v>28</v>
      </c>
      <c r="M19" s="79">
        <f>SUMIFS('센터 자재 사용내역(01월)'!G:G,'센터 자재 사용내역(01월)'!E:E,'사급자재 사용내역'!C19,'센터 자재 사용내역(01월)'!F:F,"신규")+SUMIFS('센터 자재 사용내역(01월)'!G:G,'센터 자재 사용내역(01월)'!E:E,'사급자재 사용내역'!C19,'센터 자재 사용내역(01월)'!F:F,"교체")</f>
        <v>0</v>
      </c>
      <c r="N19" s="40">
        <f>SUMIFS('센터 자재 사용내역(02월)'!G:G,'센터 자재 사용내역(02월)'!E:E,'사급자재 사용내역'!C19,'센터 자재 사용내역(02월)'!F:F,"신규")+SUMIFS('센터 자재 사용내역(02월)'!G:G,'센터 자재 사용내역(02월)'!E:E,'사급자재 사용내역'!C19,'센터 자재 사용내역(02월)'!F:F,"교체")</f>
        <v>0</v>
      </c>
      <c r="O19" s="40">
        <f>SUMIFS('센터 자재 사용내역(03월)'!G:G,'센터 자재 사용내역(03월)'!E:E,'사급자재 사용내역'!C19,'센터 자재 사용내역(03월)'!F:F,"신규")+SUMIFS('센터 자재 사용내역(03월)'!G:G,'센터 자재 사용내역(03월)'!E:E,'사급자재 사용내역'!C19,'센터 자재 사용내역(03월)'!F:F,"교체")</f>
        <v>0</v>
      </c>
      <c r="P19" s="40">
        <f>SUMIFS('센터 자재 사용내역(04월)'!G:G,'센터 자재 사용내역(04월)'!E:E,'사급자재 사용내역'!C19,'센터 자재 사용내역(04월)'!F:F,"신규")+SUMIFS('센터 자재 사용내역(04월)'!G:G,'센터 자재 사용내역(04월)'!E:E,'사급자재 사용내역'!C19,'센터 자재 사용내역(04월)'!F:F,"교체")</f>
        <v>0</v>
      </c>
      <c r="Q19" s="40">
        <f>SUMIFS('센터 자재 사용내역(05월)'!G:G,'센터 자재 사용내역(05월)'!E:E,'사급자재 사용내역'!C19,'센터 자재 사용내역(05월)'!F:F,"신규")+SUMIFS('센터 자재 사용내역(05월)'!G:G,'센터 자재 사용내역(05월)'!E:E,'사급자재 사용내역'!C19,'센터 자재 사용내역(05월)'!F:F,"교체")</f>
        <v>0</v>
      </c>
      <c r="R19" s="40">
        <f>SUMIFS('센터 자재 사용내역(06월)'!G:G,'센터 자재 사용내역(06월)'!E:E,'사급자재 사용내역'!C19,'센터 자재 사용내역(06월)'!F:F,"신규")+SUMIFS('센터 자재 사용내역(06월)'!G:G,'센터 자재 사용내역(06월)'!E:E,'사급자재 사용내역'!C19,'센터 자재 사용내역(06월)'!F:F,"교체")</f>
        <v>0</v>
      </c>
      <c r="S19" s="40">
        <f>SUMIFS('센터 자재 사용내역(07월)'!G:G,'센터 자재 사용내역(07월)'!E:E,'사급자재 사용내역'!C19,'센터 자재 사용내역(07월)'!F:F,"신규")+SUMIFS('센터 자재 사용내역(07월)'!G:G,'센터 자재 사용내역(07월)'!E:E,'사급자재 사용내역'!C19,'센터 자재 사용내역(07월)'!F:F,"교체")</f>
        <v>0</v>
      </c>
      <c r="T19" s="40">
        <f>SUMIFS('센터 자재 사용내역(08월)'!G:G,'센터 자재 사용내역(08월)'!E:E,'사급자재 사용내역'!C19,'센터 자재 사용내역(08월)'!F:F,"신규")+SUMIFS('센터 자재 사용내역(08월)'!G:G,'센터 자재 사용내역(08월)'!E:E,'사급자재 사용내역'!C19,'센터 자재 사용내역(08월)'!F:F,"교체")</f>
        <v>0</v>
      </c>
      <c r="U19" s="40">
        <f>SUMIFS('센터 자재 사용내역(09월)'!G:G,'센터 자재 사용내역(09월)'!E:E,'사급자재 사용내역'!C19,'센터 자재 사용내역(09월)'!F:F,"신규")+SUMIFS('센터 자재 사용내역(09월)'!G:G,'센터 자재 사용내역(09월)'!E:E,'사급자재 사용내역'!C19,'센터 자재 사용내역(09월)'!F:F,"교체")</f>
        <v>0</v>
      </c>
      <c r="V19" s="40">
        <f>SUMIFS('센터 자재 사용내역(10월)'!G:G,'센터 자재 사용내역(10월)'!E:E,'사급자재 사용내역'!C19,'센터 자재 사용내역(10월)'!F:F,"신규")+SUMIFS('센터 자재 사용내역(10월)'!G:G,'센터 자재 사용내역(10월)'!E:E,'사급자재 사용내역'!C19,'센터 자재 사용내역(10월)'!F:F,"교체")</f>
        <v>0</v>
      </c>
      <c r="W19" s="40">
        <f>SUMIFS('센터 자재 사용내역(11월)'!G:G,'센터 자재 사용내역(11월)'!E:E,'사급자재 사용내역'!C19,'센터 자재 사용내역(11월)'!F:F,"신규")+SUMIFS('센터 자재 사용내역(11월)'!G:G,'센터 자재 사용내역(11월)'!E:E,'사급자재 사용내역'!C19,'센터 자재 사용내역(11월)'!F:F,"교체")</f>
        <v>0</v>
      </c>
      <c r="X19" s="40">
        <f>SUMIFS('센터 자재 사용내역(12월)'!G:G,'센터 자재 사용내역(12월)'!E:E,'사급자재 사용내역'!C19,'센터 자재 사용내역(12월)'!F:F,"신규")+SUMIFS('센터 자재 사용내역(12월)'!G:G,'센터 자재 사용내역(12월)'!E:E,'사급자재 사용내역'!C19,'센터 자재 사용내역(12월)'!F:F,"교체")</f>
        <v>0</v>
      </c>
      <c r="Y19" s="40">
        <f t="shared" si="2"/>
        <v>0</v>
      </c>
      <c r="Z19" s="52"/>
      <c r="AB19" s="56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1">
        <f t="shared" si="3"/>
        <v>0</v>
      </c>
      <c r="AO19" s="57"/>
      <c r="AQ19" s="61">
        <f>SUMIFS('센터 자재 사용내역(01월)'!G:G,'센터 자재 사용내역(01월)'!E:E,'사급자재 사용내역'!C19,'센터 자재 사용내역(01월)'!F:F,"불량")</f>
        <v>0</v>
      </c>
      <c r="AR19" s="40">
        <f>SUMIFS('센터 자재 사용내역(02월)'!G:G,'센터 자재 사용내역(02월)'!E:E,'사급자재 사용내역'!C19,'센터 자재 사용내역(02월)'!F:F,"불량")</f>
        <v>0</v>
      </c>
      <c r="AS19" s="40">
        <f>SUMIFS('센터 자재 사용내역(03월)'!G:G,'센터 자재 사용내역(03월)'!E:E,'사급자재 사용내역'!C19,'센터 자재 사용내역(03월)'!F:F,"불량")</f>
        <v>0</v>
      </c>
      <c r="AT19" s="40">
        <f>SUMIFS('센터 자재 사용내역(04월)'!G:G,'센터 자재 사용내역(04월)'!E:E,'사급자재 사용내역'!C19,'센터 자재 사용내역(04월)'!F:F,"불량")</f>
        <v>0</v>
      </c>
      <c r="AU19" s="40">
        <f>SUMIFS('센터 자재 사용내역(05월)'!G:G,'센터 자재 사용내역(05월)'!E:E,'사급자재 사용내역'!C19,'센터 자재 사용내역(05월)'!F:F,"불량")</f>
        <v>0</v>
      </c>
      <c r="AV19" s="40">
        <f>SUMIFS('센터 자재 사용내역(06월)'!G:G,'센터 자재 사용내역(06월)'!E:E,'사급자재 사용내역'!C19,'센터 자재 사용내역(06월)'!F:F,"불량")</f>
        <v>0</v>
      </c>
      <c r="AW19" s="40">
        <f>SUMIFS('센터 자재 사용내역(07월)'!G:G,'센터 자재 사용내역(07월)'!E:E,'사급자재 사용내역'!C19,'센터 자재 사용내역(07월)'!F:F,"불량")</f>
        <v>0</v>
      </c>
      <c r="AX19" s="40">
        <f>SUMIFS('센터 자재 사용내역(08월)'!G:G,'센터 자재 사용내역(08월)'!E:E,'사급자재 사용내역'!C19,'센터 자재 사용내역(08월)'!F:F,"불량")</f>
        <v>0</v>
      </c>
      <c r="AY19" s="40">
        <f>SUMIFS('센터 자재 사용내역(09월)'!G:G,'센터 자재 사용내역(09월)'!E:E,'사급자재 사용내역'!C19,'센터 자재 사용내역(09월)'!F:F,"불량")</f>
        <v>0</v>
      </c>
      <c r="AZ19" s="40">
        <f>SUMIFS('센터 자재 사용내역(10월)'!G:G,'센터 자재 사용내역(10월)'!E:E,'사급자재 사용내역'!C19,'센터 자재 사용내역(10월)'!F:F,"불량")</f>
        <v>0</v>
      </c>
      <c r="BA19" s="40">
        <f>SUMIFS('센터 자재 사용내역(11월)'!G:G,'센터 자재 사용내역(11월)'!E:E,'사급자재 사용내역'!C19,'센터 자재 사용내역(11월)'!F:F,"불량")</f>
        <v>0</v>
      </c>
      <c r="BB19" s="40">
        <f>SUMIFS('센터 자재 사용내역(12월)'!G:G,'센터 자재 사용내역(12월)'!E:E,'사급자재 사용내역'!C19,'센터 자재 사용내역(12월)'!F:F,"불량")</f>
        <v>0</v>
      </c>
      <c r="BC19" s="40">
        <f t="shared" si="6"/>
        <v>0</v>
      </c>
      <c r="BD19" s="62"/>
    </row>
    <row r="20" spans="2:56" ht="19.5" customHeight="1">
      <c r="B20" s="99"/>
      <c r="C20" s="22" t="s">
        <v>148</v>
      </c>
      <c r="D20" s="64" t="s">
        <v>129</v>
      </c>
      <c r="E20" s="46">
        <v>1</v>
      </c>
      <c r="F20" s="47">
        <v>0</v>
      </c>
      <c r="G20" s="46"/>
      <c r="H20" s="78"/>
      <c r="I20" s="90">
        <f t="shared" si="4"/>
        <v>1</v>
      </c>
      <c r="J20" s="89">
        <f t="shared" si="5"/>
        <v>0</v>
      </c>
      <c r="K20" s="78">
        <f t="shared" si="7"/>
        <v>0</v>
      </c>
      <c r="L20" s="84">
        <f t="shared" si="1"/>
        <v>1</v>
      </c>
      <c r="M20" s="79">
        <f>SUMIFS('센터 자재 사용내역(01월)'!G:G,'센터 자재 사용내역(01월)'!E:E,'사급자재 사용내역'!C20,'센터 자재 사용내역(01월)'!F:F,"신규")+SUMIFS('센터 자재 사용내역(01월)'!G:G,'센터 자재 사용내역(01월)'!E:E,'사급자재 사용내역'!C20,'센터 자재 사용내역(01월)'!F:F,"교체")</f>
        <v>0</v>
      </c>
      <c r="N20" s="40">
        <f>SUMIFS('센터 자재 사용내역(02월)'!G:G,'센터 자재 사용내역(02월)'!E:E,'사급자재 사용내역'!C20,'센터 자재 사용내역(02월)'!F:F,"신규")+SUMIFS('센터 자재 사용내역(02월)'!G:G,'센터 자재 사용내역(02월)'!E:E,'사급자재 사용내역'!C20,'센터 자재 사용내역(02월)'!F:F,"교체")</f>
        <v>0</v>
      </c>
      <c r="O20" s="40">
        <f>SUMIFS('센터 자재 사용내역(03월)'!G:G,'센터 자재 사용내역(03월)'!E:E,'사급자재 사용내역'!C20,'센터 자재 사용내역(03월)'!F:F,"신규")+SUMIFS('센터 자재 사용내역(03월)'!G:G,'센터 자재 사용내역(03월)'!E:E,'사급자재 사용내역'!C20,'센터 자재 사용내역(03월)'!F:F,"교체")</f>
        <v>0</v>
      </c>
      <c r="P20" s="40">
        <f>SUMIFS('센터 자재 사용내역(04월)'!G:G,'센터 자재 사용내역(04월)'!E:E,'사급자재 사용내역'!C20,'센터 자재 사용내역(04월)'!F:F,"신규")+SUMIFS('센터 자재 사용내역(04월)'!G:G,'센터 자재 사용내역(04월)'!E:E,'사급자재 사용내역'!C20,'센터 자재 사용내역(04월)'!F:F,"교체")</f>
        <v>0</v>
      </c>
      <c r="Q20" s="40">
        <f>SUMIFS('센터 자재 사용내역(05월)'!G:G,'센터 자재 사용내역(05월)'!E:E,'사급자재 사용내역'!C20,'센터 자재 사용내역(05월)'!F:F,"신규")+SUMIFS('센터 자재 사용내역(05월)'!G:G,'센터 자재 사용내역(05월)'!E:E,'사급자재 사용내역'!C20,'센터 자재 사용내역(05월)'!F:F,"교체")</f>
        <v>0</v>
      </c>
      <c r="R20" s="40">
        <f>SUMIFS('센터 자재 사용내역(06월)'!G:G,'센터 자재 사용내역(06월)'!E:E,'사급자재 사용내역'!C20,'센터 자재 사용내역(06월)'!F:F,"신규")+SUMIFS('센터 자재 사용내역(06월)'!G:G,'센터 자재 사용내역(06월)'!E:E,'사급자재 사용내역'!C20,'센터 자재 사용내역(06월)'!F:F,"교체")</f>
        <v>0</v>
      </c>
      <c r="S20" s="40">
        <f>SUMIFS('센터 자재 사용내역(07월)'!G:G,'센터 자재 사용내역(07월)'!E:E,'사급자재 사용내역'!C20,'센터 자재 사용내역(07월)'!F:F,"신규")+SUMIFS('센터 자재 사용내역(07월)'!G:G,'센터 자재 사용내역(07월)'!E:E,'사급자재 사용내역'!C20,'센터 자재 사용내역(07월)'!F:F,"교체")</f>
        <v>0</v>
      </c>
      <c r="T20" s="40">
        <f>SUMIFS('센터 자재 사용내역(08월)'!G:G,'센터 자재 사용내역(08월)'!E:E,'사급자재 사용내역'!C20,'센터 자재 사용내역(08월)'!F:F,"신규")+SUMIFS('센터 자재 사용내역(08월)'!G:G,'센터 자재 사용내역(08월)'!E:E,'사급자재 사용내역'!C20,'센터 자재 사용내역(08월)'!F:F,"교체")</f>
        <v>0</v>
      </c>
      <c r="U20" s="40">
        <f>SUMIFS('센터 자재 사용내역(09월)'!G:G,'센터 자재 사용내역(09월)'!E:E,'사급자재 사용내역'!C20,'센터 자재 사용내역(09월)'!F:F,"신규")+SUMIFS('센터 자재 사용내역(09월)'!G:G,'센터 자재 사용내역(09월)'!E:E,'사급자재 사용내역'!C20,'센터 자재 사용내역(09월)'!F:F,"교체")</f>
        <v>0</v>
      </c>
      <c r="V20" s="40">
        <f>SUMIFS('센터 자재 사용내역(10월)'!G:G,'센터 자재 사용내역(10월)'!E:E,'사급자재 사용내역'!C20,'센터 자재 사용내역(10월)'!F:F,"신규")+SUMIFS('센터 자재 사용내역(10월)'!G:G,'센터 자재 사용내역(10월)'!E:E,'사급자재 사용내역'!C20,'센터 자재 사용내역(10월)'!F:F,"교체")</f>
        <v>0</v>
      </c>
      <c r="W20" s="40">
        <f>SUMIFS('센터 자재 사용내역(11월)'!G:G,'센터 자재 사용내역(11월)'!E:E,'사급자재 사용내역'!C20,'센터 자재 사용내역(11월)'!F:F,"신규")+SUMIFS('센터 자재 사용내역(11월)'!G:G,'센터 자재 사용내역(11월)'!E:E,'사급자재 사용내역'!C20,'센터 자재 사용내역(11월)'!F:F,"교체")</f>
        <v>0</v>
      </c>
      <c r="X20" s="40">
        <f>SUMIFS('센터 자재 사용내역(12월)'!G:G,'센터 자재 사용내역(12월)'!E:E,'사급자재 사용내역'!C20,'센터 자재 사용내역(12월)'!F:F,"신규")+SUMIFS('센터 자재 사용내역(12월)'!G:G,'센터 자재 사용내역(12월)'!E:E,'사급자재 사용내역'!C20,'센터 자재 사용내역(12월)'!F:F,"교체")</f>
        <v>0</v>
      </c>
      <c r="Y20" s="40">
        <f t="shared" si="2"/>
        <v>0</v>
      </c>
      <c r="Z20" s="52"/>
      <c r="AB20" s="56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1">
        <f t="shared" si="3"/>
        <v>0</v>
      </c>
      <c r="AO20" s="57"/>
      <c r="AQ20" s="61">
        <f>SUMIFS('센터 자재 사용내역(01월)'!G:G,'센터 자재 사용내역(01월)'!E:E,'사급자재 사용내역'!C20,'센터 자재 사용내역(01월)'!F:F,"불량")</f>
        <v>0</v>
      </c>
      <c r="AR20" s="40">
        <f>SUMIFS('센터 자재 사용내역(02월)'!G:G,'센터 자재 사용내역(02월)'!E:E,'사급자재 사용내역'!C20,'센터 자재 사용내역(02월)'!F:F,"불량")</f>
        <v>0</v>
      </c>
      <c r="AS20" s="40">
        <f>SUMIFS('센터 자재 사용내역(03월)'!G:G,'센터 자재 사용내역(03월)'!E:E,'사급자재 사용내역'!C20,'센터 자재 사용내역(03월)'!F:F,"불량")</f>
        <v>0</v>
      </c>
      <c r="AT20" s="40">
        <f>SUMIFS('센터 자재 사용내역(04월)'!G:G,'센터 자재 사용내역(04월)'!E:E,'사급자재 사용내역'!C20,'센터 자재 사용내역(04월)'!F:F,"불량")</f>
        <v>0</v>
      </c>
      <c r="AU20" s="40">
        <f>SUMIFS('센터 자재 사용내역(05월)'!G:G,'센터 자재 사용내역(05월)'!E:E,'사급자재 사용내역'!C20,'센터 자재 사용내역(05월)'!F:F,"불량")</f>
        <v>0</v>
      </c>
      <c r="AV20" s="40">
        <f>SUMIFS('센터 자재 사용내역(06월)'!G:G,'센터 자재 사용내역(06월)'!E:E,'사급자재 사용내역'!C20,'센터 자재 사용내역(06월)'!F:F,"불량")</f>
        <v>0</v>
      </c>
      <c r="AW20" s="40">
        <f>SUMIFS('센터 자재 사용내역(07월)'!G:G,'센터 자재 사용내역(07월)'!E:E,'사급자재 사용내역'!C20,'센터 자재 사용내역(07월)'!F:F,"불량")</f>
        <v>1</v>
      </c>
      <c r="AX20" s="40">
        <f>SUMIFS('센터 자재 사용내역(08월)'!G:G,'센터 자재 사용내역(08월)'!E:E,'사급자재 사용내역'!C20,'센터 자재 사용내역(08월)'!F:F,"불량")</f>
        <v>0</v>
      </c>
      <c r="AY20" s="40">
        <f>SUMIFS('센터 자재 사용내역(09월)'!G:G,'센터 자재 사용내역(09월)'!E:E,'사급자재 사용내역'!C20,'센터 자재 사용내역(09월)'!F:F,"불량")</f>
        <v>0</v>
      </c>
      <c r="AZ20" s="40">
        <f>SUMIFS('센터 자재 사용내역(10월)'!G:G,'센터 자재 사용내역(10월)'!E:E,'사급자재 사용내역'!C20,'센터 자재 사용내역(10월)'!F:F,"불량")</f>
        <v>0</v>
      </c>
      <c r="BA20" s="40">
        <f>SUMIFS('센터 자재 사용내역(11월)'!G:G,'센터 자재 사용내역(11월)'!E:E,'사급자재 사용내역'!C20,'센터 자재 사용내역(11월)'!F:F,"불량")</f>
        <v>0</v>
      </c>
      <c r="BB20" s="40">
        <f>SUMIFS('센터 자재 사용내역(12월)'!G:G,'센터 자재 사용내역(12월)'!E:E,'사급자재 사용내역'!C20,'센터 자재 사용내역(12월)'!F:F,"불량")</f>
        <v>0</v>
      </c>
      <c r="BC20" s="40">
        <f t="shared" si="6"/>
        <v>1</v>
      </c>
      <c r="BD20" s="62"/>
    </row>
    <row r="21" spans="2:56" ht="19.5" customHeight="1">
      <c r="B21" s="99"/>
      <c r="C21" s="22" t="s">
        <v>18</v>
      </c>
      <c r="D21" s="64" t="s">
        <v>129</v>
      </c>
      <c r="E21" s="46">
        <v>19</v>
      </c>
      <c r="F21" s="47">
        <v>1</v>
      </c>
      <c r="G21" s="46">
        <v>1</v>
      </c>
      <c r="H21" s="78"/>
      <c r="I21" s="90">
        <f t="shared" si="4"/>
        <v>0</v>
      </c>
      <c r="J21" s="89">
        <f t="shared" si="5"/>
        <v>0</v>
      </c>
      <c r="K21" s="78">
        <f t="shared" si="7"/>
        <v>0</v>
      </c>
      <c r="L21" s="84">
        <f t="shared" si="1"/>
        <v>19</v>
      </c>
      <c r="M21" s="79">
        <f>SUMIFS('센터 자재 사용내역(01월)'!G:G,'센터 자재 사용내역(01월)'!E:E,'사급자재 사용내역'!C21,'센터 자재 사용내역(01월)'!F:F,"신규")+SUMIFS('센터 자재 사용내역(01월)'!G:G,'센터 자재 사용내역(01월)'!E:E,'사급자재 사용내역'!C21,'센터 자재 사용내역(01월)'!F:F,"교체")</f>
        <v>0</v>
      </c>
      <c r="N21" s="40">
        <f>SUMIFS('센터 자재 사용내역(02월)'!G:G,'센터 자재 사용내역(02월)'!E:E,'사급자재 사용내역'!C21,'센터 자재 사용내역(02월)'!F:F,"신규")+SUMIFS('센터 자재 사용내역(02월)'!G:G,'센터 자재 사용내역(02월)'!E:E,'사급자재 사용내역'!C21,'센터 자재 사용내역(02월)'!F:F,"교체")</f>
        <v>0</v>
      </c>
      <c r="O21" s="40">
        <f>SUMIFS('센터 자재 사용내역(03월)'!G:G,'센터 자재 사용내역(03월)'!E:E,'사급자재 사용내역'!C21,'센터 자재 사용내역(03월)'!F:F,"신규")+SUMIFS('센터 자재 사용내역(03월)'!G:G,'센터 자재 사용내역(03월)'!E:E,'사급자재 사용내역'!C21,'센터 자재 사용내역(03월)'!F:F,"교체")</f>
        <v>0</v>
      </c>
      <c r="P21" s="40">
        <f>SUMIFS('센터 자재 사용내역(04월)'!G:G,'센터 자재 사용내역(04월)'!E:E,'사급자재 사용내역'!C21,'센터 자재 사용내역(04월)'!F:F,"신규")+SUMIFS('센터 자재 사용내역(04월)'!G:G,'센터 자재 사용내역(04월)'!E:E,'사급자재 사용내역'!C21,'센터 자재 사용내역(04월)'!F:F,"교체")</f>
        <v>0</v>
      </c>
      <c r="Q21" s="40">
        <f>SUMIFS('센터 자재 사용내역(05월)'!G:G,'센터 자재 사용내역(05월)'!E:E,'사급자재 사용내역'!C21,'센터 자재 사용내역(05월)'!F:F,"신규")+SUMIFS('센터 자재 사용내역(05월)'!G:G,'센터 자재 사용내역(05월)'!E:E,'사급자재 사용내역'!C21,'센터 자재 사용내역(05월)'!F:F,"교체")</f>
        <v>0</v>
      </c>
      <c r="R21" s="40">
        <f>SUMIFS('센터 자재 사용내역(06월)'!G:G,'센터 자재 사용내역(06월)'!E:E,'사급자재 사용내역'!C21,'센터 자재 사용내역(06월)'!F:F,"신규")+SUMIFS('센터 자재 사용내역(06월)'!G:G,'센터 자재 사용내역(06월)'!E:E,'사급자재 사용내역'!C21,'센터 자재 사용내역(06월)'!F:F,"교체")</f>
        <v>0</v>
      </c>
      <c r="S21" s="40">
        <f>SUMIFS('센터 자재 사용내역(07월)'!G:G,'센터 자재 사용내역(07월)'!E:E,'사급자재 사용내역'!C21,'센터 자재 사용내역(07월)'!F:F,"신규")+SUMIFS('센터 자재 사용내역(07월)'!G:G,'센터 자재 사용내역(07월)'!E:E,'사급자재 사용내역'!C21,'센터 자재 사용내역(07월)'!F:F,"교체")</f>
        <v>0</v>
      </c>
      <c r="T21" s="40">
        <f>SUMIFS('센터 자재 사용내역(08월)'!G:G,'센터 자재 사용내역(08월)'!E:E,'사급자재 사용내역'!C21,'센터 자재 사용내역(08월)'!F:F,"신규")+SUMIFS('센터 자재 사용내역(08월)'!G:G,'센터 자재 사용내역(08월)'!E:E,'사급자재 사용내역'!C21,'센터 자재 사용내역(08월)'!F:F,"교체")</f>
        <v>0</v>
      </c>
      <c r="U21" s="40">
        <f>SUMIFS('센터 자재 사용내역(09월)'!G:G,'센터 자재 사용내역(09월)'!E:E,'사급자재 사용내역'!C21,'센터 자재 사용내역(09월)'!F:F,"신규")+SUMIFS('센터 자재 사용내역(09월)'!G:G,'센터 자재 사용내역(09월)'!E:E,'사급자재 사용내역'!C21,'센터 자재 사용내역(09월)'!F:F,"교체")</f>
        <v>0</v>
      </c>
      <c r="V21" s="40">
        <f>SUMIFS('센터 자재 사용내역(10월)'!G:G,'센터 자재 사용내역(10월)'!E:E,'사급자재 사용내역'!C21,'센터 자재 사용내역(10월)'!F:F,"신규")+SUMIFS('센터 자재 사용내역(10월)'!G:G,'센터 자재 사용내역(10월)'!E:E,'사급자재 사용내역'!C21,'센터 자재 사용내역(10월)'!F:F,"교체")</f>
        <v>0</v>
      </c>
      <c r="W21" s="40">
        <f>SUMIFS('센터 자재 사용내역(11월)'!G:G,'센터 자재 사용내역(11월)'!E:E,'사급자재 사용내역'!C21,'센터 자재 사용내역(11월)'!F:F,"신규")+SUMIFS('센터 자재 사용내역(11월)'!G:G,'센터 자재 사용내역(11월)'!E:E,'사급자재 사용내역'!C21,'센터 자재 사용내역(11월)'!F:F,"교체")</f>
        <v>0</v>
      </c>
      <c r="X21" s="40">
        <f>SUMIFS('센터 자재 사용내역(12월)'!G:G,'센터 자재 사용내역(12월)'!E:E,'사급자재 사용내역'!C21,'센터 자재 사용내역(12월)'!F:F,"신규")+SUMIFS('센터 자재 사용내역(12월)'!G:G,'센터 자재 사용내역(12월)'!E:E,'사급자재 사용내역'!C21,'센터 자재 사용내역(12월)'!F:F,"교체")</f>
        <v>0</v>
      </c>
      <c r="Y21" s="40">
        <f t="shared" si="2"/>
        <v>0</v>
      </c>
      <c r="Z21" s="52"/>
      <c r="AB21" s="56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1">
        <f t="shared" si="3"/>
        <v>0</v>
      </c>
      <c r="AO21" s="57"/>
      <c r="AQ21" s="61">
        <f>SUMIFS('센터 자재 사용내역(01월)'!G:G,'센터 자재 사용내역(01월)'!E:E,'사급자재 사용내역'!C21,'센터 자재 사용내역(01월)'!F:F,"불량")</f>
        <v>0</v>
      </c>
      <c r="AR21" s="40">
        <f>SUMIFS('센터 자재 사용내역(02월)'!G:G,'센터 자재 사용내역(02월)'!E:E,'사급자재 사용내역'!C21,'센터 자재 사용내역(02월)'!F:F,"불량")</f>
        <v>0</v>
      </c>
      <c r="AS21" s="40">
        <f>SUMIFS('센터 자재 사용내역(03월)'!G:G,'센터 자재 사용내역(03월)'!E:E,'사급자재 사용내역'!C21,'센터 자재 사용내역(03월)'!F:F,"불량")</f>
        <v>0</v>
      </c>
      <c r="AT21" s="40">
        <f>SUMIFS('센터 자재 사용내역(04월)'!G:G,'센터 자재 사용내역(04월)'!E:E,'사급자재 사용내역'!C21,'센터 자재 사용내역(04월)'!F:F,"불량")</f>
        <v>0</v>
      </c>
      <c r="AU21" s="40">
        <f>SUMIFS('센터 자재 사용내역(05월)'!G:G,'센터 자재 사용내역(05월)'!E:E,'사급자재 사용내역'!C21,'센터 자재 사용내역(05월)'!F:F,"불량")</f>
        <v>0</v>
      </c>
      <c r="AV21" s="40">
        <f>SUMIFS('센터 자재 사용내역(06월)'!G:G,'센터 자재 사용내역(06월)'!E:E,'사급자재 사용내역'!C21,'센터 자재 사용내역(06월)'!F:F,"불량")</f>
        <v>0</v>
      </c>
      <c r="AW21" s="40">
        <f>SUMIFS('센터 자재 사용내역(07월)'!G:G,'센터 자재 사용내역(07월)'!E:E,'사급자재 사용내역'!C21,'센터 자재 사용내역(07월)'!F:F,"불량")</f>
        <v>0</v>
      </c>
      <c r="AX21" s="40">
        <f>SUMIFS('센터 자재 사용내역(08월)'!G:G,'센터 자재 사용내역(08월)'!E:E,'사급자재 사용내역'!C21,'센터 자재 사용내역(08월)'!F:F,"불량")</f>
        <v>0</v>
      </c>
      <c r="AY21" s="40">
        <f>SUMIFS('센터 자재 사용내역(09월)'!G:G,'센터 자재 사용내역(09월)'!E:E,'사급자재 사용내역'!C21,'센터 자재 사용내역(09월)'!F:F,"불량")</f>
        <v>0</v>
      </c>
      <c r="AZ21" s="40">
        <f>SUMIFS('센터 자재 사용내역(10월)'!G:G,'센터 자재 사용내역(10월)'!E:E,'사급자재 사용내역'!C21,'센터 자재 사용내역(10월)'!F:F,"불량")</f>
        <v>0</v>
      </c>
      <c r="BA21" s="40">
        <f>SUMIFS('센터 자재 사용내역(11월)'!G:G,'센터 자재 사용내역(11월)'!E:E,'사급자재 사용내역'!C21,'센터 자재 사용내역(11월)'!F:F,"불량")</f>
        <v>0</v>
      </c>
      <c r="BB21" s="40">
        <f>SUMIFS('센터 자재 사용내역(12월)'!G:G,'센터 자재 사용내역(12월)'!E:E,'사급자재 사용내역'!C21,'센터 자재 사용내역(12월)'!F:F,"불량")</f>
        <v>0</v>
      </c>
      <c r="BC21" s="40">
        <f t="shared" si="6"/>
        <v>0</v>
      </c>
      <c r="BD21" s="62"/>
    </row>
    <row r="22" spans="2:56" ht="19.5" customHeight="1">
      <c r="B22" s="100"/>
      <c r="C22" s="22" t="s">
        <v>205</v>
      </c>
      <c r="D22" s="64" t="s">
        <v>131</v>
      </c>
      <c r="E22" s="46">
        <v>0</v>
      </c>
      <c r="F22" s="47">
        <v>1</v>
      </c>
      <c r="G22" s="46"/>
      <c r="H22" s="78">
        <v>5</v>
      </c>
      <c r="I22" s="90">
        <f t="shared" si="4"/>
        <v>2</v>
      </c>
      <c r="J22" s="89">
        <f t="shared" si="5"/>
        <v>0</v>
      </c>
      <c r="K22" s="78">
        <f t="shared" si="7"/>
        <v>0</v>
      </c>
      <c r="L22" s="84">
        <f t="shared" si="1"/>
        <v>0</v>
      </c>
      <c r="M22" s="79">
        <f>SUMIFS('센터 자재 사용내역(01월)'!G:G,'센터 자재 사용내역(01월)'!E:E,'사급자재 사용내역'!C22,'센터 자재 사용내역(01월)'!F:F,"신규")+SUMIFS('센터 자재 사용내역(01월)'!G:G,'센터 자재 사용내역(01월)'!E:E,'사급자재 사용내역'!C22,'센터 자재 사용내역(01월)'!F:F,"교체")</f>
        <v>0</v>
      </c>
      <c r="N22" s="40">
        <f>SUMIFS('센터 자재 사용내역(02월)'!G:G,'센터 자재 사용내역(02월)'!E:E,'사급자재 사용내역'!C22,'센터 자재 사용내역(02월)'!F:F,"신규")+SUMIFS('센터 자재 사용내역(02월)'!G:G,'센터 자재 사용내역(02월)'!E:E,'사급자재 사용내역'!C22,'센터 자재 사용내역(02월)'!F:F,"교체")</f>
        <v>0</v>
      </c>
      <c r="O22" s="40">
        <f>SUMIFS('센터 자재 사용내역(03월)'!G:G,'센터 자재 사용내역(03월)'!E:E,'사급자재 사용내역'!C22,'센터 자재 사용내역(03월)'!F:F,"신규")+SUMIFS('센터 자재 사용내역(03월)'!G:G,'센터 자재 사용내역(03월)'!E:E,'사급자재 사용내역'!C22,'센터 자재 사용내역(03월)'!F:F,"교체")</f>
        <v>0</v>
      </c>
      <c r="P22" s="40">
        <f>SUMIFS('센터 자재 사용내역(04월)'!G:G,'센터 자재 사용내역(04월)'!E:E,'사급자재 사용내역'!C22,'센터 자재 사용내역(04월)'!F:F,"신규")+SUMIFS('센터 자재 사용내역(04월)'!G:G,'센터 자재 사용내역(04월)'!E:E,'사급자재 사용내역'!C22,'센터 자재 사용내역(04월)'!F:F,"교체")</f>
        <v>0</v>
      </c>
      <c r="Q22" s="40">
        <f>SUMIFS('센터 자재 사용내역(05월)'!G:G,'센터 자재 사용내역(05월)'!E:E,'사급자재 사용내역'!C22,'센터 자재 사용내역(05월)'!F:F,"신규")+SUMIFS('센터 자재 사용내역(05월)'!G:G,'센터 자재 사용내역(05월)'!E:E,'사급자재 사용내역'!C22,'센터 자재 사용내역(05월)'!F:F,"교체")</f>
        <v>0</v>
      </c>
      <c r="R22" s="40">
        <f>SUMIFS('센터 자재 사용내역(06월)'!G:G,'센터 자재 사용내역(06월)'!E:E,'사급자재 사용내역'!C22,'센터 자재 사용내역(06월)'!F:F,"신규")+SUMIFS('센터 자재 사용내역(06월)'!G:G,'센터 자재 사용내역(06월)'!E:E,'사급자재 사용내역'!C22,'센터 자재 사용내역(06월)'!F:F,"교체")</f>
        <v>0</v>
      </c>
      <c r="S22" s="40">
        <f>SUMIFS('센터 자재 사용내역(07월)'!G:G,'센터 자재 사용내역(07월)'!E:E,'사급자재 사용내역'!C22,'센터 자재 사용내역(07월)'!F:F,"신규")+SUMIFS('센터 자재 사용내역(07월)'!G:G,'센터 자재 사용내역(07월)'!E:E,'사급자재 사용내역'!C22,'센터 자재 사용내역(07월)'!F:F,"교체")</f>
        <v>0</v>
      </c>
      <c r="T22" s="40">
        <f>SUMIFS('센터 자재 사용내역(08월)'!G:G,'센터 자재 사용내역(08월)'!E:E,'사급자재 사용내역'!C22,'센터 자재 사용내역(08월)'!F:F,"신규")+SUMIFS('센터 자재 사용내역(08월)'!G:G,'센터 자재 사용내역(08월)'!E:E,'사급자재 사용내역'!C22,'센터 자재 사용내역(08월)'!F:F,"교체")</f>
        <v>0</v>
      </c>
      <c r="U22" s="40">
        <f>SUMIFS('센터 자재 사용내역(09월)'!G:G,'센터 자재 사용내역(09월)'!E:E,'사급자재 사용내역'!C22,'센터 자재 사용내역(09월)'!F:F,"신규")+SUMIFS('센터 자재 사용내역(09월)'!G:G,'센터 자재 사용내역(09월)'!E:E,'사급자재 사용내역'!C22,'센터 자재 사용내역(09월)'!F:F,"교체")</f>
        <v>0</v>
      </c>
      <c r="V22" s="40">
        <f>SUMIFS('센터 자재 사용내역(10월)'!G:G,'센터 자재 사용내역(10월)'!E:E,'사급자재 사용내역'!C22,'센터 자재 사용내역(10월)'!F:F,"신규")+SUMIFS('센터 자재 사용내역(10월)'!G:G,'센터 자재 사용내역(10월)'!E:E,'사급자재 사용내역'!C22,'센터 자재 사용내역(10월)'!F:F,"교체")</f>
        <v>0</v>
      </c>
      <c r="W22" s="40">
        <f>SUMIFS('센터 자재 사용내역(11월)'!G:G,'센터 자재 사용내역(11월)'!E:E,'사급자재 사용내역'!C22,'센터 자재 사용내역(11월)'!F:F,"신규")+SUMIFS('센터 자재 사용내역(11월)'!G:G,'센터 자재 사용내역(11월)'!E:E,'사급자재 사용내역'!C22,'센터 자재 사용내역(11월)'!F:F,"교체")</f>
        <v>0</v>
      </c>
      <c r="X22" s="40">
        <f>SUMIFS('센터 자재 사용내역(12월)'!G:G,'센터 자재 사용내역(12월)'!E:E,'사급자재 사용내역'!C22,'센터 자재 사용내역(12월)'!F:F,"신규")+SUMIFS('센터 자재 사용내역(12월)'!G:G,'센터 자재 사용내역(12월)'!E:E,'사급자재 사용내역'!C22,'센터 자재 사용내역(12월)'!F:F,"교체")</f>
        <v>0</v>
      </c>
      <c r="Y22" s="40">
        <f t="shared" si="2"/>
        <v>0</v>
      </c>
      <c r="Z22" s="52"/>
      <c r="AB22" s="56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1">
        <f t="shared" si="3"/>
        <v>0</v>
      </c>
      <c r="AO22" s="57"/>
      <c r="AQ22" s="61">
        <f>SUMIFS('센터 자재 사용내역(01월)'!G:G,'센터 자재 사용내역(01월)'!E:E,'사급자재 사용내역'!C22,'센터 자재 사용내역(01월)'!F:F,"불량")</f>
        <v>1</v>
      </c>
      <c r="AR22" s="40">
        <f>SUMIFS('센터 자재 사용내역(02월)'!G:G,'센터 자재 사용내역(02월)'!E:E,'사급자재 사용내역'!C22,'센터 자재 사용내역(02월)'!F:F,"불량")</f>
        <v>1</v>
      </c>
      <c r="AS22" s="40">
        <f>SUMIFS('센터 자재 사용내역(03월)'!G:G,'센터 자재 사용내역(03월)'!E:E,'사급자재 사용내역'!C22,'센터 자재 사용내역(03월)'!F:F,"불량")</f>
        <v>0</v>
      </c>
      <c r="AT22" s="40">
        <f>SUMIFS('센터 자재 사용내역(04월)'!G:G,'센터 자재 사용내역(04월)'!E:E,'사급자재 사용내역'!C22,'센터 자재 사용내역(04월)'!F:F,"불량")</f>
        <v>1</v>
      </c>
      <c r="AU22" s="40">
        <f>SUMIFS('센터 자재 사용내역(05월)'!G:G,'센터 자재 사용내역(05월)'!E:E,'사급자재 사용내역'!C22,'센터 자재 사용내역(05월)'!F:F,"불량")</f>
        <v>1</v>
      </c>
      <c r="AV22" s="40">
        <f>SUMIFS('센터 자재 사용내역(06월)'!G:G,'센터 자재 사용내역(06월)'!E:E,'사급자재 사용내역'!C22,'센터 자재 사용내역(06월)'!F:F,"불량")</f>
        <v>0</v>
      </c>
      <c r="AW22" s="40">
        <f>SUMIFS('센터 자재 사용내역(07월)'!G:G,'센터 자재 사용내역(07월)'!E:E,'사급자재 사용내역'!C22,'센터 자재 사용내역(07월)'!F:F,"불량")</f>
        <v>1</v>
      </c>
      <c r="AX22" s="40">
        <f>SUMIFS('센터 자재 사용내역(08월)'!G:G,'센터 자재 사용내역(08월)'!E:E,'사급자재 사용내역'!C22,'센터 자재 사용내역(08월)'!F:F,"불량")</f>
        <v>1</v>
      </c>
      <c r="AY22" s="40">
        <f>SUMIFS('센터 자재 사용내역(09월)'!G:G,'센터 자재 사용내역(09월)'!E:E,'사급자재 사용내역'!C22,'센터 자재 사용내역(09월)'!F:F,"불량")</f>
        <v>0</v>
      </c>
      <c r="AZ22" s="40">
        <f>SUMIFS('센터 자재 사용내역(10월)'!G:G,'센터 자재 사용내역(10월)'!E:E,'사급자재 사용내역'!C22,'센터 자재 사용내역(10월)'!F:F,"불량")</f>
        <v>0</v>
      </c>
      <c r="BA22" s="40">
        <f>SUMIFS('센터 자재 사용내역(11월)'!G:G,'센터 자재 사용내역(11월)'!E:E,'사급자재 사용내역'!C22,'센터 자재 사용내역(11월)'!F:F,"불량")</f>
        <v>0</v>
      </c>
      <c r="BB22" s="40">
        <f>SUMIFS('센터 자재 사용내역(12월)'!G:G,'센터 자재 사용내역(12월)'!E:E,'사급자재 사용내역'!C22,'센터 자재 사용내역(12월)'!F:F,"불량")</f>
        <v>0</v>
      </c>
      <c r="BC22" s="40">
        <f t="shared" si="6"/>
        <v>6</v>
      </c>
      <c r="BD22" s="62"/>
    </row>
    <row r="23" spans="2:56" ht="19.5" customHeight="1">
      <c r="B23" s="98" t="s">
        <v>30</v>
      </c>
      <c r="C23" s="22" t="s">
        <v>20</v>
      </c>
      <c r="D23" s="64" t="s">
        <v>131</v>
      </c>
      <c r="E23" s="46">
        <v>0</v>
      </c>
      <c r="F23" s="47">
        <v>9</v>
      </c>
      <c r="G23" s="46">
        <v>5</v>
      </c>
      <c r="H23" s="78">
        <v>4</v>
      </c>
      <c r="I23" s="90">
        <f t="shared" si="4"/>
        <v>4</v>
      </c>
      <c r="J23" s="89">
        <f t="shared" si="5"/>
        <v>5</v>
      </c>
      <c r="K23" s="78">
        <f t="shared" si="7"/>
        <v>5</v>
      </c>
      <c r="L23" s="84">
        <f t="shared" si="1"/>
        <v>0</v>
      </c>
      <c r="M23" s="79">
        <f>SUMIFS('센터 자재 사용내역(01월)'!G:G,'센터 자재 사용내역(01월)'!E:E,'사급자재 사용내역'!C23,'센터 자재 사용내역(01월)'!F:F,"신규")+SUMIFS('센터 자재 사용내역(01월)'!G:G,'센터 자재 사용내역(01월)'!E:E,'사급자재 사용내역'!C23,'센터 자재 사용내역(01월)'!F:F,"교체")</f>
        <v>0</v>
      </c>
      <c r="N23" s="40">
        <f>SUMIFS('센터 자재 사용내역(02월)'!G:G,'센터 자재 사용내역(02월)'!E:E,'사급자재 사용내역'!C23,'센터 자재 사용내역(02월)'!F:F,"신규")+SUMIFS('센터 자재 사용내역(02월)'!G:G,'센터 자재 사용내역(02월)'!E:E,'사급자재 사용내역'!C23,'센터 자재 사용내역(02월)'!F:F,"교체")</f>
        <v>0</v>
      </c>
      <c r="O23" s="40">
        <f>SUMIFS('센터 자재 사용내역(03월)'!G:G,'센터 자재 사용내역(03월)'!E:E,'사급자재 사용내역'!C23,'센터 자재 사용내역(03월)'!F:F,"신규")+SUMIFS('센터 자재 사용내역(03월)'!G:G,'센터 자재 사용내역(03월)'!E:E,'사급자재 사용내역'!C23,'센터 자재 사용내역(03월)'!F:F,"교체")</f>
        <v>0</v>
      </c>
      <c r="P23" s="40">
        <f>SUMIFS('센터 자재 사용내역(04월)'!G:G,'센터 자재 사용내역(04월)'!E:E,'사급자재 사용내역'!C23,'센터 자재 사용내역(04월)'!F:F,"신규")+SUMIFS('센터 자재 사용내역(04월)'!G:G,'센터 자재 사용내역(04월)'!E:E,'사급자재 사용내역'!C23,'센터 자재 사용내역(04월)'!F:F,"교체")</f>
        <v>0</v>
      </c>
      <c r="Q23" s="40">
        <f>SUMIFS('센터 자재 사용내역(05월)'!G:G,'센터 자재 사용내역(05월)'!E:E,'사급자재 사용내역'!C23,'센터 자재 사용내역(05월)'!F:F,"신규")+SUMIFS('센터 자재 사용내역(05월)'!G:G,'센터 자재 사용내역(05월)'!E:E,'사급자재 사용내역'!C23,'센터 자재 사용내역(05월)'!F:F,"교체")</f>
        <v>0</v>
      </c>
      <c r="R23" s="40">
        <f>SUMIFS('센터 자재 사용내역(06월)'!G:G,'센터 자재 사용내역(06월)'!E:E,'사급자재 사용내역'!C23,'센터 자재 사용내역(06월)'!F:F,"신규")+SUMIFS('센터 자재 사용내역(06월)'!G:G,'센터 자재 사용내역(06월)'!E:E,'사급자재 사용내역'!C23,'센터 자재 사용내역(06월)'!F:F,"교체")</f>
        <v>2</v>
      </c>
      <c r="S23" s="40">
        <f>SUMIFS('센터 자재 사용내역(07월)'!G:G,'센터 자재 사용내역(07월)'!E:E,'사급자재 사용내역'!C23,'센터 자재 사용내역(07월)'!F:F,"신규")+SUMIFS('센터 자재 사용내역(07월)'!G:G,'센터 자재 사용내역(07월)'!E:E,'사급자재 사용내역'!C23,'센터 자재 사용내역(07월)'!F:F,"교체")</f>
        <v>0</v>
      </c>
      <c r="T23" s="40">
        <f>SUMIFS('센터 자재 사용내역(08월)'!G:G,'센터 자재 사용내역(08월)'!E:E,'사급자재 사용내역'!C23,'센터 자재 사용내역(08월)'!F:F,"신규")+SUMIFS('센터 자재 사용내역(08월)'!G:G,'센터 자재 사용내역(08월)'!E:E,'사급자재 사용내역'!C23,'센터 자재 사용내역(08월)'!F:F,"교체")</f>
        <v>3</v>
      </c>
      <c r="U23" s="40">
        <f>SUMIFS('센터 자재 사용내역(09월)'!G:G,'센터 자재 사용내역(09월)'!E:E,'사급자재 사용내역'!C23,'센터 자재 사용내역(09월)'!F:F,"신규")+SUMIFS('센터 자재 사용내역(09월)'!G:G,'센터 자재 사용내역(09월)'!E:E,'사급자재 사용내역'!C23,'센터 자재 사용내역(09월)'!F:F,"교체")</f>
        <v>0</v>
      </c>
      <c r="V23" s="40">
        <f>SUMIFS('센터 자재 사용내역(10월)'!G:G,'센터 자재 사용내역(10월)'!E:E,'사급자재 사용내역'!C23,'센터 자재 사용내역(10월)'!F:F,"신규")+SUMIFS('센터 자재 사용내역(10월)'!G:G,'센터 자재 사용내역(10월)'!E:E,'사급자재 사용내역'!C23,'센터 자재 사용내역(10월)'!F:F,"교체")</f>
        <v>0</v>
      </c>
      <c r="W23" s="40">
        <f>SUMIFS('센터 자재 사용내역(11월)'!G:G,'센터 자재 사용내역(11월)'!E:E,'사급자재 사용내역'!C23,'센터 자재 사용내역(11월)'!F:F,"신규")+SUMIFS('센터 자재 사용내역(11월)'!G:G,'센터 자재 사용내역(11월)'!E:E,'사급자재 사용내역'!C23,'센터 자재 사용내역(11월)'!F:F,"교체")</f>
        <v>0</v>
      </c>
      <c r="X23" s="40">
        <f>SUMIFS('센터 자재 사용내역(12월)'!G:G,'센터 자재 사용내역(12월)'!E:E,'사급자재 사용내역'!C23,'센터 자재 사용내역(12월)'!F:F,"신규")+SUMIFS('센터 자재 사용내역(12월)'!G:G,'센터 자재 사용내역(12월)'!E:E,'사급자재 사용내역'!C23,'센터 자재 사용내역(12월)'!F:F,"교체")</f>
        <v>0</v>
      </c>
      <c r="Y23" s="40">
        <f t="shared" si="2"/>
        <v>5</v>
      </c>
      <c r="Z23" s="52"/>
      <c r="AB23" s="56"/>
      <c r="AC23" s="29">
        <v>5</v>
      </c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1">
        <f t="shared" si="3"/>
        <v>5</v>
      </c>
      <c r="AO23" s="57"/>
      <c r="AQ23" s="61">
        <f>SUMIFS('센터 자재 사용내역(01월)'!G:G,'센터 자재 사용내역(01월)'!E:E,'사급자재 사용내역'!C23,'센터 자재 사용내역(01월)'!F:F,"불량")</f>
        <v>0</v>
      </c>
      <c r="AR23" s="40">
        <f>SUMIFS('센터 자재 사용내역(02월)'!G:G,'센터 자재 사용내역(02월)'!E:E,'사급자재 사용내역'!C23,'센터 자재 사용내역(02월)'!F:F,"불량")</f>
        <v>0</v>
      </c>
      <c r="AS23" s="40">
        <f>SUMIFS('센터 자재 사용내역(03월)'!G:G,'센터 자재 사용내역(03월)'!E:E,'사급자재 사용내역'!C23,'센터 자재 사용내역(03월)'!F:F,"불량")</f>
        <v>0</v>
      </c>
      <c r="AT23" s="40">
        <f>SUMIFS('센터 자재 사용내역(04월)'!G:G,'센터 자재 사용내역(04월)'!E:E,'사급자재 사용내역'!C23,'센터 자재 사용내역(04월)'!F:F,"불량")</f>
        <v>0</v>
      </c>
      <c r="AU23" s="40">
        <f>SUMIFS('센터 자재 사용내역(05월)'!G:G,'센터 자재 사용내역(05월)'!E:E,'사급자재 사용내역'!C23,'센터 자재 사용내역(05월)'!F:F,"불량")</f>
        <v>2</v>
      </c>
      <c r="AV23" s="40">
        <f>SUMIFS('센터 자재 사용내역(06월)'!G:G,'센터 자재 사용내역(06월)'!E:E,'사급자재 사용내역'!C23,'센터 자재 사용내역(06월)'!F:F,"불량")</f>
        <v>0</v>
      </c>
      <c r="AW23" s="40">
        <f>SUMIFS('센터 자재 사용내역(07월)'!G:G,'센터 자재 사용내역(07월)'!E:E,'사급자재 사용내역'!C23,'센터 자재 사용내역(07월)'!F:F,"불량")</f>
        <v>1</v>
      </c>
      <c r="AX23" s="40">
        <f>SUMIFS('센터 자재 사용내역(08월)'!G:G,'센터 자재 사용내역(08월)'!E:E,'사급자재 사용내역'!C23,'센터 자재 사용내역(08월)'!F:F,"불량")</f>
        <v>1</v>
      </c>
      <c r="AY23" s="40">
        <f>SUMIFS('센터 자재 사용내역(09월)'!G:G,'센터 자재 사용내역(09월)'!E:E,'사급자재 사용내역'!C23,'센터 자재 사용내역(09월)'!F:F,"불량")</f>
        <v>0</v>
      </c>
      <c r="AZ23" s="40">
        <f>SUMIFS('센터 자재 사용내역(10월)'!G:G,'센터 자재 사용내역(10월)'!E:E,'사급자재 사용내역'!C23,'센터 자재 사용내역(10월)'!F:F,"불량")</f>
        <v>0</v>
      </c>
      <c r="BA23" s="40">
        <f>SUMIFS('센터 자재 사용내역(11월)'!G:G,'센터 자재 사용내역(11월)'!E:E,'사급자재 사용내역'!C23,'센터 자재 사용내역(11월)'!F:F,"불량")</f>
        <v>0</v>
      </c>
      <c r="BB23" s="40">
        <f>SUMIFS('센터 자재 사용내역(12월)'!G:G,'센터 자재 사용내역(12월)'!E:E,'사급자재 사용내역'!C23,'센터 자재 사용내역(12월)'!F:F,"불량")</f>
        <v>0</v>
      </c>
      <c r="BC23" s="40">
        <f t="shared" si="6"/>
        <v>4</v>
      </c>
      <c r="BD23" s="62"/>
    </row>
    <row r="24" spans="2:56" ht="19.5" customHeight="1">
      <c r="B24" s="99"/>
      <c r="C24" s="22" t="s">
        <v>171</v>
      </c>
      <c r="D24" s="64" t="s">
        <v>131</v>
      </c>
      <c r="E24" s="46">
        <v>0</v>
      </c>
      <c r="F24" s="47">
        <v>20</v>
      </c>
      <c r="G24" s="46">
        <v>13</v>
      </c>
      <c r="H24" s="78">
        <v>7</v>
      </c>
      <c r="I24" s="90">
        <f t="shared" si="4"/>
        <v>17</v>
      </c>
      <c r="J24" s="89">
        <f t="shared" si="5"/>
        <v>13</v>
      </c>
      <c r="K24" s="78">
        <f t="shared" si="7"/>
        <v>13</v>
      </c>
      <c r="L24" s="84">
        <f t="shared" si="1"/>
        <v>0</v>
      </c>
      <c r="M24" s="79">
        <f>SUMIFS('센터 자재 사용내역(01월)'!G:G,'센터 자재 사용내역(01월)'!E:E,'사급자재 사용내역'!C24,'센터 자재 사용내역(01월)'!F:F,"신규")+SUMIFS('센터 자재 사용내역(01월)'!G:G,'센터 자재 사용내역(01월)'!E:E,'사급자재 사용내역'!C24,'센터 자재 사용내역(01월)'!F:F,"교체")</f>
        <v>0</v>
      </c>
      <c r="N24" s="40">
        <f>SUMIFS('센터 자재 사용내역(02월)'!G:G,'센터 자재 사용내역(02월)'!E:E,'사급자재 사용내역'!C24,'센터 자재 사용내역(02월)'!F:F,"신규")+SUMIFS('센터 자재 사용내역(02월)'!G:G,'센터 자재 사용내역(02월)'!E:E,'사급자재 사용내역'!C24,'센터 자재 사용내역(02월)'!F:F,"교체")</f>
        <v>0</v>
      </c>
      <c r="O24" s="40">
        <f>SUMIFS('센터 자재 사용내역(03월)'!G:G,'센터 자재 사용내역(03월)'!E:E,'사급자재 사용내역'!C24,'센터 자재 사용내역(03월)'!F:F,"신규")+SUMIFS('센터 자재 사용내역(03월)'!G:G,'센터 자재 사용내역(03월)'!E:E,'사급자재 사용내역'!C24,'센터 자재 사용내역(03월)'!F:F,"교체")</f>
        <v>0</v>
      </c>
      <c r="P24" s="40">
        <f>SUMIFS('센터 자재 사용내역(04월)'!G:G,'센터 자재 사용내역(04월)'!E:E,'사급자재 사용내역'!C24,'센터 자재 사용내역(04월)'!F:F,"신규")+SUMIFS('센터 자재 사용내역(04월)'!G:G,'센터 자재 사용내역(04월)'!E:E,'사급자재 사용내역'!C24,'센터 자재 사용내역(04월)'!F:F,"교체")</f>
        <v>2</v>
      </c>
      <c r="Q24" s="40">
        <f>SUMIFS('센터 자재 사용내역(05월)'!G:G,'센터 자재 사용내역(05월)'!E:E,'사급자재 사용내역'!C24,'센터 자재 사용내역(05월)'!F:F,"신규")+SUMIFS('센터 자재 사용내역(05월)'!G:G,'센터 자재 사용내역(05월)'!E:E,'사급자재 사용내역'!C24,'센터 자재 사용내역(05월)'!F:F,"교체")</f>
        <v>5</v>
      </c>
      <c r="R24" s="40">
        <f>SUMIFS('센터 자재 사용내역(06월)'!G:G,'센터 자재 사용내역(06월)'!E:E,'사급자재 사용내역'!C24,'센터 자재 사용내역(06월)'!F:F,"신규")+SUMIFS('센터 자재 사용내역(06월)'!G:G,'센터 자재 사용내역(06월)'!E:E,'사급자재 사용내역'!C24,'센터 자재 사용내역(06월)'!F:F,"교체")</f>
        <v>1</v>
      </c>
      <c r="S24" s="40">
        <f>SUMIFS('센터 자재 사용내역(07월)'!G:G,'센터 자재 사용내역(07월)'!E:E,'사급자재 사용내역'!C24,'센터 자재 사용내역(07월)'!F:F,"신규")+SUMIFS('센터 자재 사용내역(07월)'!G:G,'센터 자재 사용내역(07월)'!E:E,'사급자재 사용내역'!C24,'센터 자재 사용내역(07월)'!F:F,"교체")</f>
        <v>4</v>
      </c>
      <c r="T24" s="40">
        <f>SUMIFS('센터 자재 사용내역(08월)'!G:G,'센터 자재 사용내역(08월)'!E:E,'사급자재 사용내역'!C24,'센터 자재 사용내역(08월)'!F:F,"신규")+SUMIFS('센터 자재 사용내역(08월)'!G:G,'센터 자재 사용내역(08월)'!E:E,'사급자재 사용내역'!C24,'센터 자재 사용내역(08월)'!F:F,"교체")</f>
        <v>1</v>
      </c>
      <c r="U24" s="40">
        <f>SUMIFS('센터 자재 사용내역(09월)'!G:G,'센터 자재 사용내역(09월)'!E:E,'사급자재 사용내역'!C24,'센터 자재 사용내역(09월)'!F:F,"신규")+SUMIFS('센터 자재 사용내역(09월)'!G:G,'센터 자재 사용내역(09월)'!E:E,'사급자재 사용내역'!C24,'센터 자재 사용내역(09월)'!F:F,"교체")</f>
        <v>0</v>
      </c>
      <c r="V24" s="40">
        <f>SUMIFS('센터 자재 사용내역(10월)'!G:G,'센터 자재 사용내역(10월)'!E:E,'사급자재 사용내역'!C24,'센터 자재 사용내역(10월)'!F:F,"신규")+SUMIFS('센터 자재 사용내역(10월)'!G:G,'센터 자재 사용내역(10월)'!E:E,'사급자재 사용내역'!C24,'센터 자재 사용내역(10월)'!F:F,"교체")</f>
        <v>0</v>
      </c>
      <c r="W24" s="40">
        <f>SUMIFS('센터 자재 사용내역(11월)'!G:G,'센터 자재 사용내역(11월)'!E:E,'사급자재 사용내역'!C24,'센터 자재 사용내역(11월)'!F:F,"신규")+SUMIFS('센터 자재 사용내역(11월)'!G:G,'센터 자재 사용내역(11월)'!E:E,'사급자재 사용내역'!C24,'센터 자재 사용내역(11월)'!F:F,"교체")</f>
        <v>0</v>
      </c>
      <c r="X24" s="40">
        <f>SUMIFS('센터 자재 사용내역(12월)'!G:G,'센터 자재 사용내역(12월)'!E:E,'사급자재 사용내역'!C24,'센터 자재 사용내역(12월)'!F:F,"신규")+SUMIFS('센터 자재 사용내역(12월)'!G:G,'센터 자재 사용내역(12월)'!E:E,'사급자재 사용내역'!C24,'센터 자재 사용내역(12월)'!F:F,"교체")</f>
        <v>0</v>
      </c>
      <c r="Y24" s="40">
        <f t="shared" si="2"/>
        <v>13</v>
      </c>
      <c r="Z24" s="52"/>
      <c r="AB24" s="56"/>
      <c r="AC24" s="29">
        <v>13</v>
      </c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1">
        <f t="shared" si="3"/>
        <v>13</v>
      </c>
      <c r="AO24" s="57"/>
      <c r="AQ24" s="61">
        <f>SUMIFS('센터 자재 사용내역(01월)'!G:G,'센터 자재 사용내역(01월)'!E:E,'사급자재 사용내역'!C24,'센터 자재 사용내역(01월)'!F:F,"불량")</f>
        <v>0</v>
      </c>
      <c r="AR24" s="40">
        <f>SUMIFS('센터 자재 사용내역(02월)'!G:G,'센터 자재 사용내역(02월)'!E:E,'사급자재 사용내역'!C24,'센터 자재 사용내역(02월)'!F:F,"불량")</f>
        <v>0</v>
      </c>
      <c r="AS24" s="40">
        <f>SUMIFS('센터 자재 사용내역(03월)'!G:G,'센터 자재 사용내역(03월)'!E:E,'사급자재 사용내역'!C24,'센터 자재 사용내역(03월)'!F:F,"불량")</f>
        <v>0</v>
      </c>
      <c r="AT24" s="40">
        <f>SUMIFS('센터 자재 사용내역(04월)'!G:G,'센터 자재 사용내역(04월)'!E:E,'사급자재 사용내역'!C24,'센터 자재 사용내역(04월)'!F:F,"불량")</f>
        <v>1</v>
      </c>
      <c r="AU24" s="40">
        <f>SUMIFS('센터 자재 사용내역(05월)'!G:G,'센터 자재 사용내역(05월)'!E:E,'사급자재 사용내역'!C24,'센터 자재 사용내역(05월)'!F:F,"불량")</f>
        <v>4</v>
      </c>
      <c r="AV24" s="40">
        <f>SUMIFS('센터 자재 사용내역(06월)'!G:G,'센터 자재 사용내역(06월)'!E:E,'사급자재 사용내역'!C24,'센터 자재 사용내역(06월)'!F:F,"불량")</f>
        <v>4</v>
      </c>
      <c r="AW24" s="40">
        <f>SUMIFS('센터 자재 사용내역(07월)'!G:G,'센터 자재 사용내역(07월)'!E:E,'사급자재 사용내역'!C24,'센터 자재 사용내역(07월)'!F:F,"불량")</f>
        <v>4</v>
      </c>
      <c r="AX24" s="40">
        <f>SUMIFS('센터 자재 사용내역(08월)'!G:G,'센터 자재 사용내역(08월)'!E:E,'사급자재 사용내역'!C24,'센터 자재 사용내역(08월)'!F:F,"불량")</f>
        <v>4</v>
      </c>
      <c r="AY24" s="40">
        <f>SUMIFS('센터 자재 사용내역(09월)'!G:G,'센터 자재 사용내역(09월)'!E:E,'사급자재 사용내역'!C24,'센터 자재 사용내역(09월)'!F:F,"불량")</f>
        <v>0</v>
      </c>
      <c r="AZ24" s="40">
        <f>SUMIFS('센터 자재 사용내역(10월)'!G:G,'센터 자재 사용내역(10월)'!E:E,'사급자재 사용내역'!C24,'센터 자재 사용내역(10월)'!F:F,"불량")</f>
        <v>0</v>
      </c>
      <c r="BA24" s="40">
        <f>SUMIFS('센터 자재 사용내역(11월)'!G:G,'센터 자재 사용내역(11월)'!E:E,'사급자재 사용내역'!C24,'센터 자재 사용내역(11월)'!F:F,"불량")</f>
        <v>0</v>
      </c>
      <c r="BB24" s="40">
        <f>SUMIFS('센터 자재 사용내역(12월)'!G:G,'센터 자재 사용내역(12월)'!E:E,'사급자재 사용내역'!C24,'센터 자재 사용내역(12월)'!F:F,"불량")</f>
        <v>0</v>
      </c>
      <c r="BC24" s="40">
        <f t="shared" si="6"/>
        <v>17</v>
      </c>
      <c r="BD24" s="62"/>
    </row>
    <row r="25" spans="2:56" ht="19.5" customHeight="1">
      <c r="B25" s="99"/>
      <c r="C25" s="22" t="s">
        <v>21</v>
      </c>
      <c r="D25" s="64" t="s">
        <v>131</v>
      </c>
      <c r="E25" s="46">
        <v>0</v>
      </c>
      <c r="F25" s="47">
        <v>5</v>
      </c>
      <c r="G25" s="46">
        <v>7</v>
      </c>
      <c r="H25" s="78"/>
      <c r="I25" s="90">
        <f t="shared" si="4"/>
        <v>34</v>
      </c>
      <c r="J25" s="89">
        <f t="shared" si="5"/>
        <v>43</v>
      </c>
      <c r="K25" s="78">
        <f t="shared" si="7"/>
        <v>55</v>
      </c>
      <c r="L25" s="84">
        <f t="shared" si="1"/>
        <v>12</v>
      </c>
      <c r="M25" s="79">
        <f>SUMIFS('센터 자재 사용내역(01월)'!G:G,'센터 자재 사용내역(01월)'!E:E,'사급자재 사용내역'!C25,'센터 자재 사용내역(01월)'!F:F,"신규")+SUMIFS('센터 자재 사용내역(01월)'!G:G,'센터 자재 사용내역(01월)'!E:E,'사급자재 사용내역'!C25,'센터 자재 사용내역(01월)'!F:F,"교체")</f>
        <v>2</v>
      </c>
      <c r="N25" s="40">
        <f>SUMIFS('센터 자재 사용내역(02월)'!G:G,'센터 자재 사용내역(02월)'!E:E,'사급자재 사용내역'!C25,'센터 자재 사용내역(02월)'!F:F,"신규")+SUMIFS('센터 자재 사용내역(02월)'!G:G,'센터 자재 사용내역(02월)'!E:E,'사급자재 사용내역'!C25,'센터 자재 사용내역(02월)'!F:F,"교체")</f>
        <v>0</v>
      </c>
      <c r="O25" s="40">
        <f>SUMIFS('센터 자재 사용내역(03월)'!G:G,'센터 자재 사용내역(03월)'!E:E,'사급자재 사용내역'!C25,'센터 자재 사용내역(03월)'!F:F,"신규")+SUMIFS('센터 자재 사용내역(03월)'!G:G,'센터 자재 사용내역(03월)'!E:E,'사급자재 사용내역'!C25,'센터 자재 사용내역(03월)'!F:F,"교체")</f>
        <v>0</v>
      </c>
      <c r="P25" s="40">
        <f>SUMIFS('센터 자재 사용내역(04월)'!G:G,'센터 자재 사용내역(04월)'!E:E,'사급자재 사용내역'!C25,'센터 자재 사용내역(04월)'!F:F,"신규")+SUMIFS('센터 자재 사용내역(04월)'!G:G,'센터 자재 사용내역(04월)'!E:E,'사급자재 사용내역'!C25,'센터 자재 사용내역(04월)'!F:F,"교체")</f>
        <v>1</v>
      </c>
      <c r="Q25" s="40">
        <f>SUMIFS('센터 자재 사용내역(05월)'!G:G,'센터 자재 사용내역(05월)'!E:E,'사급자재 사용내역'!C25,'센터 자재 사용내역(05월)'!F:F,"신규")+SUMIFS('센터 자재 사용내역(05월)'!G:G,'센터 자재 사용내역(05월)'!E:E,'사급자재 사용내역'!C25,'센터 자재 사용내역(05월)'!F:F,"교체")</f>
        <v>0</v>
      </c>
      <c r="R25" s="40">
        <f>SUMIFS('센터 자재 사용내역(06월)'!G:G,'센터 자재 사용내역(06월)'!E:E,'사급자재 사용내역'!C25,'센터 자재 사용내역(06월)'!F:F,"신규")+SUMIFS('센터 자재 사용내역(06월)'!G:G,'센터 자재 사용내역(06월)'!E:E,'사급자재 사용내역'!C25,'센터 자재 사용내역(06월)'!F:F,"교체")</f>
        <v>7</v>
      </c>
      <c r="S25" s="40">
        <f>SUMIFS('센터 자재 사용내역(07월)'!G:G,'센터 자재 사용내역(07월)'!E:E,'사급자재 사용내역'!C25,'센터 자재 사용내역(07월)'!F:F,"신규")+SUMIFS('센터 자재 사용내역(07월)'!G:G,'센터 자재 사용내역(07월)'!E:E,'사급자재 사용내역'!C25,'센터 자재 사용내역(07월)'!F:F,"교체")</f>
        <v>20</v>
      </c>
      <c r="T25" s="40">
        <f>SUMIFS('센터 자재 사용내역(08월)'!G:G,'센터 자재 사용내역(08월)'!E:E,'사급자재 사용내역'!C25,'센터 자재 사용내역(08월)'!F:F,"신규")+SUMIFS('센터 자재 사용내역(08월)'!G:G,'센터 자재 사용내역(08월)'!E:E,'사급자재 사용내역'!C25,'센터 자재 사용내역(08월)'!F:F,"교체")</f>
        <v>13</v>
      </c>
      <c r="U25" s="40">
        <f>SUMIFS('센터 자재 사용내역(09월)'!G:G,'센터 자재 사용내역(09월)'!E:E,'사급자재 사용내역'!C25,'센터 자재 사용내역(09월)'!F:F,"신규")+SUMIFS('센터 자재 사용내역(09월)'!G:G,'센터 자재 사용내역(09월)'!E:E,'사급자재 사용내역'!C25,'센터 자재 사용내역(09월)'!F:F,"교체")</f>
        <v>0</v>
      </c>
      <c r="V25" s="40">
        <f>SUMIFS('센터 자재 사용내역(10월)'!G:G,'센터 자재 사용내역(10월)'!E:E,'사급자재 사용내역'!C25,'센터 자재 사용내역(10월)'!F:F,"신규")+SUMIFS('센터 자재 사용내역(10월)'!G:G,'센터 자재 사용내역(10월)'!E:E,'사급자재 사용내역'!C25,'센터 자재 사용내역(10월)'!F:F,"교체")</f>
        <v>0</v>
      </c>
      <c r="W25" s="40">
        <f>SUMIFS('센터 자재 사용내역(11월)'!G:G,'센터 자재 사용내역(11월)'!E:E,'사급자재 사용내역'!C25,'센터 자재 사용내역(11월)'!F:F,"신규")+SUMIFS('센터 자재 사용내역(11월)'!G:G,'센터 자재 사용내역(11월)'!E:E,'사급자재 사용내역'!C25,'센터 자재 사용내역(11월)'!F:F,"교체")</f>
        <v>0</v>
      </c>
      <c r="X25" s="40">
        <f>SUMIFS('센터 자재 사용내역(12월)'!G:G,'센터 자재 사용내역(12월)'!E:E,'사급자재 사용내역'!C25,'센터 자재 사용내역(12월)'!F:F,"신규")+SUMIFS('센터 자재 사용내역(12월)'!G:G,'센터 자재 사용내역(12월)'!E:E,'사급자재 사용내역'!C25,'센터 자재 사용내역(12월)'!F:F,"교체")</f>
        <v>0</v>
      </c>
      <c r="Y25" s="40">
        <f t="shared" si="2"/>
        <v>43</v>
      </c>
      <c r="Z25" s="52"/>
      <c r="AB25" s="56">
        <v>12</v>
      </c>
      <c r="AC25" s="29">
        <v>43</v>
      </c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1">
        <f t="shared" si="3"/>
        <v>55</v>
      </c>
      <c r="AO25" s="57"/>
      <c r="AQ25" s="61">
        <f>SUMIFS('센터 자재 사용내역(01월)'!G:G,'센터 자재 사용내역(01월)'!E:E,'사급자재 사용내역'!C25,'센터 자재 사용내역(01월)'!F:F,"불량")</f>
        <v>2</v>
      </c>
      <c r="AR25" s="40">
        <f>SUMIFS('센터 자재 사용내역(02월)'!G:G,'센터 자재 사용내역(02월)'!E:E,'사급자재 사용내역'!C25,'센터 자재 사용내역(02월)'!F:F,"불량")</f>
        <v>1</v>
      </c>
      <c r="AS25" s="40">
        <f>SUMIFS('센터 자재 사용내역(03월)'!G:G,'센터 자재 사용내역(03월)'!E:E,'사급자재 사용내역'!C25,'센터 자재 사용내역(03월)'!F:F,"불량")</f>
        <v>1</v>
      </c>
      <c r="AT25" s="40">
        <f>SUMIFS('센터 자재 사용내역(04월)'!G:G,'센터 자재 사용내역(04월)'!E:E,'사급자재 사용내역'!C25,'센터 자재 사용내역(04월)'!F:F,"불량")</f>
        <v>0</v>
      </c>
      <c r="AU25" s="40">
        <f>SUMIFS('센터 자재 사용내역(05월)'!G:G,'센터 자재 사용내역(05월)'!E:E,'사급자재 사용내역'!C25,'센터 자재 사용내역(05월)'!F:F,"불량")</f>
        <v>0</v>
      </c>
      <c r="AV25" s="40">
        <f>SUMIFS('센터 자재 사용내역(06월)'!G:G,'센터 자재 사용내역(06월)'!E:E,'사급자재 사용내역'!C25,'센터 자재 사용내역(06월)'!F:F,"불량")</f>
        <v>8</v>
      </c>
      <c r="AW25" s="40">
        <f>SUMIFS('센터 자재 사용내역(07월)'!G:G,'센터 자재 사용내역(07월)'!E:E,'사급자재 사용내역'!C25,'센터 자재 사용내역(07월)'!F:F,"불량")</f>
        <v>16</v>
      </c>
      <c r="AX25" s="40">
        <f>SUMIFS('센터 자재 사용내역(08월)'!G:G,'센터 자재 사용내역(08월)'!E:E,'사급자재 사용내역'!C25,'센터 자재 사용내역(08월)'!F:F,"불량")</f>
        <v>8</v>
      </c>
      <c r="AY25" s="40">
        <f>SUMIFS('센터 자재 사용내역(09월)'!G:G,'센터 자재 사용내역(09월)'!E:E,'사급자재 사용내역'!C25,'센터 자재 사용내역(09월)'!F:F,"불량")</f>
        <v>0</v>
      </c>
      <c r="AZ25" s="40">
        <f>SUMIFS('센터 자재 사용내역(10월)'!G:G,'센터 자재 사용내역(10월)'!E:E,'사급자재 사용내역'!C25,'센터 자재 사용내역(10월)'!F:F,"불량")</f>
        <v>0</v>
      </c>
      <c r="BA25" s="40">
        <f>SUMIFS('센터 자재 사용내역(11월)'!G:G,'센터 자재 사용내역(11월)'!E:E,'사급자재 사용내역'!C25,'센터 자재 사용내역(11월)'!F:F,"불량")</f>
        <v>0</v>
      </c>
      <c r="BB25" s="40">
        <f>SUMIFS('센터 자재 사용내역(12월)'!G:G,'센터 자재 사용내역(12월)'!E:E,'사급자재 사용내역'!C25,'센터 자재 사용내역(12월)'!F:F,"불량")</f>
        <v>0</v>
      </c>
      <c r="BC25" s="40">
        <f t="shared" si="6"/>
        <v>36</v>
      </c>
      <c r="BD25" s="62"/>
    </row>
    <row r="26" spans="2:56" ht="19.5" customHeight="1">
      <c r="B26" s="99"/>
      <c r="C26" s="22" t="s">
        <v>22</v>
      </c>
      <c r="D26" s="64" t="s">
        <v>131</v>
      </c>
      <c r="E26" s="46">
        <v>0</v>
      </c>
      <c r="F26" s="47">
        <v>63</v>
      </c>
      <c r="G26" s="46">
        <v>65</v>
      </c>
      <c r="H26" s="78">
        <v>7</v>
      </c>
      <c r="I26" s="90">
        <f t="shared" si="4"/>
        <v>41</v>
      </c>
      <c r="J26" s="89">
        <f t="shared" si="5"/>
        <v>51</v>
      </c>
      <c r="K26" s="78">
        <f t="shared" si="7"/>
        <v>51</v>
      </c>
      <c r="L26" s="84">
        <f t="shared" si="1"/>
        <v>0</v>
      </c>
      <c r="M26" s="79">
        <f>SUMIFS('센터 자재 사용내역(01월)'!G:G,'센터 자재 사용내역(01월)'!E:E,'사급자재 사용내역'!C26,'센터 자재 사용내역(01월)'!F:F,"신규")+SUMIFS('센터 자재 사용내역(01월)'!G:G,'센터 자재 사용내역(01월)'!E:E,'사급자재 사용내역'!C26,'센터 자재 사용내역(01월)'!F:F,"교체")</f>
        <v>8</v>
      </c>
      <c r="N26" s="40">
        <f>SUMIFS('센터 자재 사용내역(02월)'!G:G,'센터 자재 사용내역(02월)'!E:E,'사급자재 사용내역'!C26,'센터 자재 사용내역(02월)'!F:F,"신규")+SUMIFS('센터 자재 사용내역(02월)'!G:G,'센터 자재 사용내역(02월)'!E:E,'사급자재 사용내역'!C26,'센터 자재 사용내역(02월)'!F:F,"교체")</f>
        <v>2</v>
      </c>
      <c r="O26" s="40">
        <f>SUMIFS('센터 자재 사용내역(03월)'!G:G,'센터 자재 사용내역(03월)'!E:E,'사급자재 사용내역'!C26,'센터 자재 사용내역(03월)'!F:F,"신규")+SUMIFS('센터 자재 사용내역(03월)'!G:G,'센터 자재 사용내역(03월)'!E:E,'사급자재 사용내역'!C26,'센터 자재 사용내역(03월)'!F:F,"교체")</f>
        <v>5</v>
      </c>
      <c r="P26" s="40">
        <f>SUMIFS('센터 자재 사용내역(04월)'!G:G,'센터 자재 사용내역(04월)'!E:E,'사급자재 사용내역'!C26,'센터 자재 사용내역(04월)'!F:F,"신규")+SUMIFS('센터 자재 사용내역(04월)'!G:G,'센터 자재 사용내역(04월)'!E:E,'사급자재 사용내역'!C26,'센터 자재 사용내역(04월)'!F:F,"교체")</f>
        <v>3</v>
      </c>
      <c r="Q26" s="40">
        <f>SUMIFS('센터 자재 사용내역(05월)'!G:G,'센터 자재 사용내역(05월)'!E:E,'사급자재 사용내역'!C26,'센터 자재 사용내역(05월)'!F:F,"신규")+SUMIFS('센터 자재 사용내역(05월)'!G:G,'센터 자재 사용내역(05월)'!E:E,'사급자재 사용내역'!C26,'센터 자재 사용내역(05월)'!F:F,"교체")</f>
        <v>9</v>
      </c>
      <c r="R26" s="40">
        <f>SUMIFS('센터 자재 사용내역(06월)'!G:G,'센터 자재 사용내역(06월)'!E:E,'사급자재 사용내역'!C26,'센터 자재 사용내역(06월)'!F:F,"신규")+SUMIFS('센터 자재 사용내역(06월)'!G:G,'센터 자재 사용내역(06월)'!E:E,'사급자재 사용내역'!C26,'센터 자재 사용내역(06월)'!F:F,"교체")</f>
        <v>11</v>
      </c>
      <c r="S26" s="40">
        <f>SUMIFS('센터 자재 사용내역(07월)'!G:G,'센터 자재 사용내역(07월)'!E:E,'사급자재 사용내역'!C26,'센터 자재 사용내역(07월)'!F:F,"신규")+SUMIFS('센터 자재 사용내역(07월)'!G:G,'센터 자재 사용내역(07월)'!E:E,'사급자재 사용내역'!C26,'센터 자재 사용내역(07월)'!F:F,"교체")</f>
        <v>9</v>
      </c>
      <c r="T26" s="40">
        <f>SUMIFS('센터 자재 사용내역(08월)'!G:G,'센터 자재 사용내역(08월)'!E:E,'사급자재 사용내역'!C26,'센터 자재 사용내역(08월)'!F:F,"신규")+SUMIFS('센터 자재 사용내역(08월)'!G:G,'센터 자재 사용내역(08월)'!E:E,'사급자재 사용내역'!C26,'센터 자재 사용내역(08월)'!F:F,"교체")</f>
        <v>4</v>
      </c>
      <c r="U26" s="40">
        <f>SUMIFS('센터 자재 사용내역(09월)'!G:G,'센터 자재 사용내역(09월)'!E:E,'사급자재 사용내역'!C26,'센터 자재 사용내역(09월)'!F:F,"신규")+SUMIFS('센터 자재 사용내역(09월)'!G:G,'센터 자재 사용내역(09월)'!E:E,'사급자재 사용내역'!C26,'센터 자재 사용내역(09월)'!F:F,"교체")</f>
        <v>0</v>
      </c>
      <c r="V26" s="40">
        <f>SUMIFS('센터 자재 사용내역(10월)'!G:G,'센터 자재 사용내역(10월)'!E:E,'사급자재 사용내역'!C26,'센터 자재 사용내역(10월)'!F:F,"신규")+SUMIFS('센터 자재 사용내역(10월)'!G:G,'센터 자재 사용내역(10월)'!E:E,'사급자재 사용내역'!C26,'센터 자재 사용내역(10월)'!F:F,"교체")</f>
        <v>0</v>
      </c>
      <c r="W26" s="40">
        <f>SUMIFS('센터 자재 사용내역(11월)'!G:G,'센터 자재 사용내역(11월)'!E:E,'사급자재 사용내역'!C26,'센터 자재 사용내역(11월)'!F:F,"신규")+SUMIFS('센터 자재 사용내역(11월)'!G:G,'센터 자재 사용내역(11월)'!E:E,'사급자재 사용내역'!C26,'센터 자재 사용내역(11월)'!F:F,"교체")</f>
        <v>0</v>
      </c>
      <c r="X26" s="40">
        <f>SUMIFS('센터 자재 사용내역(12월)'!G:G,'센터 자재 사용내역(12월)'!E:E,'사급자재 사용내역'!C26,'센터 자재 사용내역(12월)'!F:F,"신규")+SUMIFS('센터 자재 사용내역(12월)'!G:G,'센터 자재 사용내역(12월)'!E:E,'사급자재 사용내역'!C26,'센터 자재 사용내역(12월)'!F:F,"교체")</f>
        <v>0</v>
      </c>
      <c r="Y26" s="40">
        <f t="shared" si="2"/>
        <v>51</v>
      </c>
      <c r="Z26" s="52"/>
      <c r="AB26" s="56">
        <v>27</v>
      </c>
      <c r="AC26" s="29">
        <v>24</v>
      </c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1">
        <f t="shared" si="3"/>
        <v>51</v>
      </c>
      <c r="AO26" s="57"/>
      <c r="AQ26" s="61">
        <f>SUMIFS('센터 자재 사용내역(01월)'!G:G,'센터 자재 사용내역(01월)'!E:E,'사급자재 사용내역'!C26,'센터 자재 사용내역(01월)'!F:F,"불량")</f>
        <v>9</v>
      </c>
      <c r="AR26" s="40">
        <f>SUMIFS('센터 자재 사용내역(02월)'!G:G,'센터 자재 사용내역(02월)'!E:E,'사급자재 사용내역'!C26,'센터 자재 사용내역(02월)'!F:F,"불량")</f>
        <v>3</v>
      </c>
      <c r="AS26" s="40">
        <f>SUMIFS('센터 자재 사용내역(03월)'!G:G,'센터 자재 사용내역(03월)'!E:E,'사급자재 사용내역'!C26,'센터 자재 사용내역(03월)'!F:F,"불량")</f>
        <v>3</v>
      </c>
      <c r="AT26" s="40">
        <f>SUMIFS('센터 자재 사용내역(04월)'!G:G,'센터 자재 사용내역(04월)'!E:E,'사급자재 사용내역'!C26,'센터 자재 사용내역(04월)'!F:F,"불량")</f>
        <v>4</v>
      </c>
      <c r="AU26" s="40">
        <f>SUMIFS('센터 자재 사용내역(05월)'!G:G,'센터 자재 사용내역(05월)'!E:E,'사급자재 사용내역'!C26,'센터 자재 사용내역(05월)'!F:F,"불량")</f>
        <v>10</v>
      </c>
      <c r="AV26" s="40">
        <f>SUMIFS('센터 자재 사용내역(06월)'!G:G,'센터 자재 사용내역(06월)'!E:E,'사급자재 사용내역'!C26,'센터 자재 사용내역(06월)'!F:F,"불량")</f>
        <v>7</v>
      </c>
      <c r="AW26" s="40">
        <f>SUMIFS('센터 자재 사용내역(07월)'!G:G,'센터 자재 사용내역(07월)'!E:E,'사급자재 사용내역'!C26,'센터 자재 사용내역(07월)'!F:F,"불량")</f>
        <v>9</v>
      </c>
      <c r="AX26" s="40">
        <f>SUMIFS('센터 자재 사용내역(08월)'!G:G,'센터 자재 사용내역(08월)'!E:E,'사급자재 사용내역'!C26,'센터 자재 사용내역(08월)'!F:F,"불량")</f>
        <v>5</v>
      </c>
      <c r="AY26" s="40">
        <f>SUMIFS('센터 자재 사용내역(09월)'!G:G,'센터 자재 사용내역(09월)'!E:E,'사급자재 사용내역'!C26,'센터 자재 사용내역(09월)'!F:F,"불량")</f>
        <v>0</v>
      </c>
      <c r="AZ26" s="40">
        <f>SUMIFS('센터 자재 사용내역(10월)'!G:G,'센터 자재 사용내역(10월)'!E:E,'사급자재 사용내역'!C26,'센터 자재 사용내역(10월)'!F:F,"불량")</f>
        <v>0</v>
      </c>
      <c r="BA26" s="40">
        <f>SUMIFS('센터 자재 사용내역(11월)'!G:G,'센터 자재 사용내역(11월)'!E:E,'사급자재 사용내역'!C26,'센터 자재 사용내역(11월)'!F:F,"불량")</f>
        <v>0</v>
      </c>
      <c r="BB26" s="40">
        <f>SUMIFS('센터 자재 사용내역(12월)'!G:G,'센터 자재 사용내역(12월)'!E:E,'사급자재 사용내역'!C26,'센터 자재 사용내역(12월)'!F:F,"불량")</f>
        <v>0</v>
      </c>
      <c r="BC26" s="40">
        <f t="shared" si="6"/>
        <v>50</v>
      </c>
      <c r="BD26" s="62"/>
    </row>
    <row r="27" spans="2:56" ht="19.5" customHeight="1">
      <c r="B27" s="99"/>
      <c r="C27" s="22" t="s">
        <v>146</v>
      </c>
      <c r="D27" s="64" t="s">
        <v>131</v>
      </c>
      <c r="E27" s="46">
        <v>0</v>
      </c>
      <c r="F27" s="47">
        <v>32</v>
      </c>
      <c r="G27" s="46">
        <v>35</v>
      </c>
      <c r="H27" s="78">
        <v>2</v>
      </c>
      <c r="I27" s="90">
        <f t="shared" si="4"/>
        <v>46</v>
      </c>
      <c r="J27" s="89">
        <f t="shared" ref="J27:J46" si="14">Y27</f>
        <v>40</v>
      </c>
      <c r="K27" s="78">
        <f t="shared" si="7"/>
        <v>44</v>
      </c>
      <c r="L27" s="84">
        <f t="shared" si="1"/>
        <v>4</v>
      </c>
      <c r="M27" s="79">
        <f>SUMIFS('센터 자재 사용내역(01월)'!G:G,'센터 자재 사용내역(01월)'!E:E,'사급자재 사용내역'!C27,'센터 자재 사용내역(01월)'!F:F,"신규")+SUMIFS('센터 자재 사용내역(01월)'!G:G,'센터 자재 사용내역(01월)'!E:E,'사급자재 사용내역'!C27,'센터 자재 사용내역(01월)'!F:F,"교체")</f>
        <v>3</v>
      </c>
      <c r="N27" s="40">
        <f>SUMIFS('센터 자재 사용내역(02월)'!G:G,'센터 자재 사용내역(02월)'!E:E,'사급자재 사용내역'!C27,'센터 자재 사용내역(02월)'!F:F,"신규")+SUMIFS('센터 자재 사용내역(02월)'!G:G,'센터 자재 사용내역(02월)'!E:E,'사급자재 사용내역'!C27,'센터 자재 사용내역(02월)'!F:F,"교체")</f>
        <v>5</v>
      </c>
      <c r="O27" s="40">
        <f>SUMIFS('센터 자재 사용내역(03월)'!G:G,'센터 자재 사용내역(03월)'!E:E,'사급자재 사용내역'!C27,'센터 자재 사용내역(03월)'!F:F,"신규")+SUMIFS('센터 자재 사용내역(03월)'!G:G,'센터 자재 사용내역(03월)'!E:E,'사급자재 사용내역'!C27,'센터 자재 사용내역(03월)'!F:F,"교체")</f>
        <v>7</v>
      </c>
      <c r="P27" s="40">
        <f>SUMIFS('센터 자재 사용내역(04월)'!G:G,'센터 자재 사용내역(04월)'!E:E,'사급자재 사용내역'!C27,'센터 자재 사용내역(04월)'!F:F,"신규")+SUMIFS('센터 자재 사용내역(04월)'!G:G,'센터 자재 사용내역(04월)'!E:E,'사급자재 사용내역'!C27,'센터 자재 사용내역(04월)'!F:F,"교체")</f>
        <v>5</v>
      </c>
      <c r="Q27" s="40">
        <f>SUMIFS('센터 자재 사용내역(05월)'!G:G,'센터 자재 사용내역(05월)'!E:E,'사급자재 사용내역'!C27,'센터 자재 사용내역(05월)'!F:F,"신규")+SUMIFS('센터 자재 사용내역(05월)'!G:G,'센터 자재 사용내역(05월)'!E:E,'사급자재 사용내역'!C27,'센터 자재 사용내역(05월)'!F:F,"교체")</f>
        <v>7</v>
      </c>
      <c r="R27" s="40">
        <f>SUMIFS('센터 자재 사용내역(06월)'!G:G,'센터 자재 사용내역(06월)'!E:E,'사급자재 사용내역'!C27,'센터 자재 사용내역(06월)'!F:F,"신규")+SUMIFS('센터 자재 사용내역(06월)'!G:G,'센터 자재 사용내역(06월)'!E:E,'사급자재 사용내역'!C27,'센터 자재 사용내역(06월)'!F:F,"교체")</f>
        <v>1</v>
      </c>
      <c r="S27" s="40">
        <f>SUMIFS('센터 자재 사용내역(07월)'!G:G,'센터 자재 사용내역(07월)'!E:E,'사급자재 사용내역'!C27,'센터 자재 사용내역(07월)'!F:F,"신규")+SUMIFS('센터 자재 사용내역(07월)'!G:G,'센터 자재 사용내역(07월)'!E:E,'사급자재 사용내역'!C27,'센터 자재 사용내역(07월)'!F:F,"교체")</f>
        <v>5</v>
      </c>
      <c r="T27" s="40">
        <f>SUMIFS('센터 자재 사용내역(08월)'!G:G,'센터 자재 사용내역(08월)'!E:E,'사급자재 사용내역'!C27,'센터 자재 사용내역(08월)'!F:F,"신규")+SUMIFS('센터 자재 사용내역(08월)'!G:G,'센터 자재 사용내역(08월)'!E:E,'사급자재 사용내역'!C27,'센터 자재 사용내역(08월)'!F:F,"교체")</f>
        <v>7</v>
      </c>
      <c r="U27" s="40">
        <f>SUMIFS('센터 자재 사용내역(09월)'!G:G,'센터 자재 사용내역(09월)'!E:E,'사급자재 사용내역'!C27,'센터 자재 사용내역(09월)'!F:F,"신규")+SUMIFS('센터 자재 사용내역(09월)'!G:G,'센터 자재 사용내역(09월)'!E:E,'사급자재 사용내역'!C27,'센터 자재 사용내역(09월)'!F:F,"교체")</f>
        <v>0</v>
      </c>
      <c r="V27" s="40">
        <f>SUMIFS('센터 자재 사용내역(10월)'!G:G,'센터 자재 사용내역(10월)'!E:E,'사급자재 사용내역'!C27,'센터 자재 사용내역(10월)'!F:F,"신규")+SUMIFS('센터 자재 사용내역(10월)'!G:G,'센터 자재 사용내역(10월)'!E:E,'사급자재 사용내역'!C27,'센터 자재 사용내역(10월)'!F:F,"교체")</f>
        <v>0</v>
      </c>
      <c r="W27" s="40">
        <f>SUMIFS('센터 자재 사용내역(11월)'!G:G,'센터 자재 사용내역(11월)'!E:E,'사급자재 사용내역'!C27,'센터 자재 사용내역(11월)'!F:F,"신규")+SUMIFS('센터 자재 사용내역(11월)'!G:G,'센터 자재 사용내역(11월)'!E:E,'사급자재 사용내역'!C27,'센터 자재 사용내역(11월)'!F:F,"교체")</f>
        <v>0</v>
      </c>
      <c r="X27" s="40">
        <f>SUMIFS('센터 자재 사용내역(12월)'!G:G,'센터 자재 사용내역(12월)'!E:E,'사급자재 사용내역'!C27,'센터 자재 사용내역(12월)'!F:F,"신규")+SUMIFS('센터 자재 사용내역(12월)'!G:G,'센터 자재 사용내역(12월)'!E:E,'사급자재 사용내역'!C27,'센터 자재 사용내역(12월)'!F:F,"교체")</f>
        <v>0</v>
      </c>
      <c r="Y27" s="40">
        <f t="shared" si="2"/>
        <v>40</v>
      </c>
      <c r="Z27" s="52"/>
      <c r="AB27" s="56">
        <v>33</v>
      </c>
      <c r="AC27" s="29">
        <v>11</v>
      </c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1">
        <f t="shared" si="3"/>
        <v>44</v>
      </c>
      <c r="AO27" s="57"/>
      <c r="AQ27" s="61">
        <f>SUMIFS('센터 자재 사용내역(01월)'!G:G,'센터 자재 사용내역(01월)'!E:E,'사급자재 사용내역'!C27,'센터 자재 사용내역(01월)'!F:F,"불량")</f>
        <v>5</v>
      </c>
      <c r="AR27" s="40">
        <f>SUMIFS('센터 자재 사용내역(02월)'!G:G,'센터 자재 사용내역(02월)'!E:E,'사급자재 사용내역'!C27,'센터 자재 사용내역(02월)'!F:F,"불량")</f>
        <v>2</v>
      </c>
      <c r="AS27" s="40">
        <f>SUMIFS('센터 자재 사용내역(03월)'!G:G,'센터 자재 사용내역(03월)'!E:E,'사급자재 사용내역'!C27,'센터 자재 사용내역(03월)'!F:F,"불량")</f>
        <v>7</v>
      </c>
      <c r="AT27" s="40">
        <f>SUMIFS('센터 자재 사용내역(04월)'!G:G,'센터 자재 사용내역(04월)'!E:E,'사급자재 사용내역'!C27,'센터 자재 사용내역(04월)'!F:F,"불량")</f>
        <v>3</v>
      </c>
      <c r="AU27" s="40">
        <f>SUMIFS('센터 자재 사용내역(05월)'!G:G,'센터 자재 사용내역(05월)'!E:E,'사급자재 사용내역'!C27,'센터 자재 사용내역(05월)'!F:F,"불량")</f>
        <v>8</v>
      </c>
      <c r="AV27" s="40">
        <f>SUMIFS('센터 자재 사용내역(06월)'!G:G,'센터 자재 사용내역(06월)'!E:E,'사급자재 사용내역'!C27,'센터 자재 사용내역(06월)'!F:F,"불량")</f>
        <v>8</v>
      </c>
      <c r="AW27" s="40">
        <f>SUMIFS('센터 자재 사용내역(07월)'!G:G,'센터 자재 사용내역(07월)'!E:E,'사급자재 사용내역'!C27,'센터 자재 사용내역(07월)'!F:F,"불량")</f>
        <v>11</v>
      </c>
      <c r="AX27" s="40">
        <f>SUMIFS('센터 자재 사용내역(08월)'!G:G,'센터 자재 사용내역(08월)'!E:E,'사급자재 사용내역'!C27,'센터 자재 사용내역(08월)'!F:F,"불량")</f>
        <v>7</v>
      </c>
      <c r="AY27" s="40">
        <f>SUMIFS('센터 자재 사용내역(09월)'!G:G,'센터 자재 사용내역(09월)'!E:E,'사급자재 사용내역'!C27,'센터 자재 사용내역(09월)'!F:F,"불량")</f>
        <v>0</v>
      </c>
      <c r="AZ27" s="40">
        <f>SUMIFS('센터 자재 사용내역(10월)'!G:G,'센터 자재 사용내역(10월)'!E:E,'사급자재 사용내역'!C27,'센터 자재 사용내역(10월)'!F:F,"불량")</f>
        <v>0</v>
      </c>
      <c r="BA27" s="40">
        <f>SUMIFS('센터 자재 사용내역(11월)'!G:G,'센터 자재 사용내역(11월)'!E:E,'사급자재 사용내역'!C27,'센터 자재 사용내역(11월)'!F:F,"불량")</f>
        <v>0</v>
      </c>
      <c r="BB27" s="40">
        <f>SUMIFS('센터 자재 사용내역(12월)'!G:G,'센터 자재 사용내역(12월)'!E:E,'사급자재 사용내역'!C27,'센터 자재 사용내역(12월)'!F:F,"불량")</f>
        <v>0</v>
      </c>
      <c r="BC27" s="40">
        <f t="shared" si="6"/>
        <v>51</v>
      </c>
      <c r="BD27" s="62"/>
    </row>
    <row r="28" spans="2:56" ht="19.5" customHeight="1">
      <c r="B28" s="99"/>
      <c r="C28" s="22" t="s">
        <v>23</v>
      </c>
      <c r="D28" s="64" t="s">
        <v>129</v>
      </c>
      <c r="E28" s="46">
        <v>0</v>
      </c>
      <c r="F28" s="47">
        <v>0</v>
      </c>
      <c r="G28" s="46"/>
      <c r="H28" s="78">
        <v>1</v>
      </c>
      <c r="I28" s="90">
        <f t="shared" si="4"/>
        <v>1</v>
      </c>
      <c r="J28" s="89">
        <f t="shared" si="14"/>
        <v>0</v>
      </c>
      <c r="K28" s="78">
        <f t="shared" si="7"/>
        <v>0</v>
      </c>
      <c r="L28" s="84">
        <f t="shared" si="1"/>
        <v>0</v>
      </c>
      <c r="M28" s="79">
        <f>SUMIFS('센터 자재 사용내역(01월)'!G:G,'센터 자재 사용내역(01월)'!E:E,'사급자재 사용내역'!C28,'센터 자재 사용내역(01월)'!F:F,"신규")+SUMIFS('센터 자재 사용내역(01월)'!G:G,'센터 자재 사용내역(01월)'!E:E,'사급자재 사용내역'!C28,'센터 자재 사용내역(01월)'!F:F,"교체")</f>
        <v>0</v>
      </c>
      <c r="N28" s="40">
        <f>SUMIFS('센터 자재 사용내역(02월)'!G:G,'센터 자재 사용내역(02월)'!E:E,'사급자재 사용내역'!C28,'센터 자재 사용내역(02월)'!F:F,"신규")+SUMIFS('센터 자재 사용내역(02월)'!G:G,'센터 자재 사용내역(02월)'!E:E,'사급자재 사용내역'!C28,'센터 자재 사용내역(02월)'!F:F,"교체")</f>
        <v>0</v>
      </c>
      <c r="O28" s="40">
        <f>SUMIFS('센터 자재 사용내역(03월)'!G:G,'센터 자재 사용내역(03월)'!E:E,'사급자재 사용내역'!C28,'센터 자재 사용내역(03월)'!F:F,"신규")+SUMIFS('센터 자재 사용내역(03월)'!G:G,'센터 자재 사용내역(03월)'!E:E,'사급자재 사용내역'!C28,'센터 자재 사용내역(03월)'!F:F,"교체")</f>
        <v>0</v>
      </c>
      <c r="P28" s="40">
        <f>SUMIFS('센터 자재 사용내역(04월)'!G:G,'센터 자재 사용내역(04월)'!E:E,'사급자재 사용내역'!C28,'센터 자재 사용내역(04월)'!F:F,"신규")+SUMIFS('센터 자재 사용내역(04월)'!G:G,'센터 자재 사용내역(04월)'!E:E,'사급자재 사용내역'!C28,'센터 자재 사용내역(04월)'!F:F,"교체")</f>
        <v>0</v>
      </c>
      <c r="Q28" s="40">
        <f>SUMIFS('센터 자재 사용내역(05월)'!G:G,'센터 자재 사용내역(05월)'!E:E,'사급자재 사용내역'!C28,'센터 자재 사용내역(05월)'!F:F,"신규")+SUMIFS('센터 자재 사용내역(05월)'!G:G,'센터 자재 사용내역(05월)'!E:E,'사급자재 사용내역'!C28,'센터 자재 사용내역(05월)'!F:F,"교체")</f>
        <v>0</v>
      </c>
      <c r="R28" s="40">
        <f>SUMIFS('센터 자재 사용내역(06월)'!G:G,'센터 자재 사용내역(06월)'!E:E,'사급자재 사용내역'!C28,'센터 자재 사용내역(06월)'!F:F,"신규")+SUMIFS('센터 자재 사용내역(06월)'!G:G,'센터 자재 사용내역(06월)'!E:E,'사급자재 사용내역'!C28,'센터 자재 사용내역(06월)'!F:F,"교체")</f>
        <v>0</v>
      </c>
      <c r="S28" s="40">
        <f>SUMIFS('센터 자재 사용내역(07월)'!G:G,'센터 자재 사용내역(07월)'!E:E,'사급자재 사용내역'!C28,'센터 자재 사용내역(07월)'!F:F,"신규")+SUMIFS('센터 자재 사용내역(07월)'!G:G,'센터 자재 사용내역(07월)'!E:E,'사급자재 사용내역'!C28,'센터 자재 사용내역(07월)'!F:F,"교체")</f>
        <v>0</v>
      </c>
      <c r="T28" s="40">
        <f>SUMIFS('센터 자재 사용내역(08월)'!G:G,'센터 자재 사용내역(08월)'!E:E,'사급자재 사용내역'!C28,'센터 자재 사용내역(08월)'!F:F,"신규")+SUMIFS('센터 자재 사용내역(08월)'!G:G,'센터 자재 사용내역(08월)'!E:E,'사급자재 사용내역'!C28,'센터 자재 사용내역(08월)'!F:F,"교체")</f>
        <v>0</v>
      </c>
      <c r="U28" s="40">
        <f>SUMIFS('센터 자재 사용내역(09월)'!G:G,'센터 자재 사용내역(09월)'!E:E,'사급자재 사용내역'!C28,'센터 자재 사용내역(09월)'!F:F,"신규")+SUMIFS('센터 자재 사용내역(09월)'!G:G,'센터 자재 사용내역(09월)'!E:E,'사급자재 사용내역'!C28,'센터 자재 사용내역(09월)'!F:F,"교체")</f>
        <v>0</v>
      </c>
      <c r="V28" s="40">
        <f>SUMIFS('센터 자재 사용내역(10월)'!G:G,'센터 자재 사용내역(10월)'!E:E,'사급자재 사용내역'!C28,'센터 자재 사용내역(10월)'!F:F,"신규")+SUMIFS('센터 자재 사용내역(10월)'!G:G,'센터 자재 사용내역(10월)'!E:E,'사급자재 사용내역'!C28,'센터 자재 사용내역(10월)'!F:F,"교체")</f>
        <v>0</v>
      </c>
      <c r="W28" s="40">
        <f>SUMIFS('센터 자재 사용내역(11월)'!G:G,'센터 자재 사용내역(11월)'!E:E,'사급자재 사용내역'!C28,'센터 자재 사용내역(11월)'!F:F,"신규")+SUMIFS('센터 자재 사용내역(11월)'!G:G,'센터 자재 사용내역(11월)'!E:E,'사급자재 사용내역'!C28,'센터 자재 사용내역(11월)'!F:F,"교체")</f>
        <v>0</v>
      </c>
      <c r="X28" s="40">
        <f>SUMIFS('센터 자재 사용내역(12월)'!G:G,'센터 자재 사용내역(12월)'!E:E,'사급자재 사용내역'!C28,'센터 자재 사용내역(12월)'!F:F,"신규")+SUMIFS('센터 자재 사용내역(12월)'!G:G,'센터 자재 사용내역(12월)'!E:E,'사급자재 사용내역'!C28,'센터 자재 사용내역(12월)'!F:F,"교체")</f>
        <v>0</v>
      </c>
      <c r="Y28" s="40">
        <f t="shared" si="2"/>
        <v>0</v>
      </c>
      <c r="Z28" s="52"/>
      <c r="AB28" s="56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1">
        <f t="shared" si="3"/>
        <v>0</v>
      </c>
      <c r="AO28" s="57"/>
      <c r="AQ28" s="61">
        <f>SUMIFS('센터 자재 사용내역(01월)'!G:G,'센터 자재 사용내역(01월)'!E:E,'사급자재 사용내역'!C28,'센터 자재 사용내역(01월)'!F:F,"불량")</f>
        <v>0</v>
      </c>
      <c r="AR28" s="40">
        <f>SUMIFS('센터 자재 사용내역(02월)'!G:G,'센터 자재 사용내역(02월)'!E:E,'사급자재 사용내역'!C28,'센터 자재 사용내역(02월)'!F:F,"불량")</f>
        <v>0</v>
      </c>
      <c r="AS28" s="40">
        <f>SUMIFS('센터 자재 사용내역(03월)'!G:G,'센터 자재 사용내역(03월)'!E:E,'사급자재 사용내역'!C28,'센터 자재 사용내역(03월)'!F:F,"불량")</f>
        <v>0</v>
      </c>
      <c r="AT28" s="40">
        <f>SUMIFS('센터 자재 사용내역(04월)'!G:G,'센터 자재 사용내역(04월)'!E:E,'사급자재 사용내역'!C28,'센터 자재 사용내역(04월)'!F:F,"불량")</f>
        <v>0</v>
      </c>
      <c r="AU28" s="40">
        <f>SUMIFS('센터 자재 사용내역(05월)'!G:G,'센터 자재 사용내역(05월)'!E:E,'사급자재 사용내역'!C28,'센터 자재 사용내역(05월)'!F:F,"불량")</f>
        <v>0</v>
      </c>
      <c r="AV28" s="40">
        <f>SUMIFS('센터 자재 사용내역(06월)'!G:G,'센터 자재 사용내역(06월)'!E:E,'사급자재 사용내역'!C28,'센터 자재 사용내역(06월)'!F:F,"불량")</f>
        <v>1</v>
      </c>
      <c r="AW28" s="40">
        <f>SUMIFS('센터 자재 사용내역(07월)'!G:G,'센터 자재 사용내역(07월)'!E:E,'사급자재 사용내역'!C28,'센터 자재 사용내역(07월)'!F:F,"불량")</f>
        <v>1</v>
      </c>
      <c r="AX28" s="40">
        <f>SUMIFS('센터 자재 사용내역(08월)'!G:G,'센터 자재 사용내역(08월)'!E:E,'사급자재 사용내역'!C28,'센터 자재 사용내역(08월)'!F:F,"불량")</f>
        <v>0</v>
      </c>
      <c r="AY28" s="40">
        <f>SUMIFS('센터 자재 사용내역(09월)'!G:G,'센터 자재 사용내역(09월)'!E:E,'사급자재 사용내역'!C28,'센터 자재 사용내역(09월)'!F:F,"불량")</f>
        <v>0</v>
      </c>
      <c r="AZ28" s="40">
        <f>SUMIFS('센터 자재 사용내역(10월)'!G:G,'센터 자재 사용내역(10월)'!E:E,'사급자재 사용내역'!C28,'센터 자재 사용내역(10월)'!F:F,"불량")</f>
        <v>0</v>
      </c>
      <c r="BA28" s="40">
        <f>SUMIFS('센터 자재 사용내역(11월)'!G:G,'센터 자재 사용내역(11월)'!E:E,'사급자재 사용내역'!C28,'센터 자재 사용내역(11월)'!F:F,"불량")</f>
        <v>0</v>
      </c>
      <c r="BB28" s="40">
        <f>SUMIFS('센터 자재 사용내역(12월)'!G:G,'센터 자재 사용내역(12월)'!E:E,'사급자재 사용내역'!C28,'센터 자재 사용내역(12월)'!F:F,"불량")</f>
        <v>0</v>
      </c>
      <c r="BC28" s="40">
        <f t="shared" si="6"/>
        <v>2</v>
      </c>
      <c r="BD28" s="62"/>
    </row>
    <row r="29" spans="2:56" ht="19.5" customHeight="1">
      <c r="B29" s="99"/>
      <c r="C29" s="22" t="s">
        <v>26</v>
      </c>
      <c r="D29" s="64" t="s">
        <v>130</v>
      </c>
      <c r="E29" s="46">
        <v>0</v>
      </c>
      <c r="F29" s="47">
        <v>0</v>
      </c>
      <c r="G29" s="46"/>
      <c r="H29" s="78"/>
      <c r="I29" s="90">
        <f t="shared" si="4"/>
        <v>0</v>
      </c>
      <c r="J29" s="89">
        <f t="shared" si="14"/>
        <v>0</v>
      </c>
      <c r="K29" s="78">
        <f t="shared" si="7"/>
        <v>0</v>
      </c>
      <c r="L29" s="84">
        <f t="shared" si="1"/>
        <v>0</v>
      </c>
      <c r="M29" s="79">
        <f>SUMIFS('센터 자재 사용내역(01월)'!G:G,'센터 자재 사용내역(01월)'!E:E,'사급자재 사용내역'!C29,'센터 자재 사용내역(01월)'!F:F,"신규")+SUMIFS('센터 자재 사용내역(01월)'!G:G,'센터 자재 사용내역(01월)'!E:E,'사급자재 사용내역'!C29,'센터 자재 사용내역(01월)'!F:F,"교체")</f>
        <v>0</v>
      </c>
      <c r="N29" s="40">
        <f>SUMIFS('센터 자재 사용내역(02월)'!G:G,'센터 자재 사용내역(02월)'!E:E,'사급자재 사용내역'!C29,'센터 자재 사용내역(02월)'!F:F,"신규")+SUMIFS('센터 자재 사용내역(02월)'!G:G,'센터 자재 사용내역(02월)'!E:E,'사급자재 사용내역'!C29,'센터 자재 사용내역(02월)'!F:F,"교체")</f>
        <v>0</v>
      </c>
      <c r="O29" s="40">
        <f>SUMIFS('센터 자재 사용내역(03월)'!G:G,'센터 자재 사용내역(03월)'!E:E,'사급자재 사용내역'!C29,'센터 자재 사용내역(03월)'!F:F,"신규")+SUMIFS('센터 자재 사용내역(03월)'!G:G,'센터 자재 사용내역(03월)'!E:E,'사급자재 사용내역'!C29,'센터 자재 사용내역(03월)'!F:F,"교체")</f>
        <v>0</v>
      </c>
      <c r="P29" s="40">
        <f>SUMIFS('센터 자재 사용내역(04월)'!G:G,'센터 자재 사용내역(04월)'!E:E,'사급자재 사용내역'!C29,'센터 자재 사용내역(04월)'!F:F,"신규")+SUMIFS('센터 자재 사용내역(04월)'!G:G,'센터 자재 사용내역(04월)'!E:E,'사급자재 사용내역'!C29,'센터 자재 사용내역(04월)'!F:F,"교체")</f>
        <v>0</v>
      </c>
      <c r="Q29" s="40">
        <f>SUMIFS('센터 자재 사용내역(05월)'!G:G,'센터 자재 사용내역(05월)'!E:E,'사급자재 사용내역'!C29,'센터 자재 사용내역(05월)'!F:F,"신규")+SUMIFS('센터 자재 사용내역(05월)'!G:G,'센터 자재 사용내역(05월)'!E:E,'사급자재 사용내역'!C29,'센터 자재 사용내역(05월)'!F:F,"교체")</f>
        <v>0</v>
      </c>
      <c r="R29" s="40">
        <f>SUMIFS('센터 자재 사용내역(06월)'!G:G,'센터 자재 사용내역(06월)'!E:E,'사급자재 사용내역'!C29,'센터 자재 사용내역(06월)'!F:F,"신규")+SUMIFS('센터 자재 사용내역(06월)'!G:G,'센터 자재 사용내역(06월)'!E:E,'사급자재 사용내역'!C29,'센터 자재 사용내역(06월)'!F:F,"교체")</f>
        <v>0</v>
      </c>
      <c r="S29" s="40">
        <f>SUMIFS('센터 자재 사용내역(07월)'!G:G,'센터 자재 사용내역(07월)'!E:E,'사급자재 사용내역'!C29,'센터 자재 사용내역(07월)'!F:F,"신규")+SUMIFS('센터 자재 사용내역(07월)'!G:G,'센터 자재 사용내역(07월)'!E:E,'사급자재 사용내역'!C29,'센터 자재 사용내역(07월)'!F:F,"교체")</f>
        <v>0</v>
      </c>
      <c r="T29" s="40">
        <f>SUMIFS('센터 자재 사용내역(08월)'!G:G,'센터 자재 사용내역(08월)'!E:E,'사급자재 사용내역'!C29,'센터 자재 사용내역(08월)'!F:F,"신규")+SUMIFS('센터 자재 사용내역(08월)'!G:G,'센터 자재 사용내역(08월)'!E:E,'사급자재 사용내역'!C29,'센터 자재 사용내역(08월)'!F:F,"교체")</f>
        <v>0</v>
      </c>
      <c r="U29" s="40">
        <f>SUMIFS('센터 자재 사용내역(09월)'!G:G,'센터 자재 사용내역(09월)'!E:E,'사급자재 사용내역'!C29,'센터 자재 사용내역(09월)'!F:F,"신규")+SUMIFS('센터 자재 사용내역(09월)'!G:G,'센터 자재 사용내역(09월)'!E:E,'사급자재 사용내역'!C29,'센터 자재 사용내역(09월)'!F:F,"교체")</f>
        <v>0</v>
      </c>
      <c r="V29" s="40">
        <f>SUMIFS('센터 자재 사용내역(10월)'!G:G,'센터 자재 사용내역(10월)'!E:E,'사급자재 사용내역'!C29,'센터 자재 사용내역(10월)'!F:F,"신규")+SUMIFS('센터 자재 사용내역(10월)'!G:G,'센터 자재 사용내역(10월)'!E:E,'사급자재 사용내역'!C29,'센터 자재 사용내역(10월)'!F:F,"교체")</f>
        <v>0</v>
      </c>
      <c r="W29" s="40">
        <f>SUMIFS('센터 자재 사용내역(11월)'!G:G,'센터 자재 사용내역(11월)'!E:E,'사급자재 사용내역'!C29,'센터 자재 사용내역(11월)'!F:F,"신규")+SUMIFS('센터 자재 사용내역(11월)'!G:G,'센터 자재 사용내역(11월)'!E:E,'사급자재 사용내역'!C29,'센터 자재 사용내역(11월)'!F:F,"교체")</f>
        <v>0</v>
      </c>
      <c r="X29" s="40">
        <f>SUMIFS('센터 자재 사용내역(12월)'!G:G,'센터 자재 사용내역(12월)'!E:E,'사급자재 사용내역'!C29,'센터 자재 사용내역(12월)'!F:F,"신규")+SUMIFS('센터 자재 사용내역(12월)'!G:G,'센터 자재 사용내역(12월)'!E:E,'사급자재 사용내역'!C29,'센터 자재 사용내역(12월)'!F:F,"교체")</f>
        <v>0</v>
      </c>
      <c r="Y29" s="40">
        <f t="shared" si="2"/>
        <v>0</v>
      </c>
      <c r="Z29" s="52"/>
      <c r="AB29" s="56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1">
        <f t="shared" si="3"/>
        <v>0</v>
      </c>
      <c r="AO29" s="57"/>
      <c r="AQ29" s="61">
        <f>SUMIFS('센터 자재 사용내역(01월)'!G:G,'센터 자재 사용내역(01월)'!E:E,'사급자재 사용내역'!C29,'센터 자재 사용내역(01월)'!F:F,"불량")</f>
        <v>0</v>
      </c>
      <c r="AR29" s="40">
        <f>SUMIFS('센터 자재 사용내역(02월)'!G:G,'센터 자재 사용내역(02월)'!E:E,'사급자재 사용내역'!C29,'센터 자재 사용내역(02월)'!F:F,"불량")</f>
        <v>0</v>
      </c>
      <c r="AS29" s="40">
        <f>SUMIFS('센터 자재 사용내역(03월)'!G:G,'센터 자재 사용내역(03월)'!E:E,'사급자재 사용내역'!C29,'센터 자재 사용내역(03월)'!F:F,"불량")</f>
        <v>0</v>
      </c>
      <c r="AT29" s="40">
        <f>SUMIFS('센터 자재 사용내역(04월)'!G:G,'센터 자재 사용내역(04월)'!E:E,'사급자재 사용내역'!C29,'센터 자재 사용내역(04월)'!F:F,"불량")</f>
        <v>0</v>
      </c>
      <c r="AU29" s="40">
        <f>SUMIFS('센터 자재 사용내역(05월)'!G:G,'센터 자재 사용내역(05월)'!E:E,'사급자재 사용내역'!C29,'센터 자재 사용내역(05월)'!F:F,"불량")</f>
        <v>0</v>
      </c>
      <c r="AV29" s="40">
        <f>SUMIFS('센터 자재 사용내역(06월)'!G:G,'센터 자재 사용내역(06월)'!E:E,'사급자재 사용내역'!C29,'센터 자재 사용내역(06월)'!F:F,"불량")</f>
        <v>0</v>
      </c>
      <c r="AW29" s="40">
        <f>SUMIFS('센터 자재 사용내역(07월)'!G:G,'센터 자재 사용내역(07월)'!E:E,'사급자재 사용내역'!C29,'센터 자재 사용내역(07월)'!F:F,"불량")</f>
        <v>0</v>
      </c>
      <c r="AX29" s="40">
        <f>SUMIFS('센터 자재 사용내역(08월)'!G:G,'센터 자재 사용내역(08월)'!E:E,'사급자재 사용내역'!C29,'센터 자재 사용내역(08월)'!F:F,"불량")</f>
        <v>0</v>
      </c>
      <c r="AY29" s="40">
        <f>SUMIFS('센터 자재 사용내역(09월)'!G:G,'센터 자재 사용내역(09월)'!E:E,'사급자재 사용내역'!C29,'센터 자재 사용내역(09월)'!F:F,"불량")</f>
        <v>0</v>
      </c>
      <c r="AZ29" s="40">
        <f>SUMIFS('센터 자재 사용내역(10월)'!G:G,'센터 자재 사용내역(10월)'!E:E,'사급자재 사용내역'!C29,'센터 자재 사용내역(10월)'!F:F,"불량")</f>
        <v>0</v>
      </c>
      <c r="BA29" s="40">
        <f>SUMIFS('센터 자재 사용내역(11월)'!G:G,'센터 자재 사용내역(11월)'!E:E,'사급자재 사용내역'!C29,'센터 자재 사용내역(11월)'!F:F,"불량")</f>
        <v>0</v>
      </c>
      <c r="BB29" s="40">
        <f>SUMIFS('센터 자재 사용내역(12월)'!G:G,'센터 자재 사용내역(12월)'!E:E,'사급자재 사용내역'!C29,'센터 자재 사용내역(12월)'!F:F,"불량")</f>
        <v>0</v>
      </c>
      <c r="BC29" s="40">
        <f t="shared" si="6"/>
        <v>0</v>
      </c>
      <c r="BD29" s="62"/>
    </row>
    <row r="30" spans="2:56" ht="19.5" customHeight="1">
      <c r="B30" s="99"/>
      <c r="C30" s="22" t="s">
        <v>25</v>
      </c>
      <c r="D30" s="64" t="s">
        <v>129</v>
      </c>
      <c r="E30" s="46">
        <v>0</v>
      </c>
      <c r="F30" s="47">
        <v>6</v>
      </c>
      <c r="G30" s="46"/>
      <c r="H30" s="78">
        <v>6</v>
      </c>
      <c r="I30" s="90">
        <f t="shared" si="4"/>
        <v>0</v>
      </c>
      <c r="J30" s="89">
        <f t="shared" si="14"/>
        <v>0</v>
      </c>
      <c r="K30" s="78">
        <f t="shared" si="7"/>
        <v>0</v>
      </c>
      <c r="L30" s="84">
        <f t="shared" si="1"/>
        <v>0</v>
      </c>
      <c r="M30" s="79">
        <f>SUMIFS('센터 자재 사용내역(01월)'!G:G,'센터 자재 사용내역(01월)'!E:E,'사급자재 사용내역'!C30,'센터 자재 사용내역(01월)'!F:F,"신규")+SUMIFS('센터 자재 사용내역(01월)'!G:G,'센터 자재 사용내역(01월)'!E:E,'사급자재 사용내역'!C30,'센터 자재 사용내역(01월)'!F:F,"교체")</f>
        <v>0</v>
      </c>
      <c r="N30" s="40">
        <f>SUMIFS('센터 자재 사용내역(02월)'!G:G,'센터 자재 사용내역(02월)'!E:E,'사급자재 사용내역'!C30,'센터 자재 사용내역(02월)'!F:F,"신규")+SUMIFS('센터 자재 사용내역(02월)'!G:G,'센터 자재 사용내역(02월)'!E:E,'사급자재 사용내역'!C30,'센터 자재 사용내역(02월)'!F:F,"교체")</f>
        <v>0</v>
      </c>
      <c r="O30" s="40">
        <f>SUMIFS('센터 자재 사용내역(03월)'!G:G,'센터 자재 사용내역(03월)'!E:E,'사급자재 사용내역'!C30,'센터 자재 사용내역(03월)'!F:F,"신규")+SUMIFS('센터 자재 사용내역(03월)'!G:G,'센터 자재 사용내역(03월)'!E:E,'사급자재 사용내역'!C30,'센터 자재 사용내역(03월)'!F:F,"교체")</f>
        <v>0</v>
      </c>
      <c r="P30" s="40">
        <f>SUMIFS('센터 자재 사용내역(04월)'!G:G,'센터 자재 사용내역(04월)'!E:E,'사급자재 사용내역'!C30,'센터 자재 사용내역(04월)'!F:F,"신규")+SUMIFS('센터 자재 사용내역(04월)'!G:G,'센터 자재 사용내역(04월)'!E:E,'사급자재 사용내역'!C30,'센터 자재 사용내역(04월)'!F:F,"교체")</f>
        <v>0</v>
      </c>
      <c r="Q30" s="40">
        <f>SUMIFS('센터 자재 사용내역(05월)'!G:G,'센터 자재 사용내역(05월)'!E:E,'사급자재 사용내역'!C30,'센터 자재 사용내역(05월)'!F:F,"신규")+SUMIFS('센터 자재 사용내역(05월)'!G:G,'센터 자재 사용내역(05월)'!E:E,'사급자재 사용내역'!C30,'센터 자재 사용내역(05월)'!F:F,"교체")</f>
        <v>0</v>
      </c>
      <c r="R30" s="40">
        <f>SUMIFS('센터 자재 사용내역(06월)'!G:G,'센터 자재 사용내역(06월)'!E:E,'사급자재 사용내역'!C30,'센터 자재 사용내역(06월)'!F:F,"신규")+SUMIFS('센터 자재 사용내역(06월)'!G:G,'센터 자재 사용내역(06월)'!E:E,'사급자재 사용내역'!C30,'센터 자재 사용내역(06월)'!F:F,"교체")</f>
        <v>0</v>
      </c>
      <c r="S30" s="40">
        <f>SUMIFS('센터 자재 사용내역(07월)'!G:G,'센터 자재 사용내역(07월)'!E:E,'사급자재 사용내역'!C30,'센터 자재 사용내역(07월)'!F:F,"신규")+SUMIFS('센터 자재 사용내역(07월)'!G:G,'센터 자재 사용내역(07월)'!E:E,'사급자재 사용내역'!C30,'센터 자재 사용내역(07월)'!F:F,"교체")</f>
        <v>0</v>
      </c>
      <c r="T30" s="40">
        <f>SUMIFS('센터 자재 사용내역(08월)'!G:G,'센터 자재 사용내역(08월)'!E:E,'사급자재 사용내역'!C30,'센터 자재 사용내역(08월)'!F:F,"신규")+SUMIFS('센터 자재 사용내역(08월)'!G:G,'센터 자재 사용내역(08월)'!E:E,'사급자재 사용내역'!C30,'센터 자재 사용내역(08월)'!F:F,"교체")</f>
        <v>0</v>
      </c>
      <c r="U30" s="40">
        <f>SUMIFS('센터 자재 사용내역(09월)'!G:G,'센터 자재 사용내역(09월)'!E:E,'사급자재 사용내역'!C30,'센터 자재 사용내역(09월)'!F:F,"신규")+SUMIFS('센터 자재 사용내역(09월)'!G:G,'센터 자재 사용내역(09월)'!E:E,'사급자재 사용내역'!C30,'센터 자재 사용내역(09월)'!F:F,"교체")</f>
        <v>0</v>
      </c>
      <c r="V30" s="40">
        <f>SUMIFS('센터 자재 사용내역(10월)'!G:G,'센터 자재 사용내역(10월)'!E:E,'사급자재 사용내역'!C30,'센터 자재 사용내역(10월)'!F:F,"신규")+SUMIFS('센터 자재 사용내역(10월)'!G:G,'센터 자재 사용내역(10월)'!E:E,'사급자재 사용내역'!C30,'센터 자재 사용내역(10월)'!F:F,"교체")</f>
        <v>0</v>
      </c>
      <c r="W30" s="40">
        <f>SUMIFS('센터 자재 사용내역(11월)'!G:G,'센터 자재 사용내역(11월)'!E:E,'사급자재 사용내역'!C30,'센터 자재 사용내역(11월)'!F:F,"신규")+SUMIFS('센터 자재 사용내역(11월)'!G:G,'센터 자재 사용내역(11월)'!E:E,'사급자재 사용내역'!C30,'센터 자재 사용내역(11월)'!F:F,"교체")</f>
        <v>0</v>
      </c>
      <c r="X30" s="40">
        <f>SUMIFS('센터 자재 사용내역(12월)'!G:G,'센터 자재 사용내역(12월)'!E:E,'사급자재 사용내역'!C30,'센터 자재 사용내역(12월)'!F:F,"신규")+SUMIFS('센터 자재 사용내역(12월)'!G:G,'센터 자재 사용내역(12월)'!E:E,'사급자재 사용내역'!C30,'센터 자재 사용내역(12월)'!F:F,"교체")</f>
        <v>0</v>
      </c>
      <c r="Y30" s="40">
        <f t="shared" si="2"/>
        <v>0</v>
      </c>
      <c r="Z30" s="52"/>
      <c r="AB30" s="56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1">
        <f t="shared" si="3"/>
        <v>0</v>
      </c>
      <c r="AO30" s="57"/>
      <c r="AQ30" s="61">
        <f>SUMIFS('센터 자재 사용내역(01월)'!G:G,'센터 자재 사용내역(01월)'!E:E,'사급자재 사용내역'!C30,'센터 자재 사용내역(01월)'!F:F,"불량")</f>
        <v>0</v>
      </c>
      <c r="AR30" s="40">
        <f>SUMIFS('센터 자재 사용내역(02월)'!G:G,'센터 자재 사용내역(02월)'!E:E,'사급자재 사용내역'!C30,'센터 자재 사용내역(02월)'!F:F,"불량")</f>
        <v>0</v>
      </c>
      <c r="AS30" s="40">
        <f>SUMIFS('센터 자재 사용내역(03월)'!G:G,'센터 자재 사용내역(03월)'!E:E,'사급자재 사용내역'!C30,'센터 자재 사용내역(03월)'!F:F,"불량")</f>
        <v>0</v>
      </c>
      <c r="AT30" s="40">
        <f>SUMIFS('센터 자재 사용내역(04월)'!G:G,'센터 자재 사용내역(04월)'!E:E,'사급자재 사용내역'!C30,'센터 자재 사용내역(04월)'!F:F,"불량")</f>
        <v>0</v>
      </c>
      <c r="AU30" s="40">
        <f>SUMIFS('센터 자재 사용내역(05월)'!G:G,'센터 자재 사용내역(05월)'!E:E,'사급자재 사용내역'!C30,'센터 자재 사용내역(05월)'!F:F,"불량")</f>
        <v>0</v>
      </c>
      <c r="AV30" s="40">
        <f>SUMIFS('센터 자재 사용내역(06월)'!G:G,'센터 자재 사용내역(06월)'!E:E,'사급자재 사용내역'!C30,'센터 자재 사용내역(06월)'!F:F,"불량")</f>
        <v>0</v>
      </c>
      <c r="AW30" s="40">
        <f>SUMIFS('센터 자재 사용내역(07월)'!G:G,'센터 자재 사용내역(07월)'!E:E,'사급자재 사용내역'!C30,'센터 자재 사용내역(07월)'!F:F,"불량")</f>
        <v>0</v>
      </c>
      <c r="AX30" s="40">
        <f>SUMIFS('센터 자재 사용내역(08월)'!G:G,'센터 자재 사용내역(08월)'!E:E,'사급자재 사용내역'!C30,'센터 자재 사용내역(08월)'!F:F,"불량")</f>
        <v>0</v>
      </c>
      <c r="AY30" s="40">
        <f>SUMIFS('센터 자재 사용내역(09월)'!G:G,'센터 자재 사용내역(09월)'!E:E,'사급자재 사용내역'!C30,'센터 자재 사용내역(09월)'!F:F,"불량")</f>
        <v>0</v>
      </c>
      <c r="AZ30" s="40">
        <f>SUMIFS('센터 자재 사용내역(10월)'!G:G,'센터 자재 사용내역(10월)'!E:E,'사급자재 사용내역'!C30,'센터 자재 사용내역(10월)'!F:F,"불량")</f>
        <v>0</v>
      </c>
      <c r="BA30" s="40">
        <f>SUMIFS('센터 자재 사용내역(11월)'!G:G,'센터 자재 사용내역(11월)'!E:E,'사급자재 사용내역'!C30,'센터 자재 사용내역(11월)'!F:F,"불량")</f>
        <v>0</v>
      </c>
      <c r="BB30" s="40">
        <f>SUMIFS('센터 자재 사용내역(12월)'!G:G,'센터 자재 사용내역(12월)'!E:E,'사급자재 사용내역'!C30,'센터 자재 사용내역(12월)'!F:F,"불량")</f>
        <v>0</v>
      </c>
      <c r="BC30" s="40">
        <f t="shared" si="6"/>
        <v>0</v>
      </c>
      <c r="BD30" s="62"/>
    </row>
    <row r="31" spans="2:56" ht="19.5" customHeight="1">
      <c r="B31" s="99"/>
      <c r="C31" s="22" t="s">
        <v>24</v>
      </c>
      <c r="D31" s="64" t="s">
        <v>129</v>
      </c>
      <c r="E31" s="46">
        <v>0</v>
      </c>
      <c r="F31" s="47">
        <v>4</v>
      </c>
      <c r="G31" s="46"/>
      <c r="H31" s="78">
        <v>9</v>
      </c>
      <c r="I31" s="90">
        <f t="shared" si="4"/>
        <v>0</v>
      </c>
      <c r="J31" s="89">
        <f t="shared" si="14"/>
        <v>16</v>
      </c>
      <c r="K31" s="78">
        <f t="shared" si="7"/>
        <v>25</v>
      </c>
      <c r="L31" s="84">
        <f t="shared" si="1"/>
        <v>9</v>
      </c>
      <c r="M31" s="79">
        <f>SUMIFS('센터 자재 사용내역(01월)'!G:G,'센터 자재 사용내역(01월)'!E:E,'사급자재 사용내역'!C31,'센터 자재 사용내역(01월)'!F:F,"신규")+SUMIFS('센터 자재 사용내역(01월)'!G:G,'센터 자재 사용내역(01월)'!E:E,'사급자재 사용내역'!C31,'센터 자재 사용내역(01월)'!F:F,"교체")</f>
        <v>0</v>
      </c>
      <c r="N31" s="40">
        <f>SUMIFS('센터 자재 사용내역(02월)'!G:G,'센터 자재 사용내역(02월)'!E:E,'사급자재 사용내역'!C31,'센터 자재 사용내역(02월)'!F:F,"신규")+SUMIFS('센터 자재 사용내역(02월)'!G:G,'센터 자재 사용내역(02월)'!E:E,'사급자재 사용내역'!C31,'센터 자재 사용내역(02월)'!F:F,"교체")</f>
        <v>0</v>
      </c>
      <c r="O31" s="40">
        <f>SUMIFS('센터 자재 사용내역(03월)'!G:G,'센터 자재 사용내역(03월)'!E:E,'사급자재 사용내역'!C31,'센터 자재 사용내역(03월)'!F:F,"신규")+SUMIFS('센터 자재 사용내역(03월)'!G:G,'센터 자재 사용내역(03월)'!E:E,'사급자재 사용내역'!C31,'센터 자재 사용내역(03월)'!F:F,"교체")</f>
        <v>0</v>
      </c>
      <c r="P31" s="40">
        <f>SUMIFS('센터 자재 사용내역(04월)'!G:G,'센터 자재 사용내역(04월)'!E:E,'사급자재 사용내역'!C31,'센터 자재 사용내역(04월)'!F:F,"신규")+SUMIFS('센터 자재 사용내역(04월)'!G:G,'센터 자재 사용내역(04월)'!E:E,'사급자재 사용내역'!C31,'센터 자재 사용내역(04월)'!F:F,"교체")</f>
        <v>0</v>
      </c>
      <c r="Q31" s="40">
        <f>SUMIFS('센터 자재 사용내역(05월)'!G:G,'센터 자재 사용내역(05월)'!E:E,'사급자재 사용내역'!C31,'센터 자재 사용내역(05월)'!F:F,"신규")+SUMIFS('센터 자재 사용내역(05월)'!G:G,'센터 자재 사용내역(05월)'!E:E,'사급자재 사용내역'!C31,'센터 자재 사용내역(05월)'!F:F,"교체")</f>
        <v>5</v>
      </c>
      <c r="R31" s="40">
        <f>SUMIFS('센터 자재 사용내역(06월)'!G:G,'센터 자재 사용내역(06월)'!E:E,'사급자재 사용내역'!C31,'센터 자재 사용내역(06월)'!F:F,"신규")+SUMIFS('센터 자재 사용내역(06월)'!G:G,'센터 자재 사용내역(06월)'!E:E,'사급자재 사용내역'!C31,'센터 자재 사용내역(06월)'!F:F,"교체")</f>
        <v>7</v>
      </c>
      <c r="S31" s="40">
        <f>SUMIFS('센터 자재 사용내역(07월)'!G:G,'센터 자재 사용내역(07월)'!E:E,'사급자재 사용내역'!C31,'센터 자재 사용내역(07월)'!F:F,"신규")+SUMIFS('센터 자재 사용내역(07월)'!G:G,'센터 자재 사용내역(07월)'!E:E,'사급자재 사용내역'!C31,'센터 자재 사용내역(07월)'!F:F,"교체")</f>
        <v>3</v>
      </c>
      <c r="T31" s="40">
        <f>SUMIFS('센터 자재 사용내역(08월)'!G:G,'센터 자재 사용내역(08월)'!E:E,'사급자재 사용내역'!C31,'센터 자재 사용내역(08월)'!F:F,"신규")+SUMIFS('센터 자재 사용내역(08월)'!G:G,'센터 자재 사용내역(08월)'!E:E,'사급자재 사용내역'!C31,'센터 자재 사용내역(08월)'!F:F,"교체")</f>
        <v>1</v>
      </c>
      <c r="U31" s="40">
        <f>SUMIFS('센터 자재 사용내역(09월)'!G:G,'센터 자재 사용내역(09월)'!E:E,'사급자재 사용내역'!C31,'센터 자재 사용내역(09월)'!F:F,"신규")+SUMIFS('센터 자재 사용내역(09월)'!G:G,'센터 자재 사용내역(09월)'!E:E,'사급자재 사용내역'!C31,'센터 자재 사용내역(09월)'!F:F,"교체")</f>
        <v>0</v>
      </c>
      <c r="V31" s="40">
        <f>SUMIFS('센터 자재 사용내역(10월)'!G:G,'센터 자재 사용내역(10월)'!E:E,'사급자재 사용내역'!C31,'센터 자재 사용내역(10월)'!F:F,"신규")+SUMIFS('센터 자재 사용내역(10월)'!G:G,'센터 자재 사용내역(10월)'!E:E,'사급자재 사용내역'!C31,'센터 자재 사용내역(10월)'!F:F,"교체")</f>
        <v>0</v>
      </c>
      <c r="W31" s="40">
        <f>SUMIFS('센터 자재 사용내역(11월)'!G:G,'센터 자재 사용내역(11월)'!E:E,'사급자재 사용내역'!C31,'센터 자재 사용내역(11월)'!F:F,"신규")+SUMIFS('센터 자재 사용내역(11월)'!G:G,'센터 자재 사용내역(11월)'!E:E,'사급자재 사용내역'!C31,'센터 자재 사용내역(11월)'!F:F,"교체")</f>
        <v>0</v>
      </c>
      <c r="X31" s="40">
        <f>SUMIFS('센터 자재 사용내역(12월)'!G:G,'센터 자재 사용내역(12월)'!E:E,'사급자재 사용내역'!C31,'센터 자재 사용내역(12월)'!F:F,"신규")+SUMIFS('센터 자재 사용내역(12월)'!G:G,'센터 자재 사용내역(12월)'!E:E,'사급자재 사용내역'!C31,'센터 자재 사용내역(12월)'!F:F,"교체")</f>
        <v>0</v>
      </c>
      <c r="Y31" s="40">
        <f t="shared" si="2"/>
        <v>16</v>
      </c>
      <c r="Z31" s="52"/>
      <c r="AB31" s="56"/>
      <c r="AC31" s="29"/>
      <c r="AD31" s="29"/>
      <c r="AE31" s="29"/>
      <c r="AF31" s="29">
        <v>8</v>
      </c>
      <c r="AG31" s="29">
        <v>4</v>
      </c>
      <c r="AH31" s="29">
        <v>3</v>
      </c>
      <c r="AI31" s="29">
        <v>10</v>
      </c>
      <c r="AJ31" s="29"/>
      <c r="AK31" s="29"/>
      <c r="AL31" s="29"/>
      <c r="AM31" s="29"/>
      <c r="AN31" s="21">
        <f t="shared" si="3"/>
        <v>25</v>
      </c>
      <c r="AO31" s="57"/>
      <c r="AQ31" s="61">
        <f>SUMIFS('센터 자재 사용내역(01월)'!G:G,'센터 자재 사용내역(01월)'!E:E,'사급자재 사용내역'!C31,'센터 자재 사용내역(01월)'!F:F,"불량")</f>
        <v>0</v>
      </c>
      <c r="AR31" s="40">
        <f>SUMIFS('센터 자재 사용내역(02월)'!G:G,'센터 자재 사용내역(02월)'!E:E,'사급자재 사용내역'!C31,'센터 자재 사용내역(02월)'!F:F,"불량")</f>
        <v>1</v>
      </c>
      <c r="AS31" s="40">
        <f>SUMIFS('센터 자재 사용내역(03월)'!G:G,'센터 자재 사용내역(03월)'!E:E,'사급자재 사용내역'!C31,'센터 자재 사용내역(03월)'!F:F,"불량")</f>
        <v>1</v>
      </c>
      <c r="AT31" s="40">
        <f>SUMIFS('센터 자재 사용내역(04월)'!G:G,'센터 자재 사용내역(04월)'!E:E,'사급자재 사용내역'!C31,'센터 자재 사용내역(04월)'!F:F,"불량")</f>
        <v>2</v>
      </c>
      <c r="AU31" s="40">
        <f>SUMIFS('센터 자재 사용내역(05월)'!G:G,'센터 자재 사용내역(05월)'!E:E,'사급자재 사용내역'!C31,'센터 자재 사용내역(05월)'!F:F,"불량")</f>
        <v>1</v>
      </c>
      <c r="AV31" s="40">
        <f>SUMIFS('센터 자재 사용내역(06월)'!G:G,'센터 자재 사용내역(06월)'!E:E,'사급자재 사용내역'!C31,'센터 자재 사용내역(06월)'!F:F,"불량")</f>
        <v>0</v>
      </c>
      <c r="AW31" s="40">
        <f>SUMIFS('센터 자재 사용내역(07월)'!G:G,'센터 자재 사용내역(07월)'!E:E,'사급자재 사용내역'!C31,'센터 자재 사용내역(07월)'!F:F,"불량")</f>
        <v>0</v>
      </c>
      <c r="AX31" s="40">
        <f>SUMIFS('센터 자재 사용내역(08월)'!G:G,'센터 자재 사용내역(08월)'!E:E,'사급자재 사용내역'!C31,'센터 자재 사용내역(08월)'!F:F,"불량")</f>
        <v>0</v>
      </c>
      <c r="AY31" s="40">
        <f>SUMIFS('센터 자재 사용내역(09월)'!G:G,'센터 자재 사용내역(09월)'!E:E,'사급자재 사용내역'!C31,'센터 자재 사용내역(09월)'!F:F,"불량")</f>
        <v>0</v>
      </c>
      <c r="AZ31" s="40">
        <f>SUMIFS('센터 자재 사용내역(10월)'!G:G,'센터 자재 사용내역(10월)'!E:E,'사급자재 사용내역'!C31,'센터 자재 사용내역(10월)'!F:F,"불량")</f>
        <v>0</v>
      </c>
      <c r="BA31" s="40">
        <f>SUMIFS('센터 자재 사용내역(11월)'!G:G,'센터 자재 사용내역(11월)'!E:E,'사급자재 사용내역'!C31,'센터 자재 사용내역(11월)'!F:F,"불량")</f>
        <v>0</v>
      </c>
      <c r="BB31" s="40">
        <f>SUMIFS('센터 자재 사용내역(12월)'!G:G,'센터 자재 사용내역(12월)'!E:E,'사급자재 사용내역'!C31,'센터 자재 사용내역(12월)'!F:F,"불량")</f>
        <v>0</v>
      </c>
      <c r="BC31" s="40">
        <f t="shared" si="6"/>
        <v>5</v>
      </c>
      <c r="BD31" s="62"/>
    </row>
    <row r="32" spans="2:56" ht="19.5" customHeight="1">
      <c r="B32" s="99"/>
      <c r="C32" s="22" t="s">
        <v>186</v>
      </c>
      <c r="D32" s="64" t="s">
        <v>130</v>
      </c>
      <c r="E32" s="46">
        <v>15</v>
      </c>
      <c r="F32" s="47">
        <v>0</v>
      </c>
      <c r="G32" s="46"/>
      <c r="H32" s="78"/>
      <c r="I32" s="90">
        <f t="shared" si="4"/>
        <v>0</v>
      </c>
      <c r="J32" s="89">
        <f t="shared" si="14"/>
        <v>0</v>
      </c>
      <c r="K32" s="78">
        <f t="shared" si="7"/>
        <v>0</v>
      </c>
      <c r="L32" s="84">
        <f t="shared" si="1"/>
        <v>15</v>
      </c>
      <c r="M32" s="79">
        <f>SUMIFS('센터 자재 사용내역(01월)'!G:G,'센터 자재 사용내역(01월)'!E:E,'사급자재 사용내역'!C32,'센터 자재 사용내역(01월)'!F:F,"신규")+SUMIFS('센터 자재 사용내역(01월)'!G:G,'센터 자재 사용내역(01월)'!E:E,'사급자재 사용내역'!C32,'센터 자재 사용내역(01월)'!F:F,"교체")</f>
        <v>0</v>
      </c>
      <c r="N32" s="40">
        <f>SUMIFS('센터 자재 사용내역(02월)'!G:G,'센터 자재 사용내역(02월)'!E:E,'사급자재 사용내역'!C32,'센터 자재 사용내역(02월)'!F:F,"신규")+SUMIFS('센터 자재 사용내역(02월)'!G:G,'센터 자재 사용내역(02월)'!E:E,'사급자재 사용내역'!C32,'센터 자재 사용내역(02월)'!F:F,"교체")</f>
        <v>0</v>
      </c>
      <c r="O32" s="40">
        <f>SUMIFS('센터 자재 사용내역(03월)'!G:G,'센터 자재 사용내역(03월)'!E:E,'사급자재 사용내역'!C32,'센터 자재 사용내역(03월)'!F:F,"신규")+SUMIFS('센터 자재 사용내역(03월)'!G:G,'센터 자재 사용내역(03월)'!E:E,'사급자재 사용내역'!C32,'센터 자재 사용내역(03월)'!F:F,"교체")</f>
        <v>0</v>
      </c>
      <c r="P32" s="40">
        <f>SUMIFS('센터 자재 사용내역(04월)'!G:G,'센터 자재 사용내역(04월)'!E:E,'사급자재 사용내역'!C32,'센터 자재 사용내역(04월)'!F:F,"신규")+SUMIFS('센터 자재 사용내역(04월)'!G:G,'센터 자재 사용내역(04월)'!E:E,'사급자재 사용내역'!C32,'센터 자재 사용내역(04월)'!F:F,"교체")</f>
        <v>0</v>
      </c>
      <c r="Q32" s="40">
        <f>SUMIFS('센터 자재 사용내역(05월)'!G:G,'센터 자재 사용내역(05월)'!E:E,'사급자재 사용내역'!C32,'센터 자재 사용내역(05월)'!F:F,"신규")+SUMIFS('센터 자재 사용내역(05월)'!G:G,'센터 자재 사용내역(05월)'!E:E,'사급자재 사용내역'!C32,'센터 자재 사용내역(05월)'!F:F,"교체")</f>
        <v>0</v>
      </c>
      <c r="R32" s="40">
        <f>SUMIFS('센터 자재 사용내역(06월)'!G:G,'센터 자재 사용내역(06월)'!E:E,'사급자재 사용내역'!C32,'센터 자재 사용내역(06월)'!F:F,"신규")+SUMIFS('센터 자재 사용내역(06월)'!G:G,'센터 자재 사용내역(06월)'!E:E,'사급자재 사용내역'!C32,'센터 자재 사용내역(06월)'!F:F,"교체")</f>
        <v>0</v>
      </c>
      <c r="S32" s="40">
        <f>SUMIFS('센터 자재 사용내역(07월)'!G:G,'센터 자재 사용내역(07월)'!E:E,'사급자재 사용내역'!C32,'센터 자재 사용내역(07월)'!F:F,"신규")+SUMIFS('센터 자재 사용내역(07월)'!G:G,'센터 자재 사용내역(07월)'!E:E,'사급자재 사용내역'!C32,'센터 자재 사용내역(07월)'!F:F,"교체")</f>
        <v>0</v>
      </c>
      <c r="T32" s="40">
        <f>SUMIFS('센터 자재 사용내역(08월)'!G:G,'센터 자재 사용내역(08월)'!E:E,'사급자재 사용내역'!C32,'센터 자재 사용내역(08월)'!F:F,"신규")+SUMIFS('센터 자재 사용내역(08월)'!G:G,'센터 자재 사용내역(08월)'!E:E,'사급자재 사용내역'!C32,'센터 자재 사용내역(08월)'!F:F,"교체")</f>
        <v>0</v>
      </c>
      <c r="U32" s="40">
        <f>SUMIFS('센터 자재 사용내역(09월)'!G:G,'센터 자재 사용내역(09월)'!E:E,'사급자재 사용내역'!C32,'센터 자재 사용내역(09월)'!F:F,"신규")+SUMIFS('센터 자재 사용내역(09월)'!G:G,'센터 자재 사용내역(09월)'!E:E,'사급자재 사용내역'!C32,'센터 자재 사용내역(09월)'!F:F,"교체")</f>
        <v>0</v>
      </c>
      <c r="V32" s="40">
        <f>SUMIFS('센터 자재 사용내역(10월)'!G:G,'센터 자재 사용내역(10월)'!E:E,'사급자재 사용내역'!C32,'센터 자재 사용내역(10월)'!F:F,"신규")+SUMIFS('센터 자재 사용내역(10월)'!G:G,'센터 자재 사용내역(10월)'!E:E,'사급자재 사용내역'!C32,'센터 자재 사용내역(10월)'!F:F,"교체")</f>
        <v>0</v>
      </c>
      <c r="W32" s="40">
        <f>SUMIFS('센터 자재 사용내역(11월)'!G:G,'센터 자재 사용내역(11월)'!E:E,'사급자재 사용내역'!C32,'센터 자재 사용내역(11월)'!F:F,"신규")+SUMIFS('센터 자재 사용내역(11월)'!G:G,'센터 자재 사용내역(11월)'!E:E,'사급자재 사용내역'!C32,'센터 자재 사용내역(11월)'!F:F,"교체")</f>
        <v>0</v>
      </c>
      <c r="X32" s="40">
        <f>SUMIFS('센터 자재 사용내역(12월)'!G:G,'센터 자재 사용내역(12월)'!E:E,'사급자재 사용내역'!C32,'센터 자재 사용내역(12월)'!F:F,"신규")+SUMIFS('센터 자재 사용내역(12월)'!G:G,'센터 자재 사용내역(12월)'!E:E,'사급자재 사용내역'!C32,'센터 자재 사용내역(12월)'!F:F,"교체")</f>
        <v>0</v>
      </c>
      <c r="Y32" s="40">
        <f t="shared" si="2"/>
        <v>0</v>
      </c>
      <c r="Z32" s="52"/>
      <c r="AB32" s="56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1">
        <f t="shared" si="3"/>
        <v>0</v>
      </c>
      <c r="AO32" s="57"/>
      <c r="AQ32" s="61">
        <f>SUMIFS('센터 자재 사용내역(01월)'!G:G,'센터 자재 사용내역(01월)'!E:E,'사급자재 사용내역'!C32,'센터 자재 사용내역(01월)'!F:F,"불량")</f>
        <v>0</v>
      </c>
      <c r="AR32" s="40">
        <f>SUMIFS('센터 자재 사용내역(02월)'!G:G,'센터 자재 사용내역(02월)'!E:E,'사급자재 사용내역'!C32,'센터 자재 사용내역(02월)'!F:F,"불량")</f>
        <v>0</v>
      </c>
      <c r="AS32" s="40">
        <f>SUMIFS('센터 자재 사용내역(03월)'!G:G,'센터 자재 사용내역(03월)'!E:E,'사급자재 사용내역'!C32,'센터 자재 사용내역(03월)'!F:F,"불량")</f>
        <v>0</v>
      </c>
      <c r="AT32" s="40">
        <f>SUMIFS('센터 자재 사용내역(04월)'!G:G,'센터 자재 사용내역(04월)'!E:E,'사급자재 사용내역'!C32,'센터 자재 사용내역(04월)'!F:F,"불량")</f>
        <v>0</v>
      </c>
      <c r="AU32" s="40">
        <f>SUMIFS('센터 자재 사용내역(05월)'!G:G,'센터 자재 사용내역(05월)'!E:E,'사급자재 사용내역'!C32,'센터 자재 사용내역(05월)'!F:F,"불량")</f>
        <v>0</v>
      </c>
      <c r="AV32" s="40">
        <f>SUMIFS('센터 자재 사용내역(06월)'!G:G,'센터 자재 사용내역(06월)'!E:E,'사급자재 사용내역'!C32,'센터 자재 사용내역(06월)'!F:F,"불량")</f>
        <v>0</v>
      </c>
      <c r="AW32" s="40">
        <f>SUMIFS('센터 자재 사용내역(07월)'!G:G,'센터 자재 사용내역(07월)'!E:E,'사급자재 사용내역'!C32,'센터 자재 사용내역(07월)'!F:F,"불량")</f>
        <v>0</v>
      </c>
      <c r="AX32" s="40">
        <f>SUMIFS('센터 자재 사용내역(08월)'!G:G,'센터 자재 사용내역(08월)'!E:E,'사급자재 사용내역'!C32,'센터 자재 사용내역(08월)'!F:F,"불량")</f>
        <v>0</v>
      </c>
      <c r="AY32" s="40">
        <f>SUMIFS('센터 자재 사용내역(09월)'!G:G,'센터 자재 사용내역(09월)'!E:E,'사급자재 사용내역'!C32,'센터 자재 사용내역(09월)'!F:F,"불량")</f>
        <v>0</v>
      </c>
      <c r="AZ32" s="40">
        <f>SUMIFS('센터 자재 사용내역(10월)'!G:G,'센터 자재 사용내역(10월)'!E:E,'사급자재 사용내역'!C32,'센터 자재 사용내역(10월)'!F:F,"불량")</f>
        <v>0</v>
      </c>
      <c r="BA32" s="40">
        <f>SUMIFS('센터 자재 사용내역(11월)'!G:G,'센터 자재 사용내역(11월)'!E:E,'사급자재 사용내역'!C32,'센터 자재 사용내역(11월)'!F:F,"불량")</f>
        <v>0</v>
      </c>
      <c r="BB32" s="40">
        <f>SUMIFS('센터 자재 사용내역(12월)'!G:G,'센터 자재 사용내역(12월)'!E:E,'사급자재 사용내역'!C32,'센터 자재 사용내역(12월)'!F:F,"불량")</f>
        <v>0</v>
      </c>
      <c r="BC32" s="40">
        <f t="shared" si="6"/>
        <v>0</v>
      </c>
      <c r="BD32" s="62"/>
    </row>
    <row r="33" spans="2:56" ht="19.5" customHeight="1">
      <c r="B33" s="100"/>
      <c r="C33" s="22" t="s">
        <v>176</v>
      </c>
      <c r="D33" s="64" t="s">
        <v>129</v>
      </c>
      <c r="E33" s="46">
        <v>0</v>
      </c>
      <c r="F33" s="47">
        <v>0</v>
      </c>
      <c r="G33" s="46"/>
      <c r="H33" s="78">
        <v>1</v>
      </c>
      <c r="I33" s="90">
        <f t="shared" si="4"/>
        <v>1</v>
      </c>
      <c r="J33" s="89">
        <f t="shared" si="14"/>
        <v>0</v>
      </c>
      <c r="K33" s="78">
        <f t="shared" si="7"/>
        <v>0</v>
      </c>
      <c r="L33" s="84">
        <f t="shared" si="1"/>
        <v>0</v>
      </c>
      <c r="M33" s="79">
        <f>SUMIFS('센터 자재 사용내역(01월)'!G:G,'센터 자재 사용내역(01월)'!E:E,'사급자재 사용내역'!C33,'센터 자재 사용내역(01월)'!F:F,"신규")+SUMIFS('센터 자재 사용내역(01월)'!G:G,'센터 자재 사용내역(01월)'!E:E,'사급자재 사용내역'!C33,'센터 자재 사용내역(01월)'!F:F,"교체")</f>
        <v>0</v>
      </c>
      <c r="N33" s="40">
        <f>SUMIFS('센터 자재 사용내역(02월)'!G:G,'센터 자재 사용내역(02월)'!E:E,'사급자재 사용내역'!C33,'센터 자재 사용내역(02월)'!F:F,"신규")+SUMIFS('센터 자재 사용내역(02월)'!G:G,'센터 자재 사용내역(02월)'!E:E,'사급자재 사용내역'!C33,'센터 자재 사용내역(02월)'!F:F,"교체")</f>
        <v>0</v>
      </c>
      <c r="O33" s="40">
        <f>SUMIFS('센터 자재 사용내역(03월)'!G:G,'센터 자재 사용내역(03월)'!E:E,'사급자재 사용내역'!C33,'센터 자재 사용내역(03월)'!F:F,"신규")+SUMIFS('센터 자재 사용내역(03월)'!G:G,'센터 자재 사용내역(03월)'!E:E,'사급자재 사용내역'!C33,'센터 자재 사용내역(03월)'!F:F,"교체")</f>
        <v>0</v>
      </c>
      <c r="P33" s="40">
        <f>SUMIFS('센터 자재 사용내역(04월)'!G:G,'센터 자재 사용내역(04월)'!E:E,'사급자재 사용내역'!C33,'센터 자재 사용내역(04월)'!F:F,"신규")+SUMIFS('센터 자재 사용내역(04월)'!G:G,'센터 자재 사용내역(04월)'!E:E,'사급자재 사용내역'!C33,'센터 자재 사용내역(04월)'!F:F,"교체")</f>
        <v>0</v>
      </c>
      <c r="Q33" s="40">
        <f>SUMIFS('센터 자재 사용내역(05월)'!G:G,'센터 자재 사용내역(05월)'!E:E,'사급자재 사용내역'!C33,'센터 자재 사용내역(05월)'!F:F,"신규")+SUMIFS('센터 자재 사용내역(05월)'!G:G,'센터 자재 사용내역(05월)'!E:E,'사급자재 사용내역'!C33,'센터 자재 사용내역(05월)'!F:F,"교체")</f>
        <v>0</v>
      </c>
      <c r="R33" s="40">
        <f>SUMIFS('센터 자재 사용내역(06월)'!G:G,'센터 자재 사용내역(06월)'!E:E,'사급자재 사용내역'!C33,'센터 자재 사용내역(06월)'!F:F,"신규")+SUMIFS('센터 자재 사용내역(06월)'!G:G,'센터 자재 사용내역(06월)'!E:E,'사급자재 사용내역'!C33,'센터 자재 사용내역(06월)'!F:F,"교체")</f>
        <v>0</v>
      </c>
      <c r="S33" s="40">
        <f>SUMIFS('센터 자재 사용내역(07월)'!G:G,'센터 자재 사용내역(07월)'!E:E,'사급자재 사용내역'!C33,'센터 자재 사용내역(07월)'!F:F,"신규")+SUMIFS('센터 자재 사용내역(07월)'!G:G,'센터 자재 사용내역(07월)'!E:E,'사급자재 사용내역'!C33,'센터 자재 사용내역(07월)'!F:F,"교체")</f>
        <v>0</v>
      </c>
      <c r="T33" s="40">
        <f>SUMIFS('센터 자재 사용내역(08월)'!G:G,'센터 자재 사용내역(08월)'!E:E,'사급자재 사용내역'!C33,'센터 자재 사용내역(08월)'!F:F,"신규")+SUMIFS('센터 자재 사용내역(08월)'!G:G,'센터 자재 사용내역(08월)'!E:E,'사급자재 사용내역'!C33,'센터 자재 사용내역(08월)'!F:F,"교체")</f>
        <v>0</v>
      </c>
      <c r="U33" s="40">
        <f>SUMIFS('센터 자재 사용내역(09월)'!G:G,'센터 자재 사용내역(09월)'!E:E,'사급자재 사용내역'!C33,'센터 자재 사용내역(09월)'!F:F,"신규")+SUMIFS('센터 자재 사용내역(09월)'!G:G,'센터 자재 사용내역(09월)'!E:E,'사급자재 사용내역'!C33,'센터 자재 사용내역(09월)'!F:F,"교체")</f>
        <v>0</v>
      </c>
      <c r="V33" s="40">
        <f>SUMIFS('센터 자재 사용내역(10월)'!G:G,'센터 자재 사용내역(10월)'!E:E,'사급자재 사용내역'!C33,'센터 자재 사용내역(10월)'!F:F,"신규")+SUMIFS('센터 자재 사용내역(10월)'!G:G,'센터 자재 사용내역(10월)'!E:E,'사급자재 사용내역'!C33,'센터 자재 사용내역(10월)'!F:F,"교체")</f>
        <v>0</v>
      </c>
      <c r="W33" s="40">
        <f>SUMIFS('센터 자재 사용내역(11월)'!G:G,'센터 자재 사용내역(11월)'!E:E,'사급자재 사용내역'!C33,'센터 자재 사용내역(11월)'!F:F,"신규")+SUMIFS('센터 자재 사용내역(11월)'!G:G,'센터 자재 사용내역(11월)'!E:E,'사급자재 사용내역'!C33,'센터 자재 사용내역(11월)'!F:F,"교체")</f>
        <v>0</v>
      </c>
      <c r="X33" s="40">
        <f>SUMIFS('센터 자재 사용내역(12월)'!G:G,'센터 자재 사용내역(12월)'!E:E,'사급자재 사용내역'!C33,'센터 자재 사용내역(12월)'!F:F,"신규")+SUMIFS('센터 자재 사용내역(12월)'!G:G,'센터 자재 사용내역(12월)'!E:E,'사급자재 사용내역'!C33,'센터 자재 사용내역(12월)'!F:F,"교체")</f>
        <v>0</v>
      </c>
      <c r="Y33" s="40">
        <f t="shared" si="2"/>
        <v>0</v>
      </c>
      <c r="Z33" s="52"/>
      <c r="AB33" s="56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1">
        <f t="shared" si="3"/>
        <v>0</v>
      </c>
      <c r="AO33" s="57"/>
      <c r="AQ33" s="61">
        <f>SUMIFS('센터 자재 사용내역(01월)'!G:G,'센터 자재 사용내역(01월)'!E:E,'사급자재 사용내역'!C33,'센터 자재 사용내역(01월)'!F:F,"불량")</f>
        <v>0</v>
      </c>
      <c r="AR33" s="40">
        <f>SUMIFS('센터 자재 사용내역(02월)'!G:G,'센터 자재 사용내역(02월)'!E:E,'사급자재 사용내역'!C33,'센터 자재 사용내역(02월)'!F:F,"불량")</f>
        <v>0</v>
      </c>
      <c r="AS33" s="40">
        <f>SUMIFS('센터 자재 사용내역(03월)'!G:G,'센터 자재 사용내역(03월)'!E:E,'사급자재 사용내역'!C33,'센터 자재 사용내역(03월)'!F:F,"불량")</f>
        <v>0</v>
      </c>
      <c r="AT33" s="40">
        <f>SUMIFS('센터 자재 사용내역(04월)'!G:G,'센터 자재 사용내역(04월)'!E:E,'사급자재 사용내역'!C33,'센터 자재 사용내역(04월)'!F:F,"불량")</f>
        <v>0</v>
      </c>
      <c r="AU33" s="40">
        <f>SUMIFS('센터 자재 사용내역(05월)'!G:G,'센터 자재 사용내역(05월)'!E:E,'사급자재 사용내역'!C33,'센터 자재 사용내역(05월)'!F:F,"불량")</f>
        <v>1</v>
      </c>
      <c r="AV33" s="40">
        <f>SUMIFS('센터 자재 사용내역(06월)'!G:G,'센터 자재 사용내역(06월)'!E:E,'사급자재 사용내역'!C33,'센터 자재 사용내역(06월)'!F:F,"불량")</f>
        <v>0</v>
      </c>
      <c r="AW33" s="40">
        <f>SUMIFS('센터 자재 사용내역(07월)'!G:G,'센터 자재 사용내역(07월)'!E:E,'사급자재 사용내역'!C33,'센터 자재 사용내역(07월)'!F:F,"불량")</f>
        <v>0</v>
      </c>
      <c r="AX33" s="40">
        <f>SUMIFS('센터 자재 사용내역(08월)'!G:G,'센터 자재 사용내역(08월)'!E:E,'사급자재 사용내역'!C33,'센터 자재 사용내역(08월)'!F:F,"불량")</f>
        <v>1</v>
      </c>
      <c r="AY33" s="40">
        <f>SUMIFS('센터 자재 사용내역(09월)'!G:G,'센터 자재 사용내역(09월)'!E:E,'사급자재 사용내역'!C33,'센터 자재 사용내역(09월)'!F:F,"불량")</f>
        <v>0</v>
      </c>
      <c r="AZ33" s="40">
        <f>SUMIFS('센터 자재 사용내역(10월)'!G:G,'센터 자재 사용내역(10월)'!E:E,'사급자재 사용내역'!C33,'센터 자재 사용내역(10월)'!F:F,"불량")</f>
        <v>0</v>
      </c>
      <c r="BA33" s="40">
        <f>SUMIFS('센터 자재 사용내역(11월)'!G:G,'센터 자재 사용내역(11월)'!E:E,'사급자재 사용내역'!C33,'센터 자재 사용내역(11월)'!F:F,"불량")</f>
        <v>0</v>
      </c>
      <c r="BB33" s="40">
        <f>SUMIFS('센터 자재 사용내역(12월)'!G:G,'센터 자재 사용내역(12월)'!E:E,'사급자재 사용내역'!C33,'센터 자재 사용내역(12월)'!F:F,"불량")</f>
        <v>0</v>
      </c>
      <c r="BC33" s="40">
        <f t="shared" si="6"/>
        <v>2</v>
      </c>
      <c r="BD33" s="62"/>
    </row>
    <row r="34" spans="2:56" ht="19.5" customHeight="1">
      <c r="B34" s="106" t="s">
        <v>31</v>
      </c>
      <c r="C34" s="22" t="s">
        <v>28</v>
      </c>
      <c r="D34" s="64" t="s">
        <v>130</v>
      </c>
      <c r="E34" s="46">
        <v>246</v>
      </c>
      <c r="F34" s="47">
        <v>11</v>
      </c>
      <c r="G34" s="46"/>
      <c r="H34" s="78">
        <v>25</v>
      </c>
      <c r="I34" s="90">
        <f t="shared" si="4"/>
        <v>4</v>
      </c>
      <c r="J34" s="89">
        <f t="shared" si="14"/>
        <v>397</v>
      </c>
      <c r="K34" s="78">
        <f t="shared" si="7"/>
        <v>151</v>
      </c>
      <c r="L34" s="84">
        <f t="shared" si="1"/>
        <v>0</v>
      </c>
      <c r="M34" s="79">
        <f>SUMIFS('센터 자재 사용내역(01월)'!G:G,'센터 자재 사용내역(01월)'!E:E,'사급자재 사용내역'!C34,'센터 자재 사용내역(01월)'!F:F,"신규")+SUMIFS('센터 자재 사용내역(01월)'!G:G,'센터 자재 사용내역(01월)'!E:E,'사급자재 사용내역'!C34,'센터 자재 사용내역(01월)'!F:F,"교체")</f>
        <v>137</v>
      </c>
      <c r="N34" s="40">
        <f>SUMIFS('센터 자재 사용내역(02월)'!G:G,'센터 자재 사용내역(02월)'!E:E,'사급자재 사용내역'!C34,'센터 자재 사용내역(02월)'!F:F,"신규")+SUMIFS('센터 자재 사용내역(02월)'!G:G,'센터 자재 사용내역(02월)'!E:E,'사급자재 사용내역'!C34,'센터 자재 사용내역(02월)'!F:F,"교체")</f>
        <v>59</v>
      </c>
      <c r="O34" s="40">
        <f>SUMIFS('센터 자재 사용내역(03월)'!G:G,'센터 자재 사용내역(03월)'!E:E,'사급자재 사용내역'!C34,'센터 자재 사용내역(03월)'!F:F,"신규")+SUMIFS('센터 자재 사용내역(03월)'!G:G,'센터 자재 사용내역(03월)'!E:E,'사급자재 사용내역'!C34,'센터 자재 사용내역(03월)'!F:F,"교체")</f>
        <v>75</v>
      </c>
      <c r="P34" s="40">
        <f>SUMIFS('센터 자재 사용내역(04월)'!G:G,'센터 자재 사용내역(04월)'!E:E,'사급자재 사용내역'!C34,'센터 자재 사용내역(04월)'!F:F,"신규")+SUMIFS('센터 자재 사용내역(04월)'!G:G,'센터 자재 사용내역(04월)'!E:E,'사급자재 사용내역'!C34,'센터 자재 사용내역(04월)'!F:F,"교체")</f>
        <v>32</v>
      </c>
      <c r="Q34" s="40">
        <f>SUMIFS('센터 자재 사용내역(05월)'!G:G,'센터 자재 사용내역(05월)'!E:E,'사급자재 사용내역'!C34,'센터 자재 사용내역(05월)'!F:F,"신규")+SUMIFS('센터 자재 사용내역(05월)'!G:G,'센터 자재 사용내역(05월)'!E:E,'사급자재 사용내역'!C34,'센터 자재 사용내역(05월)'!F:F,"교체")</f>
        <v>35</v>
      </c>
      <c r="R34" s="40">
        <f>SUMIFS('센터 자재 사용내역(06월)'!G:G,'센터 자재 사용내역(06월)'!E:E,'사급자재 사용내역'!C34,'센터 자재 사용내역(06월)'!F:F,"신규")+SUMIFS('센터 자재 사용내역(06월)'!G:G,'센터 자재 사용내역(06월)'!E:E,'사급자재 사용내역'!C34,'센터 자재 사용내역(06월)'!F:F,"교체")</f>
        <v>52</v>
      </c>
      <c r="S34" s="40">
        <f>SUMIFS('센터 자재 사용내역(07월)'!G:G,'센터 자재 사용내역(07월)'!E:E,'사급자재 사용내역'!C34,'센터 자재 사용내역(07월)'!F:F,"신규")+SUMIFS('센터 자재 사용내역(07월)'!G:G,'센터 자재 사용내역(07월)'!E:E,'사급자재 사용내역'!C34,'센터 자재 사용내역(07월)'!F:F,"교체")</f>
        <v>7</v>
      </c>
      <c r="T34" s="40">
        <f>SUMIFS('센터 자재 사용내역(08월)'!G:G,'센터 자재 사용내역(08월)'!E:E,'사급자재 사용내역'!C34,'센터 자재 사용내역(08월)'!F:F,"신규")+SUMIFS('센터 자재 사용내역(08월)'!G:G,'센터 자재 사용내역(08월)'!E:E,'사급자재 사용내역'!C34,'센터 자재 사용내역(08월)'!F:F,"교체")</f>
        <v>0</v>
      </c>
      <c r="U34" s="40">
        <f>SUMIFS('센터 자재 사용내역(09월)'!G:G,'센터 자재 사용내역(09월)'!E:E,'사급자재 사용내역'!C34,'센터 자재 사용내역(09월)'!F:F,"신규")+SUMIFS('센터 자재 사용내역(09월)'!G:G,'센터 자재 사용내역(09월)'!E:E,'사급자재 사용내역'!C34,'센터 자재 사용내역(09월)'!F:F,"교체")</f>
        <v>0</v>
      </c>
      <c r="V34" s="40">
        <f>SUMIFS('센터 자재 사용내역(10월)'!G:G,'센터 자재 사용내역(10월)'!E:E,'사급자재 사용내역'!C34,'센터 자재 사용내역(10월)'!F:F,"신규")+SUMIFS('센터 자재 사용내역(10월)'!G:G,'센터 자재 사용내역(10월)'!E:E,'사급자재 사용내역'!C34,'센터 자재 사용내역(10월)'!F:F,"교체")</f>
        <v>0</v>
      </c>
      <c r="W34" s="40">
        <f>SUMIFS('센터 자재 사용내역(11월)'!G:G,'센터 자재 사용내역(11월)'!E:E,'사급자재 사용내역'!C34,'센터 자재 사용내역(11월)'!F:F,"신규")+SUMIFS('센터 자재 사용내역(11월)'!G:G,'센터 자재 사용내역(11월)'!E:E,'사급자재 사용내역'!C34,'센터 자재 사용내역(11월)'!F:F,"교체")</f>
        <v>0</v>
      </c>
      <c r="X34" s="40">
        <f>SUMIFS('센터 자재 사용내역(12월)'!G:G,'센터 자재 사용내역(12월)'!E:E,'사급자재 사용내역'!C34,'센터 자재 사용내역(12월)'!F:F,"신규")+SUMIFS('센터 자재 사용내역(12월)'!G:G,'센터 자재 사용내역(12월)'!E:E,'사급자재 사용내역'!C34,'센터 자재 사용내역(12월)'!F:F,"교체")</f>
        <v>0</v>
      </c>
      <c r="Y34" s="40">
        <f t="shared" si="2"/>
        <v>397</v>
      </c>
      <c r="Z34" s="52"/>
      <c r="AB34" s="56">
        <v>104</v>
      </c>
      <c r="AC34" s="29">
        <v>47</v>
      </c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1">
        <f t="shared" si="3"/>
        <v>151</v>
      </c>
      <c r="AO34" s="57"/>
      <c r="AQ34" s="61">
        <f>SUMIFS('센터 자재 사용내역(01월)'!G:G,'센터 자재 사용내역(01월)'!E:E,'사급자재 사용내역'!C34,'센터 자재 사용내역(01월)'!F:F,"불량")</f>
        <v>4</v>
      </c>
      <c r="AR34" s="40">
        <f>SUMIFS('센터 자재 사용내역(02월)'!G:G,'센터 자재 사용내역(02월)'!E:E,'사급자재 사용내역'!C34,'센터 자재 사용내역(02월)'!F:F,"불량")</f>
        <v>4</v>
      </c>
      <c r="AS34" s="40">
        <f>SUMIFS('센터 자재 사용내역(03월)'!G:G,'센터 자재 사용내역(03월)'!E:E,'사급자재 사용내역'!C34,'센터 자재 사용내역(03월)'!F:F,"불량")</f>
        <v>1</v>
      </c>
      <c r="AT34" s="40">
        <f>SUMIFS('센터 자재 사용내역(04월)'!G:G,'센터 자재 사용내역(04월)'!E:E,'사급자재 사용내역'!C34,'센터 자재 사용내역(04월)'!F:F,"불량")</f>
        <v>1</v>
      </c>
      <c r="AU34" s="40">
        <f>SUMIFS('센터 자재 사용내역(05월)'!G:G,'센터 자재 사용내역(05월)'!E:E,'사급자재 사용내역'!C34,'센터 자재 사용내역(05월)'!F:F,"불량")</f>
        <v>3</v>
      </c>
      <c r="AV34" s="40">
        <f>SUMIFS('센터 자재 사용내역(06월)'!G:G,'센터 자재 사용내역(06월)'!E:E,'사급자재 사용내역'!C34,'센터 자재 사용내역(06월)'!F:F,"불량")</f>
        <v>1</v>
      </c>
      <c r="AW34" s="40">
        <f>SUMIFS('센터 자재 사용내역(07월)'!G:G,'센터 자재 사용내역(07월)'!E:E,'사급자재 사용내역'!C34,'센터 자재 사용내역(07월)'!F:F,"불량")</f>
        <v>4</v>
      </c>
      <c r="AX34" s="40">
        <f>SUMIFS('센터 자재 사용내역(08월)'!G:G,'센터 자재 사용내역(08월)'!E:E,'사급자재 사용내역'!C34,'센터 자재 사용내역(08월)'!F:F,"불량")</f>
        <v>0</v>
      </c>
      <c r="AY34" s="40">
        <f>SUMIFS('센터 자재 사용내역(09월)'!G:G,'센터 자재 사용내역(09월)'!E:E,'사급자재 사용내역'!C34,'센터 자재 사용내역(09월)'!F:F,"불량")</f>
        <v>0</v>
      </c>
      <c r="AZ34" s="40">
        <f>SUMIFS('센터 자재 사용내역(10월)'!G:G,'센터 자재 사용내역(10월)'!E:E,'사급자재 사용내역'!C34,'센터 자재 사용내역(10월)'!F:F,"불량")</f>
        <v>0</v>
      </c>
      <c r="BA34" s="40">
        <f>SUMIFS('센터 자재 사용내역(11월)'!G:G,'센터 자재 사용내역(11월)'!E:E,'사급자재 사용내역'!C34,'센터 자재 사용내역(11월)'!F:F,"불량")</f>
        <v>0</v>
      </c>
      <c r="BB34" s="40">
        <f>SUMIFS('센터 자재 사용내역(12월)'!G:G,'센터 자재 사용내역(12월)'!E:E,'사급자재 사용내역'!C34,'센터 자재 사용내역(12월)'!F:F,"불량")</f>
        <v>0</v>
      </c>
      <c r="BC34" s="40">
        <f t="shared" si="6"/>
        <v>18</v>
      </c>
      <c r="BD34" s="62"/>
    </row>
    <row r="35" spans="2:56" ht="19.5" customHeight="1">
      <c r="B35" s="107"/>
      <c r="C35" s="22" t="s">
        <v>1114</v>
      </c>
      <c r="D35" s="64" t="s">
        <v>129</v>
      </c>
      <c r="E35" s="46">
        <v>157</v>
      </c>
      <c r="F35" s="47">
        <v>0</v>
      </c>
      <c r="G35" s="46"/>
      <c r="H35" s="78"/>
      <c r="I35" s="90">
        <f>(F35+BC35)-(G35+H35)</f>
        <v>2</v>
      </c>
      <c r="J35" s="89">
        <f t="shared" si="14"/>
        <v>216</v>
      </c>
      <c r="K35" s="78">
        <f t="shared" si="7"/>
        <v>770</v>
      </c>
      <c r="L35" s="84">
        <f t="shared" si="1"/>
        <v>711</v>
      </c>
      <c r="M35" s="79">
        <f>SUMIFS('센터 자재 사용내역(01월)'!G:G,'센터 자재 사용내역(01월)'!E:E,'사급자재 사용내역'!C35,'센터 자재 사용내역(01월)'!F:F,"신규")+SUMIFS('센터 자재 사용내역(01월)'!G:G,'센터 자재 사용내역(01월)'!E:E,'사급자재 사용내역'!C35,'센터 자재 사용내역(01월)'!F:F,"교체")</f>
        <v>0</v>
      </c>
      <c r="N35" s="40">
        <f>SUMIFS('센터 자재 사용내역(02월)'!G:G,'센터 자재 사용내역(02월)'!E:E,'사급자재 사용내역'!C35,'센터 자재 사용내역(02월)'!F:F,"신규")+SUMIFS('센터 자재 사용내역(02월)'!G:G,'센터 자재 사용내역(02월)'!E:E,'사급자재 사용내역'!C35,'센터 자재 사용내역(02월)'!F:F,"교체")</f>
        <v>0</v>
      </c>
      <c r="O35" s="40">
        <f>SUMIFS('센터 자재 사용내역(03월)'!G:G,'센터 자재 사용내역(03월)'!E:E,'사급자재 사용내역'!C35,'센터 자재 사용내역(03월)'!F:F,"신규")+SUMIFS('센터 자재 사용내역(03월)'!G:G,'센터 자재 사용내역(03월)'!E:E,'사급자재 사용내역'!C35,'센터 자재 사용내역(03월)'!F:F,"교체")</f>
        <v>3</v>
      </c>
      <c r="P35" s="40">
        <f>SUMIFS('센터 자재 사용내역(04월)'!G:G,'센터 자재 사용내역(04월)'!E:E,'사급자재 사용내역'!C35,'센터 자재 사용내역(04월)'!F:F,"신규")+SUMIFS('센터 자재 사용내역(04월)'!G:G,'센터 자재 사용내역(04월)'!E:E,'사급자재 사용내역'!C35,'센터 자재 사용내역(04월)'!F:F,"교체")</f>
        <v>26</v>
      </c>
      <c r="Q35" s="40">
        <f>SUMIFS('센터 자재 사용내역(05월)'!G:G,'센터 자재 사용내역(05월)'!E:E,'사급자재 사용내역'!C35,'센터 자재 사용내역(05월)'!F:F,"신규")+SUMIFS('센터 자재 사용내역(05월)'!G:G,'센터 자재 사용내역(05월)'!E:E,'사급자재 사용내역'!C35,'센터 자재 사용내역(05월)'!F:F,"교체")</f>
        <v>27</v>
      </c>
      <c r="R35" s="40">
        <f>SUMIFS('센터 자재 사용내역(06월)'!G:G,'센터 자재 사용내역(06월)'!E:E,'사급자재 사용내역'!C35,'센터 자재 사용내역(06월)'!F:F,"신규")+SUMIFS('센터 자재 사용내역(06월)'!G:G,'센터 자재 사용내역(06월)'!E:E,'사급자재 사용내역'!C35,'센터 자재 사용내역(06월)'!F:F,"교체")</f>
        <v>40</v>
      </c>
      <c r="S35" s="40">
        <f>SUMIFS('센터 자재 사용내역(07월)'!G:G,'센터 자재 사용내역(07월)'!E:E,'사급자재 사용내역'!C35,'센터 자재 사용내역(07월)'!F:F,"신규")+SUMIFS('센터 자재 사용내역(07월)'!G:G,'센터 자재 사용내역(07월)'!E:E,'사급자재 사용내역'!C35,'센터 자재 사용내역(07월)'!F:F,"교체")</f>
        <v>81</v>
      </c>
      <c r="T35" s="40">
        <f>SUMIFS('센터 자재 사용내역(08월)'!G:G,'센터 자재 사용내역(08월)'!E:E,'사급자재 사용내역'!C35,'센터 자재 사용내역(08월)'!F:F,"신규")+SUMIFS('센터 자재 사용내역(08월)'!G:G,'센터 자재 사용내역(08월)'!E:E,'사급자재 사용내역'!C35,'센터 자재 사용내역(08월)'!F:F,"교체")</f>
        <v>39</v>
      </c>
      <c r="U35" s="40">
        <f>SUMIFS('센터 자재 사용내역(09월)'!G:G,'센터 자재 사용내역(09월)'!E:E,'사급자재 사용내역'!C35,'센터 자재 사용내역(09월)'!F:F,"신규")+SUMIFS('센터 자재 사용내역(09월)'!G:G,'센터 자재 사용내역(09월)'!E:E,'사급자재 사용내역'!C35,'센터 자재 사용내역(09월)'!F:F,"교체")</f>
        <v>0</v>
      </c>
      <c r="V35" s="40">
        <f>SUMIFS('센터 자재 사용내역(10월)'!G:G,'센터 자재 사용내역(10월)'!E:E,'사급자재 사용내역'!C35,'센터 자재 사용내역(10월)'!F:F,"신규")+SUMIFS('센터 자재 사용내역(10월)'!G:G,'센터 자재 사용내역(10월)'!E:E,'사급자재 사용내역'!C35,'센터 자재 사용내역(10월)'!F:F,"교체")</f>
        <v>0</v>
      </c>
      <c r="W35" s="40">
        <f>SUMIFS('센터 자재 사용내역(11월)'!G:G,'센터 자재 사용내역(11월)'!E:E,'사급자재 사용내역'!C35,'센터 자재 사용내역(11월)'!F:F,"신규")+SUMIFS('센터 자재 사용내역(11월)'!G:G,'센터 자재 사용내역(11월)'!E:E,'사급자재 사용내역'!C35,'센터 자재 사용내역(11월)'!F:F,"교체")</f>
        <v>0</v>
      </c>
      <c r="X35" s="40">
        <f>SUMIFS('센터 자재 사용내역(12월)'!G:G,'센터 자재 사용내역(12월)'!E:E,'사급자재 사용내역'!C35,'센터 자재 사용내역(12월)'!F:F,"신규")+SUMIFS('센터 자재 사용내역(12월)'!G:G,'센터 자재 사용내역(12월)'!E:E,'사급자재 사용내역'!C35,'센터 자재 사용내역(12월)'!F:F,"교체")</f>
        <v>0</v>
      </c>
      <c r="Y35" s="40">
        <f t="shared" si="2"/>
        <v>216</v>
      </c>
      <c r="Z35" s="52"/>
      <c r="AB35" s="56"/>
      <c r="AC35" s="29"/>
      <c r="AD35" s="29">
        <v>70</v>
      </c>
      <c r="AE35" s="29">
        <v>40</v>
      </c>
      <c r="AF35" s="29">
        <v>40</v>
      </c>
      <c r="AG35" s="29">
        <v>70</v>
      </c>
      <c r="AH35" s="29">
        <v>550</v>
      </c>
      <c r="AI35" s="29"/>
      <c r="AJ35" s="29"/>
      <c r="AK35" s="29"/>
      <c r="AL35" s="29"/>
      <c r="AM35" s="29"/>
      <c r="AN35" s="21">
        <f t="shared" si="3"/>
        <v>770</v>
      </c>
      <c r="AO35" s="57"/>
      <c r="AQ35" s="61">
        <f>SUMIFS('센터 자재 사용내역(01월)'!G:G,'센터 자재 사용내역(01월)'!E:E,'사급자재 사용내역'!C35,'센터 자재 사용내역(01월)'!F:F,"불량")</f>
        <v>0</v>
      </c>
      <c r="AR35" s="40">
        <f>SUMIFS('센터 자재 사용내역(02월)'!G:G,'센터 자재 사용내역(02월)'!E:E,'사급자재 사용내역'!C35,'센터 자재 사용내역(02월)'!F:F,"불량")</f>
        <v>0</v>
      </c>
      <c r="AS35" s="40">
        <f>SUMIFS('센터 자재 사용내역(03월)'!G:G,'센터 자재 사용내역(03월)'!E:E,'사급자재 사용내역'!C35,'센터 자재 사용내역(03월)'!F:F,"불량")</f>
        <v>0</v>
      </c>
      <c r="AT35" s="40">
        <f>SUMIFS('센터 자재 사용내역(04월)'!G:G,'센터 자재 사용내역(04월)'!E:E,'사급자재 사용내역'!C35,'센터 자재 사용내역(04월)'!F:F,"불량")</f>
        <v>0</v>
      </c>
      <c r="AU35" s="40">
        <f>SUMIFS('센터 자재 사용내역(05월)'!G:G,'센터 자재 사용내역(05월)'!E:E,'사급자재 사용내역'!C35,'센터 자재 사용내역(05월)'!F:F,"불량")</f>
        <v>0</v>
      </c>
      <c r="AV35" s="40">
        <f>SUMIFS('센터 자재 사용내역(06월)'!G:G,'센터 자재 사용내역(06월)'!E:E,'사급자재 사용내역'!C35,'센터 자재 사용내역(06월)'!F:F,"불량")</f>
        <v>0</v>
      </c>
      <c r="AW35" s="40">
        <f>SUMIFS('센터 자재 사용내역(07월)'!G:G,'센터 자재 사용내역(07월)'!E:E,'사급자재 사용내역'!C35,'센터 자재 사용내역(07월)'!F:F,"불량")</f>
        <v>1</v>
      </c>
      <c r="AX35" s="40">
        <f>SUMIFS('센터 자재 사용내역(08월)'!G:G,'센터 자재 사용내역(08월)'!E:E,'사급자재 사용내역'!C35,'센터 자재 사용내역(08월)'!F:F,"불량")</f>
        <v>1</v>
      </c>
      <c r="AY35" s="40">
        <f>SUMIFS('센터 자재 사용내역(09월)'!G:G,'센터 자재 사용내역(09월)'!E:E,'사급자재 사용내역'!C35,'센터 자재 사용내역(09월)'!F:F,"불량")</f>
        <v>0</v>
      </c>
      <c r="AZ35" s="40">
        <f>SUMIFS('센터 자재 사용내역(10월)'!G:G,'센터 자재 사용내역(10월)'!E:E,'사급자재 사용내역'!C35,'센터 자재 사용내역(10월)'!F:F,"불량")</f>
        <v>0</v>
      </c>
      <c r="BA35" s="40">
        <f>SUMIFS('센터 자재 사용내역(11월)'!G:G,'센터 자재 사용내역(11월)'!E:E,'사급자재 사용내역'!C35,'센터 자재 사용내역(11월)'!F:F,"불량")</f>
        <v>0</v>
      </c>
      <c r="BB35" s="40">
        <f>SUMIFS('센터 자재 사용내역(12월)'!G:G,'센터 자재 사용내역(12월)'!E:E,'사급자재 사용내역'!C35,'센터 자재 사용내역(12월)'!F:F,"불량")</f>
        <v>0</v>
      </c>
      <c r="BC35" s="40">
        <f t="shared" si="6"/>
        <v>2</v>
      </c>
      <c r="BD35" s="62"/>
    </row>
    <row r="36" spans="2:56" ht="19.5" customHeight="1">
      <c r="B36" s="107"/>
      <c r="C36" s="22" t="s">
        <v>238</v>
      </c>
      <c r="D36" s="64" t="s">
        <v>129</v>
      </c>
      <c r="E36" s="46">
        <v>0</v>
      </c>
      <c r="F36" s="47"/>
      <c r="G36" s="46"/>
      <c r="H36" s="78"/>
      <c r="I36" s="90">
        <f t="shared" si="4"/>
        <v>0</v>
      </c>
      <c r="J36" s="89">
        <f t="shared" si="14"/>
        <v>42</v>
      </c>
      <c r="K36" s="78">
        <f t="shared" si="7"/>
        <v>130</v>
      </c>
      <c r="L36" s="84">
        <f t="shared" si="1"/>
        <v>88</v>
      </c>
      <c r="M36" s="79">
        <f>SUMIFS('센터 자재 사용내역(01월)'!G:G,'센터 자재 사용내역(01월)'!E:E,'사급자재 사용내역'!C36,'센터 자재 사용내역(01월)'!F:F,"신규")+SUMIFS('센터 자재 사용내역(01월)'!G:G,'센터 자재 사용내역(01월)'!E:E,'사급자재 사용내역'!C36,'센터 자재 사용내역(01월)'!F:F,"교체")</f>
        <v>0</v>
      </c>
      <c r="N36" s="40">
        <f>SUMIFS('센터 자재 사용내역(02월)'!G:G,'센터 자재 사용내역(02월)'!E:E,'사급자재 사용내역'!C36,'센터 자재 사용내역(02월)'!F:F,"신규")+SUMIFS('센터 자재 사용내역(02월)'!G:G,'센터 자재 사용내역(02월)'!E:E,'사급자재 사용내역'!C36,'센터 자재 사용내역(02월)'!F:F,"교체")</f>
        <v>13</v>
      </c>
      <c r="O36" s="40">
        <f>SUMIFS('센터 자재 사용내역(03월)'!G:G,'센터 자재 사용내역(03월)'!E:E,'사급자재 사용내역'!C36,'센터 자재 사용내역(03월)'!F:F,"신규")+SUMIFS('센터 자재 사용내역(03월)'!G:G,'센터 자재 사용내역(03월)'!E:E,'사급자재 사용내역'!C36,'센터 자재 사용내역(03월)'!F:F,"교체")</f>
        <v>0</v>
      </c>
      <c r="P36" s="40">
        <f>SUMIFS('센터 자재 사용내역(04월)'!G:G,'센터 자재 사용내역(04월)'!E:E,'사급자재 사용내역'!C36,'센터 자재 사용내역(04월)'!F:F,"신규")+SUMIFS('센터 자재 사용내역(04월)'!G:G,'센터 자재 사용내역(04월)'!E:E,'사급자재 사용내역'!C36,'센터 자재 사용내역(04월)'!F:F,"교체")</f>
        <v>17</v>
      </c>
      <c r="Q36" s="40">
        <f>SUMIFS('센터 자재 사용내역(05월)'!G:G,'센터 자재 사용내역(05월)'!E:E,'사급자재 사용내역'!C36,'센터 자재 사용내역(05월)'!F:F,"신규")+SUMIFS('센터 자재 사용내역(05월)'!G:G,'센터 자재 사용내역(05월)'!E:E,'사급자재 사용내역'!C36,'센터 자재 사용내역(05월)'!F:F,"교체")</f>
        <v>12</v>
      </c>
      <c r="R36" s="40">
        <f>SUMIFS('센터 자재 사용내역(06월)'!G:G,'센터 자재 사용내역(06월)'!E:E,'사급자재 사용내역'!C36,'센터 자재 사용내역(06월)'!F:F,"신규")+SUMIFS('센터 자재 사용내역(06월)'!G:G,'센터 자재 사용내역(06월)'!E:E,'사급자재 사용내역'!C36,'센터 자재 사용내역(06월)'!F:F,"교체")</f>
        <v>0</v>
      </c>
      <c r="S36" s="40">
        <f>SUMIFS('센터 자재 사용내역(07월)'!G:G,'센터 자재 사용내역(07월)'!E:E,'사급자재 사용내역'!C36,'센터 자재 사용내역(07월)'!F:F,"신규")+SUMIFS('센터 자재 사용내역(07월)'!G:G,'센터 자재 사용내역(07월)'!E:E,'사급자재 사용내역'!C36,'센터 자재 사용내역(07월)'!F:F,"교체")</f>
        <v>0</v>
      </c>
      <c r="T36" s="40">
        <f>SUMIFS('센터 자재 사용내역(08월)'!G:G,'센터 자재 사용내역(08월)'!E:E,'사급자재 사용내역'!C36,'센터 자재 사용내역(08월)'!F:F,"신규")+SUMIFS('센터 자재 사용내역(08월)'!G:G,'센터 자재 사용내역(08월)'!E:E,'사급자재 사용내역'!C36,'센터 자재 사용내역(08월)'!F:F,"교체")</f>
        <v>0</v>
      </c>
      <c r="U36" s="40">
        <f>SUMIFS('센터 자재 사용내역(09월)'!G:G,'센터 자재 사용내역(09월)'!E:E,'사급자재 사용내역'!C36,'센터 자재 사용내역(09월)'!F:F,"신규")+SUMIFS('센터 자재 사용내역(09월)'!G:G,'센터 자재 사용내역(09월)'!E:E,'사급자재 사용내역'!C36,'센터 자재 사용내역(09월)'!F:F,"교체")</f>
        <v>0</v>
      </c>
      <c r="V36" s="40">
        <f>SUMIFS('센터 자재 사용내역(10월)'!G:G,'센터 자재 사용내역(10월)'!E:E,'사급자재 사용내역'!C36,'센터 자재 사용내역(10월)'!F:F,"신규")+SUMIFS('센터 자재 사용내역(10월)'!G:G,'센터 자재 사용내역(10월)'!E:E,'사급자재 사용내역'!C36,'센터 자재 사용내역(10월)'!F:F,"교체")</f>
        <v>0</v>
      </c>
      <c r="W36" s="40">
        <f>SUMIFS('센터 자재 사용내역(11월)'!G:G,'센터 자재 사용내역(11월)'!E:E,'사급자재 사용내역'!C36,'센터 자재 사용내역(11월)'!F:F,"신규")+SUMIFS('센터 자재 사용내역(11월)'!G:G,'센터 자재 사용내역(11월)'!E:E,'사급자재 사용내역'!C36,'센터 자재 사용내역(11월)'!F:F,"교체")</f>
        <v>0</v>
      </c>
      <c r="X36" s="40">
        <f>SUMIFS('센터 자재 사용내역(12월)'!G:G,'센터 자재 사용내역(12월)'!E:E,'사급자재 사용내역'!C36,'센터 자재 사용내역(12월)'!F:F,"신규")+SUMIFS('센터 자재 사용내역(12월)'!G:G,'센터 자재 사용내역(12월)'!E:E,'사급자재 사용내역'!C36,'센터 자재 사용내역(12월)'!F:F,"교체")</f>
        <v>0</v>
      </c>
      <c r="Y36" s="40">
        <f t="shared" si="2"/>
        <v>42</v>
      </c>
      <c r="Z36" s="52"/>
      <c r="AB36" s="56">
        <v>30</v>
      </c>
      <c r="AC36" s="29">
        <v>30</v>
      </c>
      <c r="AD36" s="29">
        <v>10</v>
      </c>
      <c r="AE36" s="29">
        <v>20</v>
      </c>
      <c r="AF36" s="29">
        <v>10</v>
      </c>
      <c r="AG36" s="29">
        <v>20</v>
      </c>
      <c r="AH36" s="29">
        <v>10</v>
      </c>
      <c r="AI36" s="29"/>
      <c r="AJ36" s="29"/>
      <c r="AK36" s="29"/>
      <c r="AL36" s="29"/>
      <c r="AM36" s="29"/>
      <c r="AN36" s="21">
        <f t="shared" si="3"/>
        <v>130</v>
      </c>
      <c r="AO36" s="57"/>
      <c r="AQ36" s="61">
        <f>SUMIFS('센터 자재 사용내역(01월)'!G:G,'센터 자재 사용내역(01월)'!E:E,'사급자재 사용내역'!C36,'센터 자재 사용내역(01월)'!F:F,"불량")</f>
        <v>0</v>
      </c>
      <c r="AR36" s="40">
        <f>SUMIFS('센터 자재 사용내역(02월)'!G:G,'센터 자재 사용내역(02월)'!E:E,'사급자재 사용내역'!C36,'센터 자재 사용내역(02월)'!F:F,"불량")</f>
        <v>0</v>
      </c>
      <c r="AS36" s="40">
        <f>SUMIFS('센터 자재 사용내역(03월)'!G:G,'센터 자재 사용내역(03월)'!E:E,'사급자재 사용내역'!C36,'센터 자재 사용내역(03월)'!F:F,"불량")</f>
        <v>0</v>
      </c>
      <c r="AT36" s="40">
        <f>SUMIFS('센터 자재 사용내역(04월)'!G:G,'센터 자재 사용내역(04월)'!E:E,'사급자재 사용내역'!C36,'센터 자재 사용내역(04월)'!F:F,"불량")</f>
        <v>0</v>
      </c>
      <c r="AU36" s="40">
        <f>SUMIFS('센터 자재 사용내역(05월)'!G:G,'센터 자재 사용내역(05월)'!E:E,'사급자재 사용내역'!C36,'센터 자재 사용내역(05월)'!F:F,"불량")</f>
        <v>0</v>
      </c>
      <c r="AV36" s="40">
        <f>SUMIFS('센터 자재 사용내역(06월)'!G:G,'센터 자재 사용내역(06월)'!E:E,'사급자재 사용내역'!C36,'센터 자재 사용내역(06월)'!F:F,"불량")</f>
        <v>0</v>
      </c>
      <c r="AW36" s="40">
        <f>SUMIFS('센터 자재 사용내역(07월)'!G:G,'센터 자재 사용내역(07월)'!E:E,'사급자재 사용내역'!C36,'센터 자재 사용내역(07월)'!F:F,"불량")</f>
        <v>0</v>
      </c>
      <c r="AX36" s="40">
        <f>SUMIFS('센터 자재 사용내역(08월)'!G:G,'센터 자재 사용내역(08월)'!E:E,'사급자재 사용내역'!C36,'센터 자재 사용내역(08월)'!F:F,"불량")</f>
        <v>0</v>
      </c>
      <c r="AY36" s="40">
        <f>SUMIFS('센터 자재 사용내역(09월)'!G:G,'센터 자재 사용내역(09월)'!E:E,'사급자재 사용내역'!C36,'센터 자재 사용내역(09월)'!F:F,"불량")</f>
        <v>0</v>
      </c>
      <c r="AZ36" s="40">
        <f>SUMIFS('센터 자재 사용내역(10월)'!G:G,'센터 자재 사용내역(10월)'!E:E,'사급자재 사용내역'!C36,'센터 자재 사용내역(10월)'!F:F,"불량")</f>
        <v>0</v>
      </c>
      <c r="BA36" s="40">
        <f>SUMIFS('센터 자재 사용내역(11월)'!G:G,'센터 자재 사용내역(11월)'!E:E,'사급자재 사용내역'!C36,'센터 자재 사용내역(11월)'!F:F,"불량")</f>
        <v>0</v>
      </c>
      <c r="BB36" s="40">
        <f>SUMIFS('센터 자재 사용내역(12월)'!G:G,'센터 자재 사용내역(12월)'!E:E,'사급자재 사용내역'!C36,'센터 자재 사용내역(12월)'!F:F,"불량")</f>
        <v>0</v>
      </c>
      <c r="BC36" s="40">
        <f t="shared" si="6"/>
        <v>0</v>
      </c>
      <c r="BD36" s="62"/>
    </row>
    <row r="37" spans="2:56" ht="19.5" customHeight="1">
      <c r="B37" s="107"/>
      <c r="C37" s="22" t="s">
        <v>27</v>
      </c>
      <c r="D37" s="64" t="s">
        <v>129</v>
      </c>
      <c r="E37" s="46">
        <v>0</v>
      </c>
      <c r="F37" s="47">
        <v>40</v>
      </c>
      <c r="G37" s="46"/>
      <c r="H37" s="78">
        <v>194</v>
      </c>
      <c r="I37" s="90">
        <f t="shared" si="4"/>
        <v>10</v>
      </c>
      <c r="J37" s="89">
        <f t="shared" si="14"/>
        <v>0</v>
      </c>
      <c r="K37" s="78">
        <f t="shared" si="7"/>
        <v>0</v>
      </c>
      <c r="L37" s="84">
        <f t="shared" ref="L37:L68" si="15">E37-J37+K37</f>
        <v>0</v>
      </c>
      <c r="M37" s="79">
        <f>SUMIFS('센터 자재 사용내역(01월)'!G:G,'센터 자재 사용내역(01월)'!E:E,'사급자재 사용내역'!C37,'센터 자재 사용내역(01월)'!F:F,"신규")+SUMIFS('센터 자재 사용내역(01월)'!G:G,'센터 자재 사용내역(01월)'!E:E,'사급자재 사용내역'!C37,'센터 자재 사용내역(01월)'!F:F,"교체")</f>
        <v>0</v>
      </c>
      <c r="N37" s="40">
        <f>SUMIFS('센터 자재 사용내역(02월)'!G:G,'센터 자재 사용내역(02월)'!E:E,'사급자재 사용내역'!C37,'센터 자재 사용내역(02월)'!F:F,"신규")+SUMIFS('센터 자재 사용내역(02월)'!G:G,'센터 자재 사용내역(02월)'!E:E,'사급자재 사용내역'!C37,'센터 자재 사용내역(02월)'!F:F,"교체")</f>
        <v>0</v>
      </c>
      <c r="O37" s="40">
        <f>SUMIFS('센터 자재 사용내역(03월)'!G:G,'센터 자재 사용내역(03월)'!E:E,'사급자재 사용내역'!C37,'센터 자재 사용내역(03월)'!F:F,"신규")+SUMIFS('센터 자재 사용내역(03월)'!G:G,'센터 자재 사용내역(03월)'!E:E,'사급자재 사용내역'!C37,'센터 자재 사용내역(03월)'!F:F,"교체")</f>
        <v>0</v>
      </c>
      <c r="P37" s="40">
        <f>SUMIFS('센터 자재 사용내역(04월)'!G:G,'센터 자재 사용내역(04월)'!E:E,'사급자재 사용내역'!C37,'센터 자재 사용내역(04월)'!F:F,"신규")+SUMIFS('센터 자재 사용내역(04월)'!G:G,'센터 자재 사용내역(04월)'!E:E,'사급자재 사용내역'!C37,'센터 자재 사용내역(04월)'!F:F,"교체")</f>
        <v>0</v>
      </c>
      <c r="Q37" s="40">
        <f>SUMIFS('센터 자재 사용내역(05월)'!G:G,'센터 자재 사용내역(05월)'!E:E,'사급자재 사용내역'!C37,'센터 자재 사용내역(05월)'!F:F,"신규")+SUMIFS('센터 자재 사용내역(05월)'!G:G,'센터 자재 사용내역(05월)'!E:E,'사급자재 사용내역'!C37,'센터 자재 사용내역(05월)'!F:F,"교체")</f>
        <v>0</v>
      </c>
      <c r="R37" s="40">
        <f>SUMIFS('센터 자재 사용내역(06월)'!G:G,'센터 자재 사용내역(06월)'!E:E,'사급자재 사용내역'!C37,'센터 자재 사용내역(06월)'!F:F,"신규")+SUMIFS('센터 자재 사용내역(06월)'!G:G,'센터 자재 사용내역(06월)'!E:E,'사급자재 사용내역'!C37,'센터 자재 사용내역(06월)'!F:F,"교체")</f>
        <v>0</v>
      </c>
      <c r="S37" s="40">
        <f>SUMIFS('센터 자재 사용내역(07월)'!G:G,'센터 자재 사용내역(07월)'!E:E,'사급자재 사용내역'!C37,'센터 자재 사용내역(07월)'!F:F,"신규")+SUMIFS('센터 자재 사용내역(07월)'!G:G,'센터 자재 사용내역(07월)'!E:E,'사급자재 사용내역'!C37,'센터 자재 사용내역(07월)'!F:F,"교체")</f>
        <v>0</v>
      </c>
      <c r="T37" s="40">
        <f>SUMIFS('센터 자재 사용내역(08월)'!G:G,'센터 자재 사용내역(08월)'!E:E,'사급자재 사용내역'!C37,'센터 자재 사용내역(08월)'!F:F,"신규")+SUMIFS('센터 자재 사용내역(08월)'!G:G,'센터 자재 사용내역(08월)'!E:E,'사급자재 사용내역'!C37,'센터 자재 사용내역(08월)'!F:F,"교체")</f>
        <v>0</v>
      </c>
      <c r="U37" s="40">
        <f>SUMIFS('센터 자재 사용내역(09월)'!G:G,'센터 자재 사용내역(09월)'!E:E,'사급자재 사용내역'!C37,'센터 자재 사용내역(09월)'!F:F,"신규")+SUMIFS('센터 자재 사용내역(09월)'!G:G,'센터 자재 사용내역(09월)'!E:E,'사급자재 사용내역'!C37,'센터 자재 사용내역(09월)'!F:F,"교체")</f>
        <v>0</v>
      </c>
      <c r="V37" s="40">
        <f>SUMIFS('센터 자재 사용내역(10월)'!G:G,'센터 자재 사용내역(10월)'!E:E,'사급자재 사용내역'!C37,'센터 자재 사용내역(10월)'!F:F,"신규")+SUMIFS('센터 자재 사용내역(10월)'!G:G,'센터 자재 사용내역(10월)'!E:E,'사급자재 사용내역'!C37,'센터 자재 사용내역(10월)'!F:F,"교체")</f>
        <v>0</v>
      </c>
      <c r="W37" s="40">
        <f>SUMIFS('센터 자재 사용내역(11월)'!G:G,'센터 자재 사용내역(11월)'!E:E,'사급자재 사용내역'!C37,'센터 자재 사용내역(11월)'!F:F,"신규")+SUMIFS('센터 자재 사용내역(11월)'!G:G,'센터 자재 사용내역(11월)'!E:E,'사급자재 사용내역'!C37,'센터 자재 사용내역(11월)'!F:F,"교체")</f>
        <v>0</v>
      </c>
      <c r="X37" s="40">
        <f>SUMIFS('센터 자재 사용내역(12월)'!G:G,'센터 자재 사용내역(12월)'!E:E,'사급자재 사용내역'!C37,'센터 자재 사용내역(12월)'!F:F,"신규")+SUMIFS('센터 자재 사용내역(12월)'!G:G,'센터 자재 사용내역(12월)'!E:E,'사급자재 사용내역'!C37,'센터 자재 사용내역(12월)'!F:F,"교체")</f>
        <v>0</v>
      </c>
      <c r="Y37" s="40">
        <f t="shared" ref="Y37:Y68" si="16">SUM(M37:X37)</f>
        <v>0</v>
      </c>
      <c r="Z37" s="52"/>
      <c r="AB37" s="56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1">
        <f t="shared" ref="AN37:AN68" si="17">SUM(AB37:AM37)</f>
        <v>0</v>
      </c>
      <c r="AO37" s="57"/>
      <c r="AQ37" s="61">
        <f>SUMIFS('센터 자재 사용내역(01월)'!G:G,'센터 자재 사용내역(01월)'!E:E,'사급자재 사용내역'!C37,'센터 자재 사용내역(01월)'!F:F,"불량")</f>
        <v>23</v>
      </c>
      <c r="AR37" s="40">
        <f>SUMIFS('센터 자재 사용내역(02월)'!G:G,'센터 자재 사용내역(02월)'!E:E,'사급자재 사용내역'!C37,'센터 자재 사용내역(02월)'!F:F,"불량")</f>
        <v>18</v>
      </c>
      <c r="AS37" s="40">
        <f>SUMIFS('센터 자재 사용내역(03월)'!G:G,'센터 자재 사용내역(03월)'!E:E,'사급자재 사용내역'!C37,'센터 자재 사용내역(03월)'!F:F,"불량")</f>
        <v>38</v>
      </c>
      <c r="AT37" s="40">
        <f>SUMIFS('센터 자재 사용내역(04월)'!G:G,'센터 자재 사용내역(04월)'!E:E,'사급자재 사용내역'!C37,'센터 자재 사용내역(04월)'!F:F,"불량")</f>
        <v>15</v>
      </c>
      <c r="AU37" s="40">
        <f>SUMIFS('센터 자재 사용내역(05월)'!G:G,'센터 자재 사용내역(05월)'!E:E,'사급자재 사용내역'!C37,'센터 자재 사용내역(05월)'!F:F,"불량")</f>
        <v>20</v>
      </c>
      <c r="AV37" s="40">
        <f>SUMIFS('센터 자재 사용내역(06월)'!G:G,'센터 자재 사용내역(06월)'!E:E,'사급자재 사용내역'!C37,'센터 자재 사용내역(06월)'!F:F,"불량")</f>
        <v>40</v>
      </c>
      <c r="AW37" s="40">
        <f>SUMIFS('센터 자재 사용내역(07월)'!G:G,'센터 자재 사용내역(07월)'!E:E,'사급자재 사용내역'!C37,'센터 자재 사용내역(07월)'!F:F,"불량")</f>
        <v>7</v>
      </c>
      <c r="AX37" s="40">
        <f>SUMIFS('센터 자재 사용내역(08월)'!G:G,'센터 자재 사용내역(08월)'!E:E,'사급자재 사용내역'!C37,'센터 자재 사용내역(08월)'!F:F,"불량")</f>
        <v>3</v>
      </c>
      <c r="AY37" s="40">
        <f>SUMIFS('센터 자재 사용내역(09월)'!G:G,'센터 자재 사용내역(09월)'!E:E,'사급자재 사용내역'!C37,'센터 자재 사용내역(09월)'!F:F,"불량")</f>
        <v>0</v>
      </c>
      <c r="AZ37" s="40">
        <f>SUMIFS('센터 자재 사용내역(10월)'!G:G,'센터 자재 사용내역(10월)'!E:E,'사급자재 사용내역'!C37,'센터 자재 사용내역(10월)'!F:F,"불량")</f>
        <v>0</v>
      </c>
      <c r="BA37" s="40">
        <f>SUMIFS('센터 자재 사용내역(11월)'!G:G,'센터 자재 사용내역(11월)'!E:E,'사급자재 사용내역'!C37,'센터 자재 사용내역(11월)'!F:F,"불량")</f>
        <v>0</v>
      </c>
      <c r="BB37" s="40">
        <f>SUMIFS('센터 자재 사용내역(12월)'!G:G,'센터 자재 사용내역(12월)'!E:E,'사급자재 사용내역'!C37,'센터 자재 사용내역(12월)'!F:F,"불량")</f>
        <v>0</v>
      </c>
      <c r="BC37" s="40">
        <f t="shared" si="6"/>
        <v>164</v>
      </c>
      <c r="BD37" s="62"/>
    </row>
    <row r="38" spans="2:56" ht="19.5" customHeight="1">
      <c r="B38" s="108"/>
      <c r="C38" s="22" t="s">
        <v>29</v>
      </c>
      <c r="D38" s="64" t="s">
        <v>129</v>
      </c>
      <c r="E38" s="46">
        <v>0</v>
      </c>
      <c r="F38" s="47">
        <v>68</v>
      </c>
      <c r="G38" s="46"/>
      <c r="H38" s="78">
        <v>326</v>
      </c>
      <c r="I38" s="90">
        <f t="shared" si="4"/>
        <v>63</v>
      </c>
      <c r="J38" s="89">
        <f t="shared" si="14"/>
        <v>0</v>
      </c>
      <c r="K38" s="78">
        <f t="shared" si="7"/>
        <v>0</v>
      </c>
      <c r="L38" s="84">
        <f t="shared" si="15"/>
        <v>0</v>
      </c>
      <c r="M38" s="79">
        <f>SUMIFS('센터 자재 사용내역(01월)'!G:G,'센터 자재 사용내역(01월)'!E:E,'사급자재 사용내역'!C38,'센터 자재 사용내역(01월)'!F:F,"신규")+SUMIFS('센터 자재 사용내역(01월)'!G:G,'센터 자재 사용내역(01월)'!E:E,'사급자재 사용내역'!C38,'센터 자재 사용내역(01월)'!F:F,"교체")</f>
        <v>0</v>
      </c>
      <c r="N38" s="40">
        <f>SUMIFS('센터 자재 사용내역(02월)'!G:G,'센터 자재 사용내역(02월)'!E:E,'사급자재 사용내역'!C38,'센터 자재 사용내역(02월)'!F:F,"신규")+SUMIFS('센터 자재 사용내역(02월)'!G:G,'센터 자재 사용내역(02월)'!E:E,'사급자재 사용내역'!C38,'센터 자재 사용내역(02월)'!F:F,"교체")</f>
        <v>0</v>
      </c>
      <c r="O38" s="40">
        <f>SUMIFS('센터 자재 사용내역(03월)'!G:G,'센터 자재 사용내역(03월)'!E:E,'사급자재 사용내역'!C38,'센터 자재 사용내역(03월)'!F:F,"신규")+SUMIFS('센터 자재 사용내역(03월)'!G:G,'센터 자재 사용내역(03월)'!E:E,'사급자재 사용내역'!C38,'센터 자재 사용내역(03월)'!F:F,"교체")</f>
        <v>0</v>
      </c>
      <c r="P38" s="40">
        <f>SUMIFS('센터 자재 사용내역(04월)'!G:G,'센터 자재 사용내역(04월)'!E:E,'사급자재 사용내역'!C38,'센터 자재 사용내역(04월)'!F:F,"신규")+SUMIFS('센터 자재 사용내역(04월)'!G:G,'센터 자재 사용내역(04월)'!E:E,'사급자재 사용내역'!C38,'센터 자재 사용내역(04월)'!F:F,"교체")</f>
        <v>0</v>
      </c>
      <c r="Q38" s="40">
        <f>SUMIFS('센터 자재 사용내역(05월)'!G:G,'센터 자재 사용내역(05월)'!E:E,'사급자재 사용내역'!C38,'센터 자재 사용내역(05월)'!F:F,"신규")+SUMIFS('센터 자재 사용내역(05월)'!G:G,'센터 자재 사용내역(05월)'!E:E,'사급자재 사용내역'!C38,'센터 자재 사용내역(05월)'!F:F,"교체")</f>
        <v>0</v>
      </c>
      <c r="R38" s="40">
        <f>SUMIFS('센터 자재 사용내역(06월)'!G:G,'센터 자재 사용내역(06월)'!E:E,'사급자재 사용내역'!C38,'센터 자재 사용내역(06월)'!F:F,"신규")+SUMIFS('센터 자재 사용내역(06월)'!G:G,'센터 자재 사용내역(06월)'!E:E,'사급자재 사용내역'!C38,'센터 자재 사용내역(06월)'!F:F,"교체")</f>
        <v>0</v>
      </c>
      <c r="S38" s="40">
        <f>SUMIFS('센터 자재 사용내역(07월)'!G:G,'센터 자재 사용내역(07월)'!E:E,'사급자재 사용내역'!C38,'센터 자재 사용내역(07월)'!F:F,"신규")+SUMIFS('센터 자재 사용내역(07월)'!G:G,'센터 자재 사용내역(07월)'!E:E,'사급자재 사용내역'!C38,'센터 자재 사용내역(07월)'!F:F,"교체")</f>
        <v>0</v>
      </c>
      <c r="T38" s="40">
        <f>SUMIFS('센터 자재 사용내역(08월)'!G:G,'센터 자재 사용내역(08월)'!E:E,'사급자재 사용내역'!C38,'센터 자재 사용내역(08월)'!F:F,"신규")+SUMIFS('센터 자재 사용내역(08월)'!G:G,'센터 자재 사용내역(08월)'!E:E,'사급자재 사용내역'!C38,'센터 자재 사용내역(08월)'!F:F,"교체")</f>
        <v>0</v>
      </c>
      <c r="U38" s="40">
        <f>SUMIFS('센터 자재 사용내역(09월)'!G:G,'센터 자재 사용내역(09월)'!E:E,'사급자재 사용내역'!C38,'센터 자재 사용내역(09월)'!F:F,"신규")+SUMIFS('센터 자재 사용내역(09월)'!G:G,'센터 자재 사용내역(09월)'!E:E,'사급자재 사용내역'!C38,'센터 자재 사용내역(09월)'!F:F,"교체")</f>
        <v>0</v>
      </c>
      <c r="V38" s="40">
        <f>SUMIFS('센터 자재 사용내역(10월)'!G:G,'센터 자재 사용내역(10월)'!E:E,'사급자재 사용내역'!C38,'센터 자재 사용내역(10월)'!F:F,"신규")+SUMIFS('센터 자재 사용내역(10월)'!G:G,'센터 자재 사용내역(10월)'!E:E,'사급자재 사용내역'!C38,'센터 자재 사용내역(10월)'!F:F,"교체")</f>
        <v>0</v>
      </c>
      <c r="W38" s="40">
        <f>SUMIFS('센터 자재 사용내역(11월)'!G:G,'센터 자재 사용내역(11월)'!E:E,'사급자재 사용내역'!C38,'센터 자재 사용내역(11월)'!F:F,"신규")+SUMIFS('센터 자재 사용내역(11월)'!G:G,'센터 자재 사용내역(11월)'!E:E,'사급자재 사용내역'!C38,'센터 자재 사용내역(11월)'!F:F,"교체")</f>
        <v>0</v>
      </c>
      <c r="X38" s="40">
        <f>SUMIFS('센터 자재 사용내역(12월)'!G:G,'센터 자재 사용내역(12월)'!E:E,'사급자재 사용내역'!C38,'센터 자재 사용내역(12월)'!F:F,"신규")+SUMIFS('센터 자재 사용내역(12월)'!G:G,'센터 자재 사용내역(12월)'!E:E,'사급자재 사용내역'!C38,'센터 자재 사용내역(12월)'!F:F,"교체")</f>
        <v>0</v>
      </c>
      <c r="Y38" s="40">
        <f t="shared" si="16"/>
        <v>0</v>
      </c>
      <c r="Z38" s="52"/>
      <c r="AB38" s="56"/>
      <c r="AC38" s="29"/>
      <c r="AD38" s="29"/>
      <c r="AE38" s="29"/>
      <c r="AF38" s="29"/>
      <c r="AG38" s="29"/>
      <c r="AH38" s="29"/>
      <c r="AI38" s="29"/>
      <c r="AJ38" s="29"/>
      <c r="AK38" s="29"/>
      <c r="AL38" s="29"/>
      <c r="AM38" s="29"/>
      <c r="AN38" s="21">
        <f t="shared" si="17"/>
        <v>0</v>
      </c>
      <c r="AO38" s="57"/>
      <c r="AQ38" s="61">
        <f>SUMIFS('센터 자재 사용내역(01월)'!G:G,'센터 자재 사용내역(01월)'!E:E,'사급자재 사용내역'!C38,'센터 자재 사용내역(01월)'!F:F,"불량")</f>
        <v>48</v>
      </c>
      <c r="AR38" s="40">
        <f>SUMIFS('센터 자재 사용내역(02월)'!G:G,'센터 자재 사용내역(02월)'!E:E,'사급자재 사용내역'!C38,'센터 자재 사용내역(02월)'!F:F,"불량")</f>
        <v>30</v>
      </c>
      <c r="AS38" s="40">
        <f>SUMIFS('센터 자재 사용내역(03월)'!G:G,'센터 자재 사용내역(03월)'!E:E,'사급자재 사용내역'!C38,'센터 자재 사용내역(03월)'!F:F,"불량")</f>
        <v>35</v>
      </c>
      <c r="AT38" s="40">
        <f>SUMIFS('센터 자재 사용내역(04월)'!G:G,'센터 자재 사용내역(04월)'!E:E,'사급자재 사용내역'!C38,'센터 자재 사용내역(04월)'!F:F,"불량")</f>
        <v>54</v>
      </c>
      <c r="AU38" s="40">
        <f>SUMIFS('센터 자재 사용내역(05월)'!G:G,'센터 자재 사용내역(05월)'!E:E,'사급자재 사용내역'!C38,'센터 자재 사용내역(05월)'!F:F,"불량")</f>
        <v>46</v>
      </c>
      <c r="AV38" s="40">
        <f>SUMIFS('센터 자재 사용내역(06월)'!G:G,'센터 자재 사용내역(06월)'!E:E,'사급자재 사용내역'!C38,'센터 자재 사용내역(06월)'!F:F,"불량")</f>
        <v>45</v>
      </c>
      <c r="AW38" s="40">
        <f>SUMIFS('센터 자재 사용내역(07월)'!G:G,'센터 자재 사용내역(07월)'!E:E,'사급자재 사용내역'!C38,'센터 자재 사용내역(07월)'!F:F,"불량")</f>
        <v>30</v>
      </c>
      <c r="AX38" s="40">
        <f>SUMIFS('센터 자재 사용내역(08월)'!G:G,'센터 자재 사용내역(08월)'!E:E,'사급자재 사용내역'!C38,'센터 자재 사용내역(08월)'!F:F,"불량")</f>
        <v>33</v>
      </c>
      <c r="AY38" s="40">
        <f>SUMIFS('센터 자재 사용내역(09월)'!G:G,'센터 자재 사용내역(09월)'!E:E,'사급자재 사용내역'!C38,'센터 자재 사용내역(09월)'!F:F,"불량")</f>
        <v>0</v>
      </c>
      <c r="AZ38" s="40">
        <f>SUMIFS('센터 자재 사용내역(10월)'!G:G,'센터 자재 사용내역(10월)'!E:E,'사급자재 사용내역'!C38,'센터 자재 사용내역(10월)'!F:F,"불량")</f>
        <v>0</v>
      </c>
      <c r="BA38" s="40">
        <f>SUMIFS('센터 자재 사용내역(11월)'!G:G,'센터 자재 사용내역(11월)'!E:E,'사급자재 사용내역'!C38,'센터 자재 사용내역(11월)'!F:F,"불량")</f>
        <v>0</v>
      </c>
      <c r="BB38" s="40">
        <f>SUMIFS('센터 자재 사용내역(12월)'!G:G,'센터 자재 사용내역(12월)'!E:E,'사급자재 사용내역'!C38,'센터 자재 사용내역(12월)'!F:F,"불량")</f>
        <v>0</v>
      </c>
      <c r="BC38" s="40">
        <f t="shared" si="6"/>
        <v>321</v>
      </c>
      <c r="BD38" s="62"/>
    </row>
    <row r="39" spans="2:56" ht="19.5" customHeight="1">
      <c r="B39" s="106" t="s">
        <v>34</v>
      </c>
      <c r="C39" s="22" t="s">
        <v>35</v>
      </c>
      <c r="D39" s="64" t="s">
        <v>131</v>
      </c>
      <c r="E39" s="46">
        <v>0</v>
      </c>
      <c r="F39" s="47">
        <v>18</v>
      </c>
      <c r="G39" s="46"/>
      <c r="H39" s="78">
        <v>15</v>
      </c>
      <c r="I39" s="90">
        <f t="shared" si="4"/>
        <v>16</v>
      </c>
      <c r="J39" s="89">
        <f t="shared" si="14"/>
        <v>9</v>
      </c>
      <c r="K39" s="78">
        <f t="shared" si="7"/>
        <v>17</v>
      </c>
      <c r="L39" s="84">
        <f t="shared" si="15"/>
        <v>8</v>
      </c>
      <c r="M39" s="79">
        <f>SUMIFS('센터 자재 사용내역(01월)'!G:G,'센터 자재 사용내역(01월)'!E:E,'사급자재 사용내역'!C39,'센터 자재 사용내역(01월)'!F:F,"신규")+SUMIFS('센터 자재 사용내역(01월)'!G:G,'센터 자재 사용내역(01월)'!E:E,'사급자재 사용내역'!C39,'센터 자재 사용내역(01월)'!F:F,"교체")</f>
        <v>0</v>
      </c>
      <c r="N39" s="40">
        <f>SUMIFS('센터 자재 사용내역(02월)'!G:G,'센터 자재 사용내역(02월)'!E:E,'사급자재 사용내역'!C39,'센터 자재 사용내역(02월)'!F:F,"신규")+SUMIFS('센터 자재 사용내역(02월)'!G:G,'센터 자재 사용내역(02월)'!E:E,'사급자재 사용내역'!C39,'센터 자재 사용내역(02월)'!F:F,"교체")</f>
        <v>1</v>
      </c>
      <c r="O39" s="40">
        <f>SUMIFS('센터 자재 사용내역(03월)'!G:G,'센터 자재 사용내역(03월)'!E:E,'사급자재 사용내역'!C39,'센터 자재 사용내역(03월)'!F:F,"신규")+SUMIFS('센터 자재 사용내역(03월)'!G:G,'센터 자재 사용내역(03월)'!E:E,'사급자재 사용내역'!C39,'센터 자재 사용내역(03월)'!F:F,"교체")</f>
        <v>2</v>
      </c>
      <c r="P39" s="40">
        <f>SUMIFS('센터 자재 사용내역(04월)'!G:G,'센터 자재 사용내역(04월)'!E:E,'사급자재 사용내역'!C39,'센터 자재 사용내역(04월)'!F:F,"신규")+SUMIFS('센터 자재 사용내역(04월)'!G:G,'센터 자재 사용내역(04월)'!E:E,'사급자재 사용내역'!C39,'센터 자재 사용내역(04월)'!F:F,"교체")</f>
        <v>1</v>
      </c>
      <c r="Q39" s="40">
        <f>SUMIFS('센터 자재 사용내역(05월)'!G:G,'센터 자재 사용내역(05월)'!E:E,'사급자재 사용내역'!C39,'센터 자재 사용내역(05월)'!F:F,"신규")+SUMIFS('센터 자재 사용내역(05월)'!G:G,'센터 자재 사용내역(05월)'!E:E,'사급자재 사용내역'!C39,'센터 자재 사용내역(05월)'!F:F,"교체")</f>
        <v>1</v>
      </c>
      <c r="R39" s="40">
        <f>SUMIFS('센터 자재 사용내역(06월)'!G:G,'센터 자재 사용내역(06월)'!E:E,'사급자재 사용내역'!C39,'센터 자재 사용내역(06월)'!F:F,"신규")+SUMIFS('센터 자재 사용내역(06월)'!G:G,'센터 자재 사용내역(06월)'!E:E,'사급자재 사용내역'!C39,'센터 자재 사용내역(06월)'!F:F,"교체")</f>
        <v>3</v>
      </c>
      <c r="S39" s="40">
        <f>SUMIFS('센터 자재 사용내역(07월)'!G:G,'센터 자재 사용내역(07월)'!E:E,'사급자재 사용내역'!C39,'센터 자재 사용내역(07월)'!F:F,"신규")+SUMIFS('센터 자재 사용내역(07월)'!G:G,'센터 자재 사용내역(07월)'!E:E,'사급자재 사용내역'!C39,'센터 자재 사용내역(07월)'!F:F,"교체")</f>
        <v>1</v>
      </c>
      <c r="T39" s="40">
        <f>SUMIFS('센터 자재 사용내역(08월)'!G:G,'센터 자재 사용내역(08월)'!E:E,'사급자재 사용내역'!C39,'센터 자재 사용내역(08월)'!F:F,"신규")+SUMIFS('센터 자재 사용내역(08월)'!G:G,'센터 자재 사용내역(08월)'!E:E,'사급자재 사용내역'!C39,'센터 자재 사용내역(08월)'!F:F,"교체")</f>
        <v>0</v>
      </c>
      <c r="U39" s="40">
        <f>SUMIFS('센터 자재 사용내역(09월)'!G:G,'센터 자재 사용내역(09월)'!E:E,'사급자재 사용내역'!C39,'센터 자재 사용내역(09월)'!F:F,"신규")+SUMIFS('센터 자재 사용내역(09월)'!G:G,'센터 자재 사용내역(09월)'!E:E,'사급자재 사용내역'!C39,'센터 자재 사용내역(09월)'!F:F,"교체")</f>
        <v>0</v>
      </c>
      <c r="V39" s="40">
        <f>SUMIFS('센터 자재 사용내역(10월)'!G:G,'센터 자재 사용내역(10월)'!E:E,'사급자재 사용내역'!C39,'센터 자재 사용내역(10월)'!F:F,"신규")+SUMIFS('센터 자재 사용내역(10월)'!G:G,'센터 자재 사용내역(10월)'!E:E,'사급자재 사용내역'!C39,'센터 자재 사용내역(10월)'!F:F,"교체")</f>
        <v>0</v>
      </c>
      <c r="W39" s="40">
        <f>SUMIFS('센터 자재 사용내역(11월)'!G:G,'센터 자재 사용내역(11월)'!E:E,'사급자재 사용내역'!C39,'센터 자재 사용내역(11월)'!F:F,"신규")+SUMIFS('센터 자재 사용내역(11월)'!G:G,'센터 자재 사용내역(11월)'!E:E,'사급자재 사용내역'!C39,'센터 자재 사용내역(11월)'!F:F,"교체")</f>
        <v>0</v>
      </c>
      <c r="X39" s="40">
        <f>SUMIFS('센터 자재 사용내역(12월)'!G:G,'센터 자재 사용내역(12월)'!E:E,'사급자재 사용내역'!C39,'센터 자재 사용내역(12월)'!F:F,"신규")+SUMIFS('센터 자재 사용내역(12월)'!G:G,'센터 자재 사용내역(12월)'!E:E,'사급자재 사용내역'!C39,'센터 자재 사용내역(12월)'!F:F,"교체")</f>
        <v>0</v>
      </c>
      <c r="Y39" s="40">
        <f t="shared" si="16"/>
        <v>9</v>
      </c>
      <c r="Z39" s="52"/>
      <c r="AB39" s="56"/>
      <c r="AC39" s="29">
        <v>17</v>
      </c>
      <c r="AD39" s="29"/>
      <c r="AE39" s="29"/>
      <c r="AF39" s="29"/>
      <c r="AG39" s="29"/>
      <c r="AH39" s="29"/>
      <c r="AI39" s="29"/>
      <c r="AJ39" s="29"/>
      <c r="AK39" s="29"/>
      <c r="AL39" s="29"/>
      <c r="AM39" s="29"/>
      <c r="AN39" s="21">
        <f t="shared" si="17"/>
        <v>17</v>
      </c>
      <c r="AO39" s="57"/>
      <c r="AQ39" s="61">
        <f>SUMIFS('센터 자재 사용내역(01월)'!G:G,'센터 자재 사용내역(01월)'!E:E,'사급자재 사용내역'!C39,'센터 자재 사용내역(01월)'!F:F,"불량")</f>
        <v>2</v>
      </c>
      <c r="AR39" s="40">
        <f>SUMIFS('센터 자재 사용내역(02월)'!G:G,'센터 자재 사용내역(02월)'!E:E,'사급자재 사용내역'!C39,'센터 자재 사용내역(02월)'!F:F,"불량")</f>
        <v>0</v>
      </c>
      <c r="AS39" s="40">
        <f>SUMIFS('센터 자재 사용내역(03월)'!G:G,'센터 자재 사용내역(03월)'!E:E,'사급자재 사용내역'!C39,'센터 자재 사용내역(03월)'!F:F,"불량")</f>
        <v>3</v>
      </c>
      <c r="AT39" s="40">
        <f>SUMIFS('센터 자재 사용내역(04월)'!G:G,'센터 자재 사용내역(04월)'!E:E,'사급자재 사용내역'!C39,'센터 자재 사용내역(04월)'!F:F,"불량")</f>
        <v>3</v>
      </c>
      <c r="AU39" s="40">
        <f>SUMIFS('센터 자재 사용내역(05월)'!G:G,'센터 자재 사용내역(05월)'!E:E,'사급자재 사용내역'!C39,'센터 자재 사용내역(05월)'!F:F,"불량")</f>
        <v>2</v>
      </c>
      <c r="AV39" s="40">
        <f>SUMIFS('센터 자재 사용내역(06월)'!G:G,'센터 자재 사용내역(06월)'!E:E,'사급자재 사용내역'!C39,'센터 자재 사용내역(06월)'!F:F,"불량")</f>
        <v>3</v>
      </c>
      <c r="AW39" s="40">
        <f>SUMIFS('센터 자재 사용내역(07월)'!G:G,'센터 자재 사용내역(07월)'!E:E,'사급자재 사용내역'!C39,'센터 자재 사용내역(07월)'!F:F,"불량")</f>
        <v>0</v>
      </c>
      <c r="AX39" s="40">
        <f>SUMIFS('센터 자재 사용내역(08월)'!G:G,'센터 자재 사용내역(08월)'!E:E,'사급자재 사용내역'!C39,'센터 자재 사용내역(08월)'!F:F,"불량")</f>
        <v>0</v>
      </c>
      <c r="AY39" s="40">
        <f>SUMIFS('센터 자재 사용내역(09월)'!G:G,'센터 자재 사용내역(09월)'!E:E,'사급자재 사용내역'!C39,'센터 자재 사용내역(09월)'!F:F,"불량")</f>
        <v>0</v>
      </c>
      <c r="AZ39" s="40">
        <f>SUMIFS('센터 자재 사용내역(10월)'!G:G,'센터 자재 사용내역(10월)'!E:E,'사급자재 사용내역'!C39,'센터 자재 사용내역(10월)'!F:F,"불량")</f>
        <v>0</v>
      </c>
      <c r="BA39" s="40">
        <f>SUMIFS('센터 자재 사용내역(11월)'!G:G,'센터 자재 사용내역(11월)'!E:E,'사급자재 사용내역'!C39,'센터 자재 사용내역(11월)'!F:F,"불량")</f>
        <v>0</v>
      </c>
      <c r="BB39" s="40">
        <f>SUMIFS('센터 자재 사용내역(12월)'!G:G,'센터 자재 사용내역(12월)'!E:E,'사급자재 사용내역'!C39,'센터 자재 사용내역(12월)'!F:F,"불량")</f>
        <v>0</v>
      </c>
      <c r="BC39" s="40">
        <f t="shared" si="6"/>
        <v>13</v>
      </c>
      <c r="BD39" s="62"/>
    </row>
    <row r="40" spans="2:56" ht="19.5" customHeight="1">
      <c r="B40" s="107"/>
      <c r="C40" s="22" t="s">
        <v>36</v>
      </c>
      <c r="D40" s="64" t="s">
        <v>131</v>
      </c>
      <c r="E40" s="46">
        <v>4</v>
      </c>
      <c r="F40" s="47">
        <v>5</v>
      </c>
      <c r="G40" s="46"/>
      <c r="H40" s="78"/>
      <c r="I40" s="90">
        <f t="shared" si="4"/>
        <v>9</v>
      </c>
      <c r="J40" s="89">
        <f t="shared" si="14"/>
        <v>4</v>
      </c>
      <c r="K40" s="78">
        <f t="shared" si="7"/>
        <v>2</v>
      </c>
      <c r="L40" s="84">
        <f t="shared" si="15"/>
        <v>2</v>
      </c>
      <c r="M40" s="79">
        <f>SUMIFS('센터 자재 사용내역(01월)'!G:G,'센터 자재 사용내역(01월)'!E:E,'사급자재 사용내역'!C40,'센터 자재 사용내역(01월)'!F:F,"신규")+SUMIFS('센터 자재 사용내역(01월)'!G:G,'센터 자재 사용내역(01월)'!E:E,'사급자재 사용내역'!C40,'센터 자재 사용내역(01월)'!F:F,"교체")</f>
        <v>0</v>
      </c>
      <c r="N40" s="40">
        <f>SUMIFS('센터 자재 사용내역(02월)'!G:G,'센터 자재 사용내역(02월)'!E:E,'사급자재 사용내역'!C40,'센터 자재 사용내역(02월)'!F:F,"신규")+SUMIFS('센터 자재 사용내역(02월)'!G:G,'센터 자재 사용내역(02월)'!E:E,'사급자재 사용내역'!C40,'센터 자재 사용내역(02월)'!F:F,"교체")</f>
        <v>1</v>
      </c>
      <c r="O40" s="40">
        <f>SUMIFS('센터 자재 사용내역(03월)'!G:G,'센터 자재 사용내역(03월)'!E:E,'사급자재 사용내역'!C40,'센터 자재 사용내역(03월)'!F:F,"신규")+SUMIFS('센터 자재 사용내역(03월)'!G:G,'센터 자재 사용내역(03월)'!E:E,'사급자재 사용내역'!C40,'센터 자재 사용내역(03월)'!F:F,"교체")</f>
        <v>0</v>
      </c>
      <c r="P40" s="40">
        <f>SUMIFS('센터 자재 사용내역(04월)'!G:G,'센터 자재 사용내역(04월)'!E:E,'사급자재 사용내역'!C40,'센터 자재 사용내역(04월)'!F:F,"신규")+SUMIFS('센터 자재 사용내역(04월)'!G:G,'센터 자재 사용내역(04월)'!E:E,'사급자재 사용내역'!C40,'센터 자재 사용내역(04월)'!F:F,"교체")</f>
        <v>1</v>
      </c>
      <c r="Q40" s="40">
        <f>SUMIFS('센터 자재 사용내역(05월)'!G:G,'센터 자재 사용내역(05월)'!E:E,'사급자재 사용내역'!C40,'센터 자재 사용내역(05월)'!F:F,"신규")+SUMIFS('센터 자재 사용내역(05월)'!G:G,'센터 자재 사용내역(05월)'!E:E,'사급자재 사용내역'!C40,'센터 자재 사용내역(05월)'!F:F,"교체")</f>
        <v>0</v>
      </c>
      <c r="R40" s="40">
        <f>SUMIFS('센터 자재 사용내역(06월)'!G:G,'센터 자재 사용내역(06월)'!E:E,'사급자재 사용내역'!C40,'센터 자재 사용내역(06월)'!F:F,"신규")+SUMIFS('센터 자재 사용내역(06월)'!G:G,'센터 자재 사용내역(06월)'!E:E,'사급자재 사용내역'!C40,'센터 자재 사용내역(06월)'!F:F,"교체")</f>
        <v>1</v>
      </c>
      <c r="S40" s="40">
        <f>SUMIFS('센터 자재 사용내역(07월)'!G:G,'센터 자재 사용내역(07월)'!E:E,'사급자재 사용내역'!C40,'센터 자재 사용내역(07월)'!F:F,"신규")+SUMIFS('센터 자재 사용내역(07월)'!G:G,'센터 자재 사용내역(07월)'!E:E,'사급자재 사용내역'!C40,'센터 자재 사용내역(07월)'!F:F,"교체")</f>
        <v>1</v>
      </c>
      <c r="T40" s="40">
        <f>SUMIFS('센터 자재 사용내역(08월)'!G:G,'센터 자재 사용내역(08월)'!E:E,'사급자재 사용내역'!C40,'센터 자재 사용내역(08월)'!F:F,"신규")+SUMIFS('센터 자재 사용내역(08월)'!G:G,'센터 자재 사용내역(08월)'!E:E,'사급자재 사용내역'!C40,'센터 자재 사용내역(08월)'!F:F,"교체")</f>
        <v>0</v>
      </c>
      <c r="U40" s="40">
        <f>SUMIFS('센터 자재 사용내역(09월)'!G:G,'센터 자재 사용내역(09월)'!E:E,'사급자재 사용내역'!C40,'센터 자재 사용내역(09월)'!F:F,"신규")+SUMIFS('센터 자재 사용내역(09월)'!G:G,'센터 자재 사용내역(09월)'!E:E,'사급자재 사용내역'!C40,'센터 자재 사용내역(09월)'!F:F,"교체")</f>
        <v>0</v>
      </c>
      <c r="V40" s="40">
        <f>SUMIFS('센터 자재 사용내역(10월)'!G:G,'센터 자재 사용내역(10월)'!E:E,'사급자재 사용내역'!C40,'센터 자재 사용내역(10월)'!F:F,"신규")+SUMIFS('센터 자재 사용내역(10월)'!G:G,'센터 자재 사용내역(10월)'!E:E,'사급자재 사용내역'!C40,'센터 자재 사용내역(10월)'!F:F,"교체")</f>
        <v>0</v>
      </c>
      <c r="W40" s="40">
        <f>SUMIFS('센터 자재 사용내역(11월)'!G:G,'센터 자재 사용내역(11월)'!E:E,'사급자재 사용내역'!C40,'센터 자재 사용내역(11월)'!F:F,"신규")+SUMIFS('센터 자재 사용내역(11월)'!G:G,'센터 자재 사용내역(11월)'!E:E,'사급자재 사용내역'!C40,'센터 자재 사용내역(11월)'!F:F,"교체")</f>
        <v>0</v>
      </c>
      <c r="X40" s="40">
        <f>SUMIFS('센터 자재 사용내역(12월)'!G:G,'센터 자재 사용내역(12월)'!E:E,'사급자재 사용내역'!C40,'센터 자재 사용내역(12월)'!F:F,"신규")+SUMIFS('센터 자재 사용내역(12월)'!G:G,'센터 자재 사용내역(12월)'!E:E,'사급자재 사용내역'!C40,'센터 자재 사용내역(12월)'!F:F,"교체")</f>
        <v>0</v>
      </c>
      <c r="Y40" s="40">
        <f t="shared" si="16"/>
        <v>4</v>
      </c>
      <c r="Z40" s="52"/>
      <c r="AB40" s="56"/>
      <c r="AC40" s="29">
        <v>2</v>
      </c>
      <c r="AD40" s="29"/>
      <c r="AE40" s="29"/>
      <c r="AF40" s="29"/>
      <c r="AG40" s="29"/>
      <c r="AH40" s="29"/>
      <c r="AI40" s="29"/>
      <c r="AJ40" s="29"/>
      <c r="AK40" s="29"/>
      <c r="AL40" s="29"/>
      <c r="AM40" s="29"/>
      <c r="AN40" s="21">
        <f t="shared" si="17"/>
        <v>2</v>
      </c>
      <c r="AO40" s="57"/>
      <c r="AQ40" s="61">
        <f>SUMIFS('센터 자재 사용내역(01월)'!G:G,'센터 자재 사용내역(01월)'!E:E,'사급자재 사용내역'!C40,'센터 자재 사용내역(01월)'!F:F,"불량")</f>
        <v>0</v>
      </c>
      <c r="AR40" s="40">
        <f>SUMIFS('센터 자재 사용내역(02월)'!G:G,'센터 자재 사용내역(02월)'!E:E,'사급자재 사용내역'!C40,'센터 자재 사용내역(02월)'!F:F,"불량")</f>
        <v>0</v>
      </c>
      <c r="AS40" s="40">
        <f>SUMIFS('센터 자재 사용내역(03월)'!G:G,'센터 자재 사용내역(03월)'!E:E,'사급자재 사용내역'!C40,'센터 자재 사용내역(03월)'!F:F,"불량")</f>
        <v>0</v>
      </c>
      <c r="AT40" s="40">
        <f>SUMIFS('센터 자재 사용내역(04월)'!G:G,'센터 자재 사용내역(04월)'!E:E,'사급자재 사용내역'!C40,'센터 자재 사용내역(04월)'!F:F,"불량")</f>
        <v>1</v>
      </c>
      <c r="AU40" s="40">
        <f>SUMIFS('센터 자재 사용내역(05월)'!G:G,'센터 자재 사용내역(05월)'!E:E,'사급자재 사용내역'!C40,'센터 자재 사용내역(05월)'!F:F,"불량")</f>
        <v>1</v>
      </c>
      <c r="AV40" s="40">
        <f>SUMIFS('센터 자재 사용내역(06월)'!G:G,'센터 자재 사용내역(06월)'!E:E,'사급자재 사용내역'!C40,'센터 자재 사용내역(06월)'!F:F,"불량")</f>
        <v>0</v>
      </c>
      <c r="AW40" s="40">
        <f>SUMIFS('센터 자재 사용내역(07월)'!G:G,'센터 자재 사용내역(07월)'!E:E,'사급자재 사용내역'!C40,'센터 자재 사용내역(07월)'!F:F,"불량")</f>
        <v>2</v>
      </c>
      <c r="AX40" s="40">
        <f>SUMIFS('센터 자재 사용내역(08월)'!G:G,'센터 자재 사용내역(08월)'!E:E,'사급자재 사용내역'!C40,'센터 자재 사용내역(08월)'!F:F,"불량")</f>
        <v>0</v>
      </c>
      <c r="AY40" s="40">
        <f>SUMIFS('센터 자재 사용내역(09월)'!G:G,'센터 자재 사용내역(09월)'!E:E,'사급자재 사용내역'!C40,'센터 자재 사용내역(09월)'!F:F,"불량")</f>
        <v>0</v>
      </c>
      <c r="AZ40" s="40">
        <f>SUMIFS('센터 자재 사용내역(10월)'!G:G,'센터 자재 사용내역(10월)'!E:E,'사급자재 사용내역'!C40,'센터 자재 사용내역(10월)'!F:F,"불량")</f>
        <v>0</v>
      </c>
      <c r="BA40" s="40">
        <f>SUMIFS('센터 자재 사용내역(11월)'!G:G,'센터 자재 사용내역(11월)'!E:E,'사급자재 사용내역'!C40,'센터 자재 사용내역(11월)'!F:F,"불량")</f>
        <v>0</v>
      </c>
      <c r="BB40" s="40">
        <f>SUMIFS('센터 자재 사용내역(12월)'!G:G,'센터 자재 사용내역(12월)'!E:E,'사급자재 사용내역'!C40,'센터 자재 사용내역(12월)'!F:F,"불량")</f>
        <v>0</v>
      </c>
      <c r="BC40" s="40">
        <f t="shared" si="6"/>
        <v>4</v>
      </c>
      <c r="BD40" s="62"/>
    </row>
    <row r="41" spans="2:56" ht="19.5" customHeight="1">
      <c r="B41" s="107"/>
      <c r="C41" s="22" t="s">
        <v>37</v>
      </c>
      <c r="D41" s="64" t="s">
        <v>129</v>
      </c>
      <c r="E41" s="46">
        <v>7</v>
      </c>
      <c r="F41" s="47">
        <v>2</v>
      </c>
      <c r="G41" s="46"/>
      <c r="H41" s="78">
        <v>4</v>
      </c>
      <c r="I41" s="90">
        <f t="shared" si="4"/>
        <v>1</v>
      </c>
      <c r="J41" s="89">
        <f t="shared" si="14"/>
        <v>3</v>
      </c>
      <c r="K41" s="78">
        <f t="shared" si="7"/>
        <v>0</v>
      </c>
      <c r="L41" s="84">
        <f t="shared" si="15"/>
        <v>4</v>
      </c>
      <c r="M41" s="79">
        <f>SUMIFS('센터 자재 사용내역(01월)'!G:G,'센터 자재 사용내역(01월)'!E:E,'사급자재 사용내역'!C41,'센터 자재 사용내역(01월)'!F:F,"신규")+SUMIFS('센터 자재 사용내역(01월)'!G:G,'센터 자재 사용내역(01월)'!E:E,'사급자재 사용내역'!C41,'센터 자재 사용내역(01월)'!F:F,"교체")</f>
        <v>0</v>
      </c>
      <c r="N41" s="40">
        <f>SUMIFS('센터 자재 사용내역(02월)'!G:G,'센터 자재 사용내역(02월)'!E:E,'사급자재 사용내역'!C41,'센터 자재 사용내역(02월)'!F:F,"신규")+SUMIFS('센터 자재 사용내역(02월)'!G:G,'센터 자재 사용내역(02월)'!E:E,'사급자재 사용내역'!C41,'센터 자재 사용내역(02월)'!F:F,"교체")</f>
        <v>0</v>
      </c>
      <c r="O41" s="40">
        <f>SUMIFS('센터 자재 사용내역(03월)'!G:G,'센터 자재 사용내역(03월)'!E:E,'사급자재 사용내역'!C41,'센터 자재 사용내역(03월)'!F:F,"신규")+SUMIFS('센터 자재 사용내역(03월)'!G:G,'센터 자재 사용내역(03월)'!E:E,'사급자재 사용내역'!C41,'센터 자재 사용내역(03월)'!F:F,"교체")</f>
        <v>0</v>
      </c>
      <c r="P41" s="40">
        <f>SUMIFS('센터 자재 사용내역(04월)'!G:G,'센터 자재 사용내역(04월)'!E:E,'사급자재 사용내역'!C41,'센터 자재 사용내역(04월)'!F:F,"신규")+SUMIFS('센터 자재 사용내역(04월)'!G:G,'센터 자재 사용내역(04월)'!E:E,'사급자재 사용내역'!C41,'센터 자재 사용내역(04월)'!F:F,"교체")</f>
        <v>0</v>
      </c>
      <c r="Q41" s="40">
        <f>SUMIFS('센터 자재 사용내역(05월)'!G:G,'센터 자재 사용내역(05월)'!E:E,'사급자재 사용내역'!C41,'센터 자재 사용내역(05월)'!F:F,"신규")+SUMIFS('센터 자재 사용내역(05월)'!G:G,'센터 자재 사용내역(05월)'!E:E,'사급자재 사용내역'!C41,'센터 자재 사용내역(05월)'!F:F,"교체")</f>
        <v>1</v>
      </c>
      <c r="R41" s="40">
        <f>SUMIFS('센터 자재 사용내역(06월)'!G:G,'센터 자재 사용내역(06월)'!E:E,'사급자재 사용내역'!C41,'센터 자재 사용내역(06월)'!F:F,"신규")+SUMIFS('센터 자재 사용내역(06월)'!G:G,'센터 자재 사용내역(06월)'!E:E,'사급자재 사용내역'!C41,'센터 자재 사용내역(06월)'!F:F,"교체")</f>
        <v>1</v>
      </c>
      <c r="S41" s="40">
        <f>SUMIFS('센터 자재 사용내역(07월)'!G:G,'센터 자재 사용내역(07월)'!E:E,'사급자재 사용내역'!C41,'센터 자재 사용내역(07월)'!F:F,"신규")+SUMIFS('센터 자재 사용내역(07월)'!G:G,'센터 자재 사용내역(07월)'!E:E,'사급자재 사용내역'!C41,'센터 자재 사용내역(07월)'!F:F,"교체")</f>
        <v>1</v>
      </c>
      <c r="T41" s="40">
        <f>SUMIFS('센터 자재 사용내역(08월)'!G:G,'센터 자재 사용내역(08월)'!E:E,'사급자재 사용내역'!C41,'센터 자재 사용내역(08월)'!F:F,"신규")+SUMIFS('센터 자재 사용내역(08월)'!G:G,'센터 자재 사용내역(08월)'!E:E,'사급자재 사용내역'!C41,'센터 자재 사용내역(08월)'!F:F,"교체")</f>
        <v>0</v>
      </c>
      <c r="U41" s="40">
        <f>SUMIFS('센터 자재 사용내역(09월)'!G:G,'센터 자재 사용내역(09월)'!E:E,'사급자재 사용내역'!C41,'센터 자재 사용내역(09월)'!F:F,"신규")+SUMIFS('센터 자재 사용내역(09월)'!G:G,'센터 자재 사용내역(09월)'!E:E,'사급자재 사용내역'!C41,'센터 자재 사용내역(09월)'!F:F,"교체")</f>
        <v>0</v>
      </c>
      <c r="V41" s="40">
        <f>SUMIFS('센터 자재 사용내역(10월)'!G:G,'센터 자재 사용내역(10월)'!E:E,'사급자재 사용내역'!C41,'센터 자재 사용내역(10월)'!F:F,"신규")+SUMIFS('센터 자재 사용내역(10월)'!G:G,'센터 자재 사용내역(10월)'!E:E,'사급자재 사용내역'!C41,'센터 자재 사용내역(10월)'!F:F,"교체")</f>
        <v>0</v>
      </c>
      <c r="W41" s="40">
        <f>SUMIFS('센터 자재 사용내역(11월)'!G:G,'센터 자재 사용내역(11월)'!E:E,'사급자재 사용내역'!C41,'센터 자재 사용내역(11월)'!F:F,"신규")+SUMIFS('센터 자재 사용내역(11월)'!G:G,'센터 자재 사용내역(11월)'!E:E,'사급자재 사용내역'!C41,'센터 자재 사용내역(11월)'!F:F,"교체")</f>
        <v>0</v>
      </c>
      <c r="X41" s="40">
        <f>SUMIFS('센터 자재 사용내역(12월)'!G:G,'센터 자재 사용내역(12월)'!E:E,'사급자재 사용내역'!C41,'센터 자재 사용내역(12월)'!F:F,"신규")+SUMIFS('센터 자재 사용내역(12월)'!G:G,'센터 자재 사용내역(12월)'!E:E,'사급자재 사용내역'!C41,'센터 자재 사용내역(12월)'!F:F,"교체")</f>
        <v>0</v>
      </c>
      <c r="Y41" s="40">
        <f t="shared" si="16"/>
        <v>3</v>
      </c>
      <c r="Z41" s="52"/>
      <c r="AB41" s="56"/>
      <c r="AC41" s="29"/>
      <c r="AD41" s="29"/>
      <c r="AE41" s="29"/>
      <c r="AF41" s="29"/>
      <c r="AG41" s="29"/>
      <c r="AH41" s="29"/>
      <c r="AI41" s="29"/>
      <c r="AJ41" s="29"/>
      <c r="AK41" s="29"/>
      <c r="AL41" s="29"/>
      <c r="AM41" s="29"/>
      <c r="AN41" s="21">
        <f t="shared" si="17"/>
        <v>0</v>
      </c>
      <c r="AO41" s="57"/>
      <c r="AQ41" s="61">
        <f>SUMIFS('센터 자재 사용내역(01월)'!G:G,'센터 자재 사용내역(01월)'!E:E,'사급자재 사용내역'!C41,'센터 자재 사용내역(01월)'!F:F,"불량")</f>
        <v>0</v>
      </c>
      <c r="AR41" s="40">
        <f>SUMIFS('센터 자재 사용내역(02월)'!G:G,'센터 자재 사용내역(02월)'!E:E,'사급자재 사용내역'!C41,'센터 자재 사용내역(02월)'!F:F,"불량")</f>
        <v>0</v>
      </c>
      <c r="AS41" s="40">
        <f>SUMIFS('센터 자재 사용내역(03월)'!G:G,'센터 자재 사용내역(03월)'!E:E,'사급자재 사용내역'!C41,'센터 자재 사용내역(03월)'!F:F,"불량")</f>
        <v>0</v>
      </c>
      <c r="AT41" s="40">
        <f>SUMIFS('센터 자재 사용내역(04월)'!G:G,'센터 자재 사용내역(04월)'!E:E,'사급자재 사용내역'!C41,'센터 자재 사용내역(04월)'!F:F,"불량")</f>
        <v>0</v>
      </c>
      <c r="AU41" s="40">
        <f>SUMIFS('센터 자재 사용내역(05월)'!G:G,'센터 자재 사용내역(05월)'!E:E,'사급자재 사용내역'!C41,'센터 자재 사용내역(05월)'!F:F,"불량")</f>
        <v>1</v>
      </c>
      <c r="AV41" s="40">
        <f>SUMIFS('센터 자재 사용내역(06월)'!G:G,'센터 자재 사용내역(06월)'!E:E,'사급자재 사용내역'!C41,'센터 자재 사용내역(06월)'!F:F,"불량")</f>
        <v>1</v>
      </c>
      <c r="AW41" s="40">
        <f>SUMIFS('센터 자재 사용내역(07월)'!G:G,'센터 자재 사용내역(07월)'!E:E,'사급자재 사용내역'!C41,'센터 자재 사용내역(07월)'!F:F,"불량")</f>
        <v>1</v>
      </c>
      <c r="AX41" s="40">
        <f>SUMIFS('센터 자재 사용내역(08월)'!G:G,'센터 자재 사용내역(08월)'!E:E,'사급자재 사용내역'!C41,'센터 자재 사용내역(08월)'!F:F,"불량")</f>
        <v>0</v>
      </c>
      <c r="AY41" s="40">
        <f>SUMIFS('센터 자재 사용내역(09월)'!G:G,'센터 자재 사용내역(09월)'!E:E,'사급자재 사용내역'!C41,'센터 자재 사용내역(09월)'!F:F,"불량")</f>
        <v>0</v>
      </c>
      <c r="AZ41" s="40">
        <f>SUMIFS('센터 자재 사용내역(10월)'!G:G,'센터 자재 사용내역(10월)'!E:E,'사급자재 사용내역'!C41,'센터 자재 사용내역(10월)'!F:F,"불량")</f>
        <v>0</v>
      </c>
      <c r="BA41" s="40">
        <f>SUMIFS('센터 자재 사용내역(11월)'!G:G,'센터 자재 사용내역(11월)'!E:E,'사급자재 사용내역'!C41,'센터 자재 사용내역(11월)'!F:F,"불량")</f>
        <v>0</v>
      </c>
      <c r="BB41" s="40">
        <f>SUMIFS('센터 자재 사용내역(12월)'!G:G,'센터 자재 사용내역(12월)'!E:E,'사급자재 사용내역'!C41,'센터 자재 사용내역(12월)'!F:F,"불량")</f>
        <v>0</v>
      </c>
      <c r="BC41" s="40">
        <f t="shared" si="6"/>
        <v>3</v>
      </c>
      <c r="BD41" s="62"/>
    </row>
    <row r="42" spans="2:56" ht="19.5" customHeight="1">
      <c r="B42" s="107"/>
      <c r="C42" s="22" t="s">
        <v>38</v>
      </c>
      <c r="D42" s="64" t="s">
        <v>129</v>
      </c>
      <c r="E42" s="46">
        <v>16</v>
      </c>
      <c r="F42" s="47">
        <v>0</v>
      </c>
      <c r="G42" s="46"/>
      <c r="H42" s="78"/>
      <c r="I42" s="90">
        <f t="shared" si="4"/>
        <v>1</v>
      </c>
      <c r="J42" s="89">
        <f t="shared" si="14"/>
        <v>12</v>
      </c>
      <c r="K42" s="78">
        <f t="shared" si="7"/>
        <v>0</v>
      </c>
      <c r="L42" s="84">
        <f t="shared" si="15"/>
        <v>4</v>
      </c>
      <c r="M42" s="79">
        <f>SUMIFS('센터 자재 사용내역(01월)'!G:G,'센터 자재 사용내역(01월)'!E:E,'사급자재 사용내역'!C42,'센터 자재 사용내역(01월)'!F:F,"신규")+SUMIFS('센터 자재 사용내역(01월)'!G:G,'센터 자재 사용내역(01월)'!E:E,'사급자재 사용내역'!C42,'센터 자재 사용내역(01월)'!F:F,"교체")</f>
        <v>3</v>
      </c>
      <c r="N42" s="40">
        <f>SUMIFS('센터 자재 사용내역(02월)'!G:G,'센터 자재 사용내역(02월)'!E:E,'사급자재 사용내역'!C42,'센터 자재 사용내역(02월)'!F:F,"신규")+SUMIFS('센터 자재 사용내역(02월)'!G:G,'센터 자재 사용내역(02월)'!E:E,'사급자재 사용내역'!C42,'센터 자재 사용내역(02월)'!F:F,"교체")</f>
        <v>3</v>
      </c>
      <c r="O42" s="40">
        <f>SUMIFS('센터 자재 사용내역(03월)'!G:G,'센터 자재 사용내역(03월)'!E:E,'사급자재 사용내역'!C42,'센터 자재 사용내역(03월)'!F:F,"신규")+SUMIFS('센터 자재 사용내역(03월)'!G:G,'센터 자재 사용내역(03월)'!E:E,'사급자재 사용내역'!C42,'센터 자재 사용내역(03월)'!F:F,"교체")</f>
        <v>1</v>
      </c>
      <c r="P42" s="40">
        <f>SUMIFS('센터 자재 사용내역(04월)'!G:G,'센터 자재 사용내역(04월)'!E:E,'사급자재 사용내역'!C42,'센터 자재 사용내역(04월)'!F:F,"신규")+SUMIFS('센터 자재 사용내역(04월)'!G:G,'센터 자재 사용내역(04월)'!E:E,'사급자재 사용내역'!C42,'센터 자재 사용내역(04월)'!F:F,"교체")</f>
        <v>0</v>
      </c>
      <c r="Q42" s="40">
        <f>SUMIFS('센터 자재 사용내역(05월)'!G:G,'센터 자재 사용내역(05월)'!E:E,'사급자재 사용내역'!C42,'센터 자재 사용내역(05월)'!F:F,"신규")+SUMIFS('센터 자재 사용내역(05월)'!G:G,'센터 자재 사용내역(05월)'!E:E,'사급자재 사용내역'!C42,'센터 자재 사용내역(05월)'!F:F,"교체")</f>
        <v>3</v>
      </c>
      <c r="R42" s="40">
        <f>SUMIFS('센터 자재 사용내역(06월)'!G:G,'센터 자재 사용내역(06월)'!E:E,'사급자재 사용내역'!C42,'센터 자재 사용내역(06월)'!F:F,"신규")+SUMIFS('센터 자재 사용내역(06월)'!G:G,'센터 자재 사용내역(06월)'!E:E,'사급자재 사용내역'!C42,'센터 자재 사용내역(06월)'!F:F,"교체")</f>
        <v>0</v>
      </c>
      <c r="S42" s="40">
        <f>SUMIFS('센터 자재 사용내역(07월)'!G:G,'센터 자재 사용내역(07월)'!E:E,'사급자재 사용내역'!C42,'센터 자재 사용내역(07월)'!F:F,"신규")+SUMIFS('센터 자재 사용내역(07월)'!G:G,'센터 자재 사용내역(07월)'!E:E,'사급자재 사용내역'!C42,'센터 자재 사용내역(07월)'!F:F,"교체")</f>
        <v>2</v>
      </c>
      <c r="T42" s="40">
        <f>SUMIFS('센터 자재 사용내역(08월)'!G:G,'센터 자재 사용내역(08월)'!E:E,'사급자재 사용내역'!C42,'센터 자재 사용내역(08월)'!F:F,"신규")+SUMIFS('센터 자재 사용내역(08월)'!G:G,'센터 자재 사용내역(08월)'!E:E,'사급자재 사용내역'!C42,'센터 자재 사용내역(08월)'!F:F,"교체")</f>
        <v>0</v>
      </c>
      <c r="U42" s="40">
        <f>SUMIFS('센터 자재 사용내역(09월)'!G:G,'센터 자재 사용내역(09월)'!E:E,'사급자재 사용내역'!C42,'센터 자재 사용내역(09월)'!F:F,"신규")+SUMIFS('센터 자재 사용내역(09월)'!G:G,'센터 자재 사용내역(09월)'!E:E,'사급자재 사용내역'!C42,'센터 자재 사용내역(09월)'!F:F,"교체")</f>
        <v>0</v>
      </c>
      <c r="V42" s="40">
        <f>SUMIFS('센터 자재 사용내역(10월)'!G:G,'센터 자재 사용내역(10월)'!E:E,'사급자재 사용내역'!C42,'센터 자재 사용내역(10월)'!F:F,"신규")+SUMIFS('센터 자재 사용내역(10월)'!G:G,'센터 자재 사용내역(10월)'!E:E,'사급자재 사용내역'!C42,'센터 자재 사용내역(10월)'!F:F,"교체")</f>
        <v>0</v>
      </c>
      <c r="W42" s="40">
        <f>SUMIFS('센터 자재 사용내역(11월)'!G:G,'센터 자재 사용내역(11월)'!E:E,'사급자재 사용내역'!C42,'센터 자재 사용내역(11월)'!F:F,"신규")+SUMIFS('센터 자재 사용내역(11월)'!G:G,'센터 자재 사용내역(11월)'!E:E,'사급자재 사용내역'!C42,'센터 자재 사용내역(11월)'!F:F,"교체")</f>
        <v>0</v>
      </c>
      <c r="X42" s="40">
        <f>SUMIFS('센터 자재 사용내역(12월)'!G:G,'센터 자재 사용내역(12월)'!E:E,'사급자재 사용내역'!C42,'센터 자재 사용내역(12월)'!F:F,"신규")+SUMIFS('센터 자재 사용내역(12월)'!G:G,'센터 자재 사용내역(12월)'!E:E,'사급자재 사용내역'!C42,'센터 자재 사용내역(12월)'!F:F,"교체")</f>
        <v>0</v>
      </c>
      <c r="Y42" s="40">
        <f t="shared" si="16"/>
        <v>12</v>
      </c>
      <c r="Z42" s="52"/>
      <c r="AB42" s="56"/>
      <c r="AC42" s="29"/>
      <c r="AD42" s="29"/>
      <c r="AE42" s="29"/>
      <c r="AF42" s="29"/>
      <c r="AG42" s="29"/>
      <c r="AH42" s="29"/>
      <c r="AI42" s="29"/>
      <c r="AJ42" s="29"/>
      <c r="AK42" s="29"/>
      <c r="AL42" s="29"/>
      <c r="AM42" s="29"/>
      <c r="AN42" s="21">
        <f t="shared" si="17"/>
        <v>0</v>
      </c>
      <c r="AO42" s="57"/>
      <c r="AQ42" s="61">
        <f>SUMIFS('센터 자재 사용내역(01월)'!G:G,'센터 자재 사용내역(01월)'!E:E,'사급자재 사용내역'!C42,'센터 자재 사용내역(01월)'!F:F,"불량")</f>
        <v>0</v>
      </c>
      <c r="AR42" s="40">
        <f>SUMIFS('센터 자재 사용내역(02월)'!G:G,'센터 자재 사용내역(02월)'!E:E,'사급자재 사용내역'!C42,'센터 자재 사용내역(02월)'!F:F,"불량")</f>
        <v>0</v>
      </c>
      <c r="AS42" s="40">
        <f>SUMIFS('센터 자재 사용내역(03월)'!G:G,'센터 자재 사용내역(03월)'!E:E,'사급자재 사용내역'!C42,'센터 자재 사용내역(03월)'!F:F,"불량")</f>
        <v>0</v>
      </c>
      <c r="AT42" s="40">
        <f>SUMIFS('센터 자재 사용내역(04월)'!G:G,'센터 자재 사용내역(04월)'!E:E,'사급자재 사용내역'!C42,'센터 자재 사용내역(04월)'!F:F,"불량")</f>
        <v>1</v>
      </c>
      <c r="AU42" s="40">
        <f>SUMIFS('센터 자재 사용내역(05월)'!G:G,'센터 자재 사용내역(05월)'!E:E,'사급자재 사용내역'!C42,'센터 자재 사용내역(05월)'!F:F,"불량")</f>
        <v>0</v>
      </c>
      <c r="AV42" s="40">
        <f>SUMIFS('센터 자재 사용내역(06월)'!G:G,'센터 자재 사용내역(06월)'!E:E,'사급자재 사용내역'!C42,'센터 자재 사용내역(06월)'!F:F,"불량")</f>
        <v>0</v>
      </c>
      <c r="AW42" s="40">
        <f>SUMIFS('센터 자재 사용내역(07월)'!G:G,'센터 자재 사용내역(07월)'!E:E,'사급자재 사용내역'!C42,'센터 자재 사용내역(07월)'!F:F,"불량")</f>
        <v>0</v>
      </c>
      <c r="AX42" s="40">
        <f>SUMIFS('센터 자재 사용내역(08월)'!G:G,'센터 자재 사용내역(08월)'!E:E,'사급자재 사용내역'!C42,'센터 자재 사용내역(08월)'!F:F,"불량")</f>
        <v>0</v>
      </c>
      <c r="AY42" s="40">
        <f>SUMIFS('센터 자재 사용내역(09월)'!G:G,'센터 자재 사용내역(09월)'!E:E,'사급자재 사용내역'!C42,'센터 자재 사용내역(09월)'!F:F,"불량")</f>
        <v>0</v>
      </c>
      <c r="AZ42" s="40">
        <f>SUMIFS('센터 자재 사용내역(10월)'!G:G,'센터 자재 사용내역(10월)'!E:E,'사급자재 사용내역'!C42,'센터 자재 사용내역(10월)'!F:F,"불량")</f>
        <v>0</v>
      </c>
      <c r="BA42" s="40">
        <f>SUMIFS('센터 자재 사용내역(11월)'!G:G,'센터 자재 사용내역(11월)'!E:E,'사급자재 사용내역'!C42,'센터 자재 사용내역(11월)'!F:F,"불량")</f>
        <v>0</v>
      </c>
      <c r="BB42" s="40">
        <f>SUMIFS('센터 자재 사용내역(12월)'!G:G,'센터 자재 사용내역(12월)'!E:E,'사급자재 사용내역'!C42,'센터 자재 사용내역(12월)'!F:F,"불량")</f>
        <v>0</v>
      </c>
      <c r="BC42" s="40">
        <f t="shared" si="6"/>
        <v>1</v>
      </c>
      <c r="BD42" s="62"/>
    </row>
    <row r="43" spans="2:56" ht="19.5" customHeight="1">
      <c r="B43" s="107"/>
      <c r="C43" s="22" t="s">
        <v>177</v>
      </c>
      <c r="D43" s="64" t="s">
        <v>130</v>
      </c>
      <c r="E43" s="46">
        <v>0</v>
      </c>
      <c r="F43" s="47">
        <v>0</v>
      </c>
      <c r="G43" s="46"/>
      <c r="H43" s="78">
        <v>5</v>
      </c>
      <c r="I43" s="90">
        <f t="shared" si="4"/>
        <v>0</v>
      </c>
      <c r="J43" s="89">
        <f t="shared" si="14"/>
        <v>0</v>
      </c>
      <c r="K43" s="78">
        <f t="shared" si="7"/>
        <v>0</v>
      </c>
      <c r="L43" s="84">
        <f t="shared" si="15"/>
        <v>0</v>
      </c>
      <c r="M43" s="79">
        <f>SUMIFS('센터 자재 사용내역(01월)'!G:G,'센터 자재 사용내역(01월)'!E:E,'사급자재 사용내역'!C43,'센터 자재 사용내역(01월)'!F:F,"신규")+SUMIFS('센터 자재 사용내역(01월)'!G:G,'센터 자재 사용내역(01월)'!E:E,'사급자재 사용내역'!C43,'센터 자재 사용내역(01월)'!F:F,"교체")</f>
        <v>0</v>
      </c>
      <c r="N43" s="40">
        <f>SUMIFS('센터 자재 사용내역(02월)'!G:G,'센터 자재 사용내역(02월)'!E:E,'사급자재 사용내역'!C43,'센터 자재 사용내역(02월)'!F:F,"신규")+SUMIFS('센터 자재 사용내역(02월)'!G:G,'센터 자재 사용내역(02월)'!E:E,'사급자재 사용내역'!C43,'센터 자재 사용내역(02월)'!F:F,"교체")</f>
        <v>0</v>
      </c>
      <c r="O43" s="40">
        <f>SUMIFS('센터 자재 사용내역(03월)'!G:G,'센터 자재 사용내역(03월)'!E:E,'사급자재 사용내역'!C43,'센터 자재 사용내역(03월)'!F:F,"신규")+SUMIFS('센터 자재 사용내역(03월)'!G:G,'센터 자재 사용내역(03월)'!E:E,'사급자재 사용내역'!C43,'센터 자재 사용내역(03월)'!F:F,"교체")</f>
        <v>0</v>
      </c>
      <c r="P43" s="40">
        <f>SUMIFS('센터 자재 사용내역(04월)'!G:G,'센터 자재 사용내역(04월)'!E:E,'사급자재 사용내역'!C43,'센터 자재 사용내역(04월)'!F:F,"신규")+SUMIFS('센터 자재 사용내역(04월)'!G:G,'센터 자재 사용내역(04월)'!E:E,'사급자재 사용내역'!C43,'센터 자재 사용내역(04월)'!F:F,"교체")</f>
        <v>0</v>
      </c>
      <c r="Q43" s="40">
        <f>SUMIFS('센터 자재 사용내역(05월)'!G:G,'센터 자재 사용내역(05월)'!E:E,'사급자재 사용내역'!C43,'센터 자재 사용내역(05월)'!F:F,"신규")+SUMIFS('센터 자재 사용내역(05월)'!G:G,'센터 자재 사용내역(05월)'!E:E,'사급자재 사용내역'!C43,'센터 자재 사용내역(05월)'!F:F,"교체")</f>
        <v>0</v>
      </c>
      <c r="R43" s="40">
        <f>SUMIFS('센터 자재 사용내역(06월)'!G:G,'센터 자재 사용내역(06월)'!E:E,'사급자재 사용내역'!C43,'센터 자재 사용내역(06월)'!F:F,"신규")+SUMIFS('센터 자재 사용내역(06월)'!G:G,'센터 자재 사용내역(06월)'!E:E,'사급자재 사용내역'!C43,'센터 자재 사용내역(06월)'!F:F,"교체")</f>
        <v>0</v>
      </c>
      <c r="S43" s="40">
        <f>SUMIFS('센터 자재 사용내역(07월)'!G:G,'센터 자재 사용내역(07월)'!E:E,'사급자재 사용내역'!C43,'센터 자재 사용내역(07월)'!F:F,"신규")+SUMIFS('센터 자재 사용내역(07월)'!G:G,'센터 자재 사용내역(07월)'!E:E,'사급자재 사용내역'!C43,'센터 자재 사용내역(07월)'!F:F,"교체")</f>
        <v>0</v>
      </c>
      <c r="T43" s="40">
        <f>SUMIFS('센터 자재 사용내역(08월)'!G:G,'센터 자재 사용내역(08월)'!E:E,'사급자재 사용내역'!C43,'센터 자재 사용내역(08월)'!F:F,"신규")+SUMIFS('센터 자재 사용내역(08월)'!G:G,'센터 자재 사용내역(08월)'!E:E,'사급자재 사용내역'!C43,'센터 자재 사용내역(08월)'!F:F,"교체")</f>
        <v>0</v>
      </c>
      <c r="U43" s="40">
        <f>SUMIFS('센터 자재 사용내역(09월)'!G:G,'센터 자재 사용내역(09월)'!E:E,'사급자재 사용내역'!C43,'센터 자재 사용내역(09월)'!F:F,"신규")+SUMIFS('센터 자재 사용내역(09월)'!G:G,'센터 자재 사용내역(09월)'!E:E,'사급자재 사용내역'!C43,'센터 자재 사용내역(09월)'!F:F,"교체")</f>
        <v>0</v>
      </c>
      <c r="V43" s="40">
        <f>SUMIFS('센터 자재 사용내역(10월)'!G:G,'센터 자재 사용내역(10월)'!E:E,'사급자재 사용내역'!C43,'센터 자재 사용내역(10월)'!F:F,"신규")+SUMIFS('센터 자재 사용내역(10월)'!G:G,'센터 자재 사용내역(10월)'!E:E,'사급자재 사용내역'!C43,'센터 자재 사용내역(10월)'!F:F,"교체")</f>
        <v>0</v>
      </c>
      <c r="W43" s="40">
        <f>SUMIFS('센터 자재 사용내역(11월)'!G:G,'센터 자재 사용내역(11월)'!E:E,'사급자재 사용내역'!C43,'센터 자재 사용내역(11월)'!F:F,"신규")+SUMIFS('센터 자재 사용내역(11월)'!G:G,'센터 자재 사용내역(11월)'!E:E,'사급자재 사용내역'!C43,'센터 자재 사용내역(11월)'!F:F,"교체")</f>
        <v>0</v>
      </c>
      <c r="X43" s="40">
        <f>SUMIFS('센터 자재 사용내역(12월)'!G:G,'센터 자재 사용내역(12월)'!E:E,'사급자재 사용내역'!C43,'센터 자재 사용내역(12월)'!F:F,"신규")+SUMIFS('센터 자재 사용내역(12월)'!G:G,'센터 자재 사용내역(12월)'!E:E,'사급자재 사용내역'!C43,'센터 자재 사용내역(12월)'!F:F,"교체")</f>
        <v>0</v>
      </c>
      <c r="Y43" s="40">
        <f t="shared" si="16"/>
        <v>0</v>
      </c>
      <c r="Z43" s="52"/>
      <c r="AB43" s="56"/>
      <c r="AC43" s="29"/>
      <c r="AD43" s="29"/>
      <c r="AE43" s="29"/>
      <c r="AF43" s="29"/>
      <c r="AG43" s="29"/>
      <c r="AH43" s="29"/>
      <c r="AI43" s="29"/>
      <c r="AJ43" s="29"/>
      <c r="AK43" s="29"/>
      <c r="AL43" s="29"/>
      <c r="AM43" s="29"/>
      <c r="AN43" s="21">
        <f t="shared" si="17"/>
        <v>0</v>
      </c>
      <c r="AO43" s="57"/>
      <c r="AQ43" s="61">
        <f>SUMIFS('센터 자재 사용내역(01월)'!G:G,'센터 자재 사용내역(01월)'!E:E,'사급자재 사용내역'!C43,'센터 자재 사용내역(01월)'!F:F,"불량")</f>
        <v>0</v>
      </c>
      <c r="AR43" s="40">
        <f>SUMIFS('센터 자재 사용내역(02월)'!G:G,'센터 자재 사용내역(02월)'!E:E,'사급자재 사용내역'!C43,'센터 자재 사용내역(02월)'!F:F,"불량")</f>
        <v>5</v>
      </c>
      <c r="AS43" s="40">
        <f>SUMIFS('센터 자재 사용내역(03월)'!G:G,'센터 자재 사용내역(03월)'!E:E,'사급자재 사용내역'!C43,'센터 자재 사용내역(03월)'!F:F,"불량")</f>
        <v>0</v>
      </c>
      <c r="AT43" s="40">
        <f>SUMIFS('센터 자재 사용내역(04월)'!G:G,'센터 자재 사용내역(04월)'!E:E,'사급자재 사용내역'!C43,'센터 자재 사용내역(04월)'!F:F,"불량")</f>
        <v>0</v>
      </c>
      <c r="AU43" s="40">
        <f>SUMIFS('센터 자재 사용내역(05월)'!G:G,'센터 자재 사용내역(05월)'!E:E,'사급자재 사용내역'!C43,'센터 자재 사용내역(05월)'!F:F,"불량")</f>
        <v>0</v>
      </c>
      <c r="AV43" s="40">
        <f>SUMIFS('센터 자재 사용내역(06월)'!G:G,'센터 자재 사용내역(06월)'!E:E,'사급자재 사용내역'!C43,'센터 자재 사용내역(06월)'!F:F,"불량")</f>
        <v>0</v>
      </c>
      <c r="AW43" s="40">
        <f>SUMIFS('센터 자재 사용내역(07월)'!G:G,'센터 자재 사용내역(07월)'!E:E,'사급자재 사용내역'!C43,'센터 자재 사용내역(07월)'!F:F,"불량")</f>
        <v>0</v>
      </c>
      <c r="AX43" s="40">
        <f>SUMIFS('센터 자재 사용내역(08월)'!G:G,'센터 자재 사용내역(08월)'!E:E,'사급자재 사용내역'!C43,'센터 자재 사용내역(08월)'!F:F,"불량")</f>
        <v>0</v>
      </c>
      <c r="AY43" s="40">
        <f>SUMIFS('센터 자재 사용내역(09월)'!G:G,'센터 자재 사용내역(09월)'!E:E,'사급자재 사용내역'!C43,'센터 자재 사용내역(09월)'!F:F,"불량")</f>
        <v>0</v>
      </c>
      <c r="AZ43" s="40">
        <f>SUMIFS('센터 자재 사용내역(10월)'!G:G,'센터 자재 사용내역(10월)'!E:E,'사급자재 사용내역'!C43,'센터 자재 사용내역(10월)'!F:F,"불량")</f>
        <v>0</v>
      </c>
      <c r="BA43" s="40">
        <f>SUMIFS('센터 자재 사용내역(11월)'!G:G,'센터 자재 사용내역(11월)'!E:E,'사급자재 사용내역'!C43,'센터 자재 사용내역(11월)'!F:F,"불량")</f>
        <v>0</v>
      </c>
      <c r="BB43" s="40">
        <f>SUMIFS('센터 자재 사용내역(12월)'!G:G,'센터 자재 사용내역(12월)'!E:E,'사급자재 사용내역'!C43,'센터 자재 사용내역(12월)'!F:F,"불량")</f>
        <v>0</v>
      </c>
      <c r="BC43" s="40">
        <f t="shared" si="6"/>
        <v>5</v>
      </c>
      <c r="BD43" s="62"/>
    </row>
    <row r="44" spans="2:56" ht="19.5" customHeight="1">
      <c r="B44" s="36" t="s">
        <v>32</v>
      </c>
      <c r="C44" s="22" t="s">
        <v>33</v>
      </c>
      <c r="D44" s="64" t="s">
        <v>129</v>
      </c>
      <c r="E44" s="46">
        <v>21</v>
      </c>
      <c r="F44" s="47">
        <v>1</v>
      </c>
      <c r="G44" s="46"/>
      <c r="H44" s="78">
        <v>2</v>
      </c>
      <c r="I44" s="90">
        <f t="shared" si="4"/>
        <v>0</v>
      </c>
      <c r="J44" s="89">
        <f t="shared" si="14"/>
        <v>1</v>
      </c>
      <c r="K44" s="78">
        <f t="shared" si="7"/>
        <v>0</v>
      </c>
      <c r="L44" s="84">
        <f t="shared" si="15"/>
        <v>20</v>
      </c>
      <c r="M44" s="79">
        <f>SUMIFS('센터 자재 사용내역(01월)'!G:G,'센터 자재 사용내역(01월)'!E:E,'사급자재 사용내역'!C44,'센터 자재 사용내역(01월)'!F:F,"신규")+SUMIFS('센터 자재 사용내역(01월)'!G:G,'센터 자재 사용내역(01월)'!E:E,'사급자재 사용내역'!C44,'센터 자재 사용내역(01월)'!F:F,"교체")</f>
        <v>0</v>
      </c>
      <c r="N44" s="40">
        <f>SUMIFS('센터 자재 사용내역(02월)'!G:G,'센터 자재 사용내역(02월)'!E:E,'사급자재 사용내역'!C44,'센터 자재 사용내역(02월)'!F:F,"신규")+SUMIFS('센터 자재 사용내역(02월)'!G:G,'센터 자재 사용내역(02월)'!E:E,'사급자재 사용내역'!C44,'센터 자재 사용내역(02월)'!F:F,"교체")</f>
        <v>0</v>
      </c>
      <c r="O44" s="40">
        <f>SUMIFS('센터 자재 사용내역(03월)'!G:G,'센터 자재 사용내역(03월)'!E:E,'사급자재 사용내역'!C44,'센터 자재 사용내역(03월)'!F:F,"신규")+SUMIFS('센터 자재 사용내역(03월)'!G:G,'센터 자재 사용내역(03월)'!E:E,'사급자재 사용내역'!C44,'센터 자재 사용내역(03월)'!F:F,"교체")</f>
        <v>0</v>
      </c>
      <c r="P44" s="40">
        <f>SUMIFS('센터 자재 사용내역(04월)'!G:G,'센터 자재 사용내역(04월)'!E:E,'사급자재 사용내역'!C44,'센터 자재 사용내역(04월)'!F:F,"신규")+SUMIFS('센터 자재 사용내역(04월)'!G:G,'센터 자재 사용내역(04월)'!E:E,'사급자재 사용내역'!C44,'센터 자재 사용내역(04월)'!F:F,"교체")</f>
        <v>1</v>
      </c>
      <c r="Q44" s="40">
        <f>SUMIFS('센터 자재 사용내역(05월)'!G:G,'센터 자재 사용내역(05월)'!E:E,'사급자재 사용내역'!C44,'센터 자재 사용내역(05월)'!F:F,"신규")+SUMIFS('센터 자재 사용내역(05월)'!G:G,'센터 자재 사용내역(05월)'!E:E,'사급자재 사용내역'!C44,'센터 자재 사용내역(05월)'!F:F,"교체")</f>
        <v>0</v>
      </c>
      <c r="R44" s="40">
        <f>SUMIFS('센터 자재 사용내역(06월)'!G:G,'센터 자재 사용내역(06월)'!E:E,'사급자재 사용내역'!C44,'센터 자재 사용내역(06월)'!F:F,"신규")+SUMIFS('센터 자재 사용내역(06월)'!G:G,'센터 자재 사용내역(06월)'!E:E,'사급자재 사용내역'!C44,'센터 자재 사용내역(06월)'!F:F,"교체")</f>
        <v>0</v>
      </c>
      <c r="S44" s="40">
        <f>SUMIFS('센터 자재 사용내역(07월)'!G:G,'센터 자재 사용내역(07월)'!E:E,'사급자재 사용내역'!C44,'센터 자재 사용내역(07월)'!F:F,"신규")+SUMIFS('센터 자재 사용내역(07월)'!G:G,'센터 자재 사용내역(07월)'!E:E,'사급자재 사용내역'!C44,'센터 자재 사용내역(07월)'!F:F,"교체")</f>
        <v>0</v>
      </c>
      <c r="T44" s="40">
        <f>SUMIFS('센터 자재 사용내역(08월)'!G:G,'센터 자재 사용내역(08월)'!E:E,'사급자재 사용내역'!C44,'센터 자재 사용내역(08월)'!F:F,"신규")+SUMIFS('센터 자재 사용내역(08월)'!G:G,'센터 자재 사용내역(08월)'!E:E,'사급자재 사용내역'!C44,'센터 자재 사용내역(08월)'!F:F,"교체")</f>
        <v>0</v>
      </c>
      <c r="U44" s="40">
        <f>SUMIFS('센터 자재 사용내역(09월)'!G:G,'센터 자재 사용내역(09월)'!E:E,'사급자재 사용내역'!C44,'센터 자재 사용내역(09월)'!F:F,"신규")+SUMIFS('센터 자재 사용내역(09월)'!G:G,'센터 자재 사용내역(09월)'!E:E,'사급자재 사용내역'!C44,'센터 자재 사용내역(09월)'!F:F,"교체")</f>
        <v>0</v>
      </c>
      <c r="V44" s="40">
        <f>SUMIFS('센터 자재 사용내역(10월)'!G:G,'센터 자재 사용내역(10월)'!E:E,'사급자재 사용내역'!C44,'센터 자재 사용내역(10월)'!F:F,"신규")+SUMIFS('센터 자재 사용내역(10월)'!G:G,'센터 자재 사용내역(10월)'!E:E,'사급자재 사용내역'!C44,'센터 자재 사용내역(10월)'!F:F,"교체")</f>
        <v>0</v>
      </c>
      <c r="W44" s="40">
        <f>SUMIFS('센터 자재 사용내역(11월)'!G:G,'센터 자재 사용내역(11월)'!E:E,'사급자재 사용내역'!C44,'센터 자재 사용내역(11월)'!F:F,"신규")+SUMIFS('센터 자재 사용내역(11월)'!G:G,'센터 자재 사용내역(11월)'!E:E,'사급자재 사용내역'!C44,'센터 자재 사용내역(11월)'!F:F,"교체")</f>
        <v>0</v>
      </c>
      <c r="X44" s="40">
        <f>SUMIFS('센터 자재 사용내역(12월)'!G:G,'센터 자재 사용내역(12월)'!E:E,'사급자재 사용내역'!C44,'센터 자재 사용내역(12월)'!F:F,"신규")+SUMIFS('센터 자재 사용내역(12월)'!G:G,'센터 자재 사용내역(12월)'!E:E,'사급자재 사용내역'!C44,'센터 자재 사용내역(12월)'!F:F,"교체")</f>
        <v>0</v>
      </c>
      <c r="Y44" s="40">
        <f t="shared" si="16"/>
        <v>1</v>
      </c>
      <c r="Z44" s="52"/>
      <c r="AB44" s="56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29"/>
      <c r="AN44" s="21">
        <f t="shared" si="17"/>
        <v>0</v>
      </c>
      <c r="AO44" s="57"/>
      <c r="AQ44" s="61">
        <f>SUMIFS('센터 자재 사용내역(01월)'!G:G,'센터 자재 사용내역(01월)'!E:E,'사급자재 사용내역'!C44,'센터 자재 사용내역(01월)'!F:F,"불량")</f>
        <v>0</v>
      </c>
      <c r="AR44" s="40">
        <f>SUMIFS('센터 자재 사용내역(02월)'!G:G,'센터 자재 사용내역(02월)'!E:E,'사급자재 사용내역'!C44,'센터 자재 사용내역(02월)'!F:F,"불량")</f>
        <v>0</v>
      </c>
      <c r="AS44" s="40">
        <f>SUMIFS('센터 자재 사용내역(03월)'!G:G,'센터 자재 사용내역(03월)'!E:E,'사급자재 사용내역'!C44,'센터 자재 사용내역(03월)'!F:F,"불량")</f>
        <v>0</v>
      </c>
      <c r="AT44" s="40">
        <f>SUMIFS('센터 자재 사용내역(04월)'!G:G,'센터 자재 사용내역(04월)'!E:E,'사급자재 사용내역'!C44,'센터 자재 사용내역(04월)'!F:F,"불량")</f>
        <v>1</v>
      </c>
      <c r="AU44" s="40">
        <f>SUMIFS('센터 자재 사용내역(05월)'!G:G,'센터 자재 사용내역(05월)'!E:E,'사급자재 사용내역'!C44,'센터 자재 사용내역(05월)'!F:F,"불량")</f>
        <v>0</v>
      </c>
      <c r="AV44" s="40">
        <f>SUMIFS('센터 자재 사용내역(06월)'!G:G,'센터 자재 사용내역(06월)'!E:E,'사급자재 사용내역'!C44,'센터 자재 사용내역(06월)'!F:F,"불량")</f>
        <v>0</v>
      </c>
      <c r="AW44" s="40">
        <f>SUMIFS('센터 자재 사용내역(07월)'!G:G,'센터 자재 사용내역(07월)'!E:E,'사급자재 사용내역'!C44,'센터 자재 사용내역(07월)'!F:F,"불량")</f>
        <v>0</v>
      </c>
      <c r="AX44" s="40">
        <f>SUMIFS('센터 자재 사용내역(08월)'!G:G,'센터 자재 사용내역(08월)'!E:E,'사급자재 사용내역'!C44,'센터 자재 사용내역(08월)'!F:F,"불량")</f>
        <v>0</v>
      </c>
      <c r="AY44" s="40">
        <f>SUMIFS('센터 자재 사용내역(09월)'!G:G,'센터 자재 사용내역(09월)'!E:E,'사급자재 사용내역'!C44,'센터 자재 사용내역(09월)'!F:F,"불량")</f>
        <v>0</v>
      </c>
      <c r="AZ44" s="40">
        <f>SUMIFS('센터 자재 사용내역(10월)'!G:G,'센터 자재 사용내역(10월)'!E:E,'사급자재 사용내역'!C44,'센터 자재 사용내역(10월)'!F:F,"불량")</f>
        <v>0</v>
      </c>
      <c r="BA44" s="40">
        <f>SUMIFS('센터 자재 사용내역(11월)'!G:G,'센터 자재 사용내역(11월)'!E:E,'사급자재 사용내역'!C44,'센터 자재 사용내역(11월)'!F:F,"불량")</f>
        <v>0</v>
      </c>
      <c r="BB44" s="40">
        <f>SUMIFS('센터 자재 사용내역(12월)'!G:G,'센터 자재 사용내역(12월)'!E:E,'사급자재 사용내역'!C44,'센터 자재 사용내역(12월)'!F:F,"불량")</f>
        <v>0</v>
      </c>
      <c r="BC44" s="40">
        <f t="shared" si="6"/>
        <v>1</v>
      </c>
      <c r="BD44" s="62"/>
    </row>
    <row r="45" spans="2:56" ht="19.5" customHeight="1">
      <c r="B45" s="106" t="s">
        <v>155</v>
      </c>
      <c r="C45" s="22" t="s">
        <v>185</v>
      </c>
      <c r="D45" s="64" t="s">
        <v>90</v>
      </c>
      <c r="E45" s="46">
        <v>1390</v>
      </c>
      <c r="F45" s="47">
        <v>0</v>
      </c>
      <c r="G45" s="46"/>
      <c r="H45" s="78"/>
      <c r="I45" s="90">
        <f t="shared" si="4"/>
        <v>0</v>
      </c>
      <c r="J45" s="89">
        <f t="shared" si="14"/>
        <v>731</v>
      </c>
      <c r="K45" s="78">
        <f t="shared" si="7"/>
        <v>0</v>
      </c>
      <c r="L45" s="84">
        <f t="shared" si="15"/>
        <v>659</v>
      </c>
      <c r="M45" s="79">
        <f>SUMIFS('센터 자재 사용내역(01월)'!G:G,'센터 자재 사용내역(01월)'!E:E,'사급자재 사용내역'!C45,'센터 자재 사용내역(01월)'!F:F,"신규")+SUMIFS('센터 자재 사용내역(01월)'!G:G,'센터 자재 사용내역(01월)'!E:E,'사급자재 사용내역'!C45,'센터 자재 사용내역(01월)'!F:F,"교체")</f>
        <v>25</v>
      </c>
      <c r="N45" s="40">
        <f>SUMIFS('센터 자재 사용내역(02월)'!G:G,'센터 자재 사용내역(02월)'!E:E,'사급자재 사용내역'!C45,'센터 자재 사용내역(02월)'!F:F,"신규")+SUMIFS('센터 자재 사용내역(02월)'!G:G,'센터 자재 사용내역(02월)'!E:E,'사급자재 사용내역'!C45,'센터 자재 사용내역(02월)'!F:F,"교체")</f>
        <v>95</v>
      </c>
      <c r="O45" s="40">
        <f>SUMIFS('센터 자재 사용내역(03월)'!G:G,'센터 자재 사용내역(03월)'!E:E,'사급자재 사용내역'!C45,'센터 자재 사용내역(03월)'!F:F,"신규")+SUMIFS('센터 자재 사용내역(03월)'!G:G,'센터 자재 사용내역(03월)'!E:E,'사급자재 사용내역'!C45,'센터 자재 사용내역(03월)'!F:F,"교체")</f>
        <v>50</v>
      </c>
      <c r="P45" s="40">
        <f>SUMIFS('센터 자재 사용내역(04월)'!G:G,'센터 자재 사용내역(04월)'!E:E,'사급자재 사용내역'!C45,'센터 자재 사용내역(04월)'!F:F,"신규")+SUMIFS('센터 자재 사용내역(04월)'!G:G,'센터 자재 사용내역(04월)'!E:E,'사급자재 사용내역'!C45,'센터 자재 사용내역(04월)'!F:F,"교체")</f>
        <v>0</v>
      </c>
      <c r="Q45" s="40">
        <f>SUMIFS('센터 자재 사용내역(05월)'!G:G,'센터 자재 사용내역(05월)'!E:E,'사급자재 사용내역'!C45,'센터 자재 사용내역(05월)'!F:F,"신규")+SUMIFS('센터 자재 사용내역(05월)'!G:G,'센터 자재 사용내역(05월)'!E:E,'사급자재 사용내역'!C45,'센터 자재 사용내역(05월)'!F:F,"교체")</f>
        <v>15</v>
      </c>
      <c r="R45" s="40">
        <f>SUMIFS('센터 자재 사용내역(06월)'!G:G,'센터 자재 사용내역(06월)'!E:E,'사급자재 사용내역'!C45,'센터 자재 사용내역(06월)'!F:F,"신규")+SUMIFS('센터 자재 사용내역(06월)'!G:G,'센터 자재 사용내역(06월)'!E:E,'사급자재 사용내역'!C45,'센터 자재 사용내역(06월)'!F:F,"교체")</f>
        <v>266</v>
      </c>
      <c r="S45" s="40">
        <f>SUMIFS('센터 자재 사용내역(07월)'!G:G,'센터 자재 사용내역(07월)'!E:E,'사급자재 사용내역'!C45,'센터 자재 사용내역(07월)'!F:F,"신규")+SUMIFS('센터 자재 사용내역(07월)'!G:G,'센터 자재 사용내역(07월)'!E:E,'사급자재 사용내역'!C45,'센터 자재 사용내역(07월)'!F:F,"교체")</f>
        <v>0</v>
      </c>
      <c r="T45" s="40">
        <f>SUMIFS('센터 자재 사용내역(08월)'!G:G,'센터 자재 사용내역(08월)'!E:E,'사급자재 사용내역'!C45,'센터 자재 사용내역(08월)'!F:F,"신규")+SUMIFS('센터 자재 사용내역(08월)'!G:G,'센터 자재 사용내역(08월)'!E:E,'사급자재 사용내역'!C45,'센터 자재 사용내역(08월)'!F:F,"교체")</f>
        <v>280</v>
      </c>
      <c r="U45" s="40">
        <f>SUMIFS('센터 자재 사용내역(09월)'!G:G,'센터 자재 사용내역(09월)'!E:E,'사급자재 사용내역'!C45,'센터 자재 사용내역(09월)'!F:F,"신규")+SUMIFS('센터 자재 사용내역(09월)'!G:G,'센터 자재 사용내역(09월)'!E:E,'사급자재 사용내역'!C45,'센터 자재 사용내역(09월)'!F:F,"교체")</f>
        <v>0</v>
      </c>
      <c r="V45" s="40">
        <f>SUMIFS('센터 자재 사용내역(10월)'!G:G,'센터 자재 사용내역(10월)'!E:E,'사급자재 사용내역'!C45,'센터 자재 사용내역(10월)'!F:F,"신규")+SUMIFS('센터 자재 사용내역(10월)'!G:G,'센터 자재 사용내역(10월)'!E:E,'사급자재 사용내역'!C45,'센터 자재 사용내역(10월)'!F:F,"교체")</f>
        <v>0</v>
      </c>
      <c r="W45" s="40">
        <f>SUMIFS('센터 자재 사용내역(11월)'!G:G,'센터 자재 사용내역(11월)'!E:E,'사급자재 사용내역'!C45,'센터 자재 사용내역(11월)'!F:F,"신규")+SUMIFS('센터 자재 사용내역(11월)'!G:G,'센터 자재 사용내역(11월)'!E:E,'사급자재 사용내역'!C45,'센터 자재 사용내역(11월)'!F:F,"교체")</f>
        <v>0</v>
      </c>
      <c r="X45" s="40">
        <f>SUMIFS('센터 자재 사용내역(12월)'!G:G,'센터 자재 사용내역(12월)'!E:E,'사급자재 사용내역'!C45,'센터 자재 사용내역(12월)'!F:F,"신규")+SUMIFS('센터 자재 사용내역(12월)'!G:G,'센터 자재 사용내역(12월)'!E:E,'사급자재 사용내역'!C45,'센터 자재 사용내역(12월)'!F:F,"교체")</f>
        <v>0</v>
      </c>
      <c r="Y45" s="40">
        <f t="shared" si="16"/>
        <v>731</v>
      </c>
      <c r="Z45" s="52"/>
      <c r="AB45" s="56"/>
      <c r="AC45" s="29"/>
      <c r="AD45" s="29"/>
      <c r="AE45" s="29"/>
      <c r="AF45" s="29"/>
      <c r="AG45" s="29"/>
      <c r="AH45" s="29"/>
      <c r="AI45" s="29"/>
      <c r="AJ45" s="29"/>
      <c r="AK45" s="29"/>
      <c r="AL45" s="29"/>
      <c r="AM45" s="29"/>
      <c r="AN45" s="21">
        <f t="shared" si="17"/>
        <v>0</v>
      </c>
      <c r="AO45" s="57"/>
      <c r="AQ45" s="61">
        <f>SUMIFS('센터 자재 사용내역(01월)'!G:G,'센터 자재 사용내역(01월)'!E:E,'사급자재 사용내역'!C45,'센터 자재 사용내역(01월)'!F:F,"불량")</f>
        <v>0</v>
      </c>
      <c r="AR45" s="40">
        <f>SUMIFS('센터 자재 사용내역(02월)'!G:G,'센터 자재 사용내역(02월)'!E:E,'사급자재 사용내역'!C45,'센터 자재 사용내역(02월)'!F:F,"불량")</f>
        <v>0</v>
      </c>
      <c r="AS45" s="40">
        <f>SUMIFS('센터 자재 사용내역(03월)'!G:G,'센터 자재 사용내역(03월)'!E:E,'사급자재 사용내역'!C45,'센터 자재 사용내역(03월)'!F:F,"불량")</f>
        <v>0</v>
      </c>
      <c r="AT45" s="40">
        <f>SUMIFS('센터 자재 사용내역(04월)'!G:G,'센터 자재 사용내역(04월)'!E:E,'사급자재 사용내역'!C45,'센터 자재 사용내역(04월)'!F:F,"불량")</f>
        <v>0</v>
      </c>
      <c r="AU45" s="40">
        <f>SUMIFS('센터 자재 사용내역(05월)'!G:G,'센터 자재 사용내역(05월)'!E:E,'사급자재 사용내역'!C45,'센터 자재 사용내역(05월)'!F:F,"불량")</f>
        <v>0</v>
      </c>
      <c r="AV45" s="40">
        <f>SUMIFS('센터 자재 사용내역(06월)'!G:G,'센터 자재 사용내역(06월)'!E:E,'사급자재 사용내역'!C45,'센터 자재 사용내역(06월)'!F:F,"불량")</f>
        <v>0</v>
      </c>
      <c r="AW45" s="40">
        <f>SUMIFS('센터 자재 사용내역(07월)'!G:G,'센터 자재 사용내역(07월)'!E:E,'사급자재 사용내역'!C45,'센터 자재 사용내역(07월)'!F:F,"불량")</f>
        <v>0</v>
      </c>
      <c r="AX45" s="40">
        <f>SUMIFS('센터 자재 사용내역(08월)'!G:G,'센터 자재 사용내역(08월)'!E:E,'사급자재 사용내역'!C45,'센터 자재 사용내역(08월)'!F:F,"불량")</f>
        <v>0</v>
      </c>
      <c r="AY45" s="40">
        <f>SUMIFS('센터 자재 사용내역(09월)'!G:G,'센터 자재 사용내역(09월)'!E:E,'사급자재 사용내역'!C45,'센터 자재 사용내역(09월)'!F:F,"불량")</f>
        <v>0</v>
      </c>
      <c r="AZ45" s="40">
        <f>SUMIFS('센터 자재 사용내역(10월)'!G:G,'센터 자재 사용내역(10월)'!E:E,'사급자재 사용내역'!C45,'센터 자재 사용내역(10월)'!F:F,"불량")</f>
        <v>0</v>
      </c>
      <c r="BA45" s="40">
        <f>SUMIFS('센터 자재 사용내역(11월)'!G:G,'센터 자재 사용내역(11월)'!E:E,'사급자재 사용내역'!C45,'센터 자재 사용내역(11월)'!F:F,"불량")</f>
        <v>0</v>
      </c>
      <c r="BB45" s="40">
        <f>SUMIFS('센터 자재 사용내역(12월)'!G:G,'센터 자재 사용내역(12월)'!E:E,'사급자재 사용내역'!C45,'센터 자재 사용내역(12월)'!F:F,"불량")</f>
        <v>0</v>
      </c>
      <c r="BC45" s="40">
        <f t="shared" si="6"/>
        <v>0</v>
      </c>
      <c r="BD45" s="62"/>
    </row>
    <row r="46" spans="2:56" ht="19.5" customHeight="1">
      <c r="B46" s="107"/>
      <c r="C46" s="22" t="s">
        <v>86</v>
      </c>
      <c r="D46" s="64" t="s">
        <v>90</v>
      </c>
      <c r="E46" s="46">
        <v>1953</v>
      </c>
      <c r="F46" s="47">
        <v>0</v>
      </c>
      <c r="G46" s="46"/>
      <c r="H46" s="78"/>
      <c r="I46" s="90">
        <f t="shared" si="4"/>
        <v>0</v>
      </c>
      <c r="J46" s="89">
        <f t="shared" si="14"/>
        <v>1953</v>
      </c>
      <c r="K46" s="78">
        <f t="shared" si="7"/>
        <v>2100</v>
      </c>
      <c r="L46" s="84">
        <f t="shared" si="15"/>
        <v>2100</v>
      </c>
      <c r="M46" s="79">
        <f>SUMIFS('센터 자재 사용내역(01월)'!G:G,'센터 자재 사용내역(01월)'!E:E,'사급자재 사용내역'!C46,'센터 자재 사용내역(01월)'!F:F,"신규")+SUMIFS('센터 자재 사용내역(01월)'!G:G,'센터 자재 사용내역(01월)'!E:E,'사급자재 사용내역'!C46,'센터 자재 사용내역(01월)'!F:F,"교체")</f>
        <v>490</v>
      </c>
      <c r="N46" s="40">
        <f>SUMIFS('센터 자재 사용내역(02월)'!G:G,'센터 자재 사용내역(02월)'!E:E,'사급자재 사용내역'!C46,'센터 자재 사용내역(02월)'!F:F,"신규")+SUMIFS('센터 자재 사용내역(02월)'!G:G,'센터 자재 사용내역(02월)'!E:E,'사급자재 사용내역'!C46,'센터 자재 사용내역(02월)'!F:F,"교체")</f>
        <v>180</v>
      </c>
      <c r="O46" s="40">
        <f>SUMIFS('센터 자재 사용내역(03월)'!G:G,'센터 자재 사용내역(03월)'!E:E,'사급자재 사용내역'!C46,'센터 자재 사용내역(03월)'!F:F,"신규")+SUMIFS('센터 자재 사용내역(03월)'!G:G,'센터 자재 사용내역(03월)'!E:E,'사급자재 사용내역'!C46,'센터 자재 사용내역(03월)'!F:F,"교체")</f>
        <v>60</v>
      </c>
      <c r="P46" s="40">
        <f>SUMIFS('센터 자재 사용내역(04월)'!G:G,'센터 자재 사용내역(04월)'!E:E,'사급자재 사용내역'!C46,'센터 자재 사용내역(04월)'!F:F,"신규")+SUMIFS('센터 자재 사용내역(04월)'!G:G,'센터 자재 사용내역(04월)'!E:E,'사급자재 사용내역'!C46,'센터 자재 사용내역(04월)'!F:F,"교체")</f>
        <v>755</v>
      </c>
      <c r="Q46" s="40">
        <f>SUMIFS('센터 자재 사용내역(05월)'!G:G,'센터 자재 사용내역(05월)'!E:E,'사급자재 사용내역'!C46,'센터 자재 사용내역(05월)'!F:F,"신규")+SUMIFS('센터 자재 사용내역(05월)'!G:G,'센터 자재 사용내역(05월)'!E:E,'사급자재 사용내역'!C46,'센터 자재 사용내역(05월)'!F:F,"교체")</f>
        <v>468</v>
      </c>
      <c r="R46" s="40">
        <f>SUMIFS('센터 자재 사용내역(06월)'!G:G,'센터 자재 사용내역(06월)'!E:E,'사급자재 사용내역'!C46,'센터 자재 사용내역(06월)'!F:F,"신규")+SUMIFS('센터 자재 사용내역(06월)'!G:G,'센터 자재 사용내역(06월)'!E:E,'사급자재 사용내역'!C46,'센터 자재 사용내역(06월)'!F:F,"교체")</f>
        <v>0</v>
      </c>
      <c r="S46" s="40">
        <f>SUMIFS('센터 자재 사용내역(07월)'!G:G,'센터 자재 사용내역(07월)'!E:E,'사급자재 사용내역'!C46,'센터 자재 사용내역(07월)'!F:F,"신규")+SUMIFS('센터 자재 사용내역(07월)'!G:G,'센터 자재 사용내역(07월)'!E:E,'사급자재 사용내역'!C46,'센터 자재 사용내역(07월)'!F:F,"교체")</f>
        <v>0</v>
      </c>
      <c r="T46" s="40">
        <f>SUMIFS('센터 자재 사용내역(08월)'!G:G,'센터 자재 사용내역(08월)'!E:E,'사급자재 사용내역'!C46,'센터 자재 사용내역(08월)'!F:F,"신규")+SUMIFS('센터 자재 사용내역(08월)'!G:G,'센터 자재 사용내역(08월)'!E:E,'사급자재 사용내역'!C46,'센터 자재 사용내역(08월)'!F:F,"교체")</f>
        <v>0</v>
      </c>
      <c r="U46" s="40">
        <f>SUMIFS('센터 자재 사용내역(09월)'!G:G,'센터 자재 사용내역(09월)'!E:E,'사급자재 사용내역'!C46,'센터 자재 사용내역(09월)'!F:F,"신규")+SUMIFS('센터 자재 사용내역(09월)'!G:G,'센터 자재 사용내역(09월)'!E:E,'사급자재 사용내역'!C46,'센터 자재 사용내역(09월)'!F:F,"교체")</f>
        <v>0</v>
      </c>
      <c r="V46" s="40">
        <f>SUMIFS('센터 자재 사용내역(10월)'!G:G,'센터 자재 사용내역(10월)'!E:E,'사급자재 사용내역'!C46,'센터 자재 사용내역(10월)'!F:F,"신규")+SUMIFS('센터 자재 사용내역(10월)'!G:G,'센터 자재 사용내역(10월)'!E:E,'사급자재 사용내역'!C46,'센터 자재 사용내역(10월)'!F:F,"교체")</f>
        <v>0</v>
      </c>
      <c r="W46" s="40">
        <f>SUMIFS('센터 자재 사용내역(11월)'!G:G,'센터 자재 사용내역(11월)'!E:E,'사급자재 사용내역'!C46,'센터 자재 사용내역(11월)'!F:F,"신규")+SUMIFS('센터 자재 사용내역(11월)'!G:G,'센터 자재 사용내역(11월)'!E:E,'사급자재 사용내역'!C46,'센터 자재 사용내역(11월)'!F:F,"교체")</f>
        <v>0</v>
      </c>
      <c r="X46" s="40">
        <f>SUMIFS('센터 자재 사용내역(12월)'!G:G,'센터 자재 사용내역(12월)'!E:E,'사급자재 사용내역'!C46,'센터 자재 사용내역(12월)'!F:F,"신규")+SUMIFS('센터 자재 사용내역(12월)'!G:G,'센터 자재 사용내역(12월)'!E:E,'사급자재 사용내역'!C46,'센터 자재 사용내역(12월)'!F:F,"교체")</f>
        <v>0</v>
      </c>
      <c r="Y46" s="40">
        <f t="shared" si="16"/>
        <v>1953</v>
      </c>
      <c r="Z46" s="52"/>
      <c r="AB46" s="56"/>
      <c r="AC46" s="29"/>
      <c r="AD46" s="29"/>
      <c r="AE46" s="29"/>
      <c r="AF46" s="29"/>
      <c r="AG46" s="29"/>
      <c r="AH46" s="29"/>
      <c r="AI46" s="29">
        <v>2100</v>
      </c>
      <c r="AJ46" s="29"/>
      <c r="AK46" s="29"/>
      <c r="AL46" s="29"/>
      <c r="AM46" s="29"/>
      <c r="AN46" s="21">
        <f t="shared" si="17"/>
        <v>2100</v>
      </c>
      <c r="AO46" s="57"/>
      <c r="AQ46" s="61">
        <f>SUMIFS('센터 자재 사용내역(01월)'!G:G,'센터 자재 사용내역(01월)'!E:E,'사급자재 사용내역'!C46,'센터 자재 사용내역(01월)'!F:F,"불량")</f>
        <v>0</v>
      </c>
      <c r="AR46" s="40">
        <f>SUMIFS('센터 자재 사용내역(02월)'!G:G,'센터 자재 사용내역(02월)'!E:E,'사급자재 사용내역'!C46,'센터 자재 사용내역(02월)'!F:F,"불량")</f>
        <v>0</v>
      </c>
      <c r="AS46" s="40">
        <f>SUMIFS('센터 자재 사용내역(03월)'!G:G,'센터 자재 사용내역(03월)'!E:E,'사급자재 사용내역'!C46,'센터 자재 사용내역(03월)'!F:F,"불량")</f>
        <v>0</v>
      </c>
      <c r="AT46" s="40">
        <f>SUMIFS('센터 자재 사용내역(04월)'!G:G,'센터 자재 사용내역(04월)'!E:E,'사급자재 사용내역'!C46,'센터 자재 사용내역(04월)'!F:F,"불량")</f>
        <v>0</v>
      </c>
      <c r="AU46" s="40">
        <f>SUMIFS('센터 자재 사용내역(05월)'!G:G,'센터 자재 사용내역(05월)'!E:E,'사급자재 사용내역'!C46,'센터 자재 사용내역(05월)'!F:F,"불량")</f>
        <v>0</v>
      </c>
      <c r="AV46" s="40">
        <f>SUMIFS('센터 자재 사용내역(06월)'!G:G,'센터 자재 사용내역(06월)'!E:E,'사급자재 사용내역'!C46,'센터 자재 사용내역(06월)'!F:F,"불량")</f>
        <v>0</v>
      </c>
      <c r="AW46" s="40">
        <f>SUMIFS('센터 자재 사용내역(07월)'!G:G,'센터 자재 사용내역(07월)'!E:E,'사급자재 사용내역'!C46,'센터 자재 사용내역(07월)'!F:F,"불량")</f>
        <v>0</v>
      </c>
      <c r="AX46" s="40">
        <f>SUMIFS('센터 자재 사용내역(08월)'!G:G,'센터 자재 사용내역(08월)'!E:E,'사급자재 사용내역'!C46,'센터 자재 사용내역(08월)'!F:F,"불량")</f>
        <v>0</v>
      </c>
      <c r="AY46" s="40">
        <f>SUMIFS('센터 자재 사용내역(09월)'!G:G,'센터 자재 사용내역(09월)'!E:E,'사급자재 사용내역'!C46,'센터 자재 사용내역(09월)'!F:F,"불량")</f>
        <v>0</v>
      </c>
      <c r="AZ46" s="40">
        <f>SUMIFS('센터 자재 사용내역(10월)'!G:G,'센터 자재 사용내역(10월)'!E:E,'사급자재 사용내역'!C46,'센터 자재 사용내역(10월)'!F:F,"불량")</f>
        <v>0</v>
      </c>
      <c r="BA46" s="40">
        <f>SUMIFS('센터 자재 사용내역(11월)'!G:G,'센터 자재 사용내역(11월)'!E:E,'사급자재 사용내역'!C46,'센터 자재 사용내역(11월)'!F:F,"불량")</f>
        <v>0</v>
      </c>
      <c r="BB46" s="40">
        <f>SUMIFS('센터 자재 사용내역(12월)'!G:G,'센터 자재 사용내역(12월)'!E:E,'사급자재 사용내역'!C46,'센터 자재 사용내역(12월)'!F:F,"불량")</f>
        <v>0</v>
      </c>
      <c r="BC46" s="40">
        <f t="shared" si="6"/>
        <v>0</v>
      </c>
      <c r="BD46" s="62"/>
    </row>
    <row r="47" spans="2:56" ht="19.5" customHeight="1">
      <c r="B47" s="107"/>
      <c r="C47" s="22" t="s">
        <v>87</v>
      </c>
      <c r="D47" s="64" t="s">
        <v>90</v>
      </c>
      <c r="E47" s="46">
        <v>247</v>
      </c>
      <c r="F47" s="47">
        <v>0</v>
      </c>
      <c r="G47" s="46"/>
      <c r="H47" s="78"/>
      <c r="I47" s="90">
        <f t="shared" si="4"/>
        <v>0</v>
      </c>
      <c r="J47" s="89">
        <f t="shared" ref="J47:J63" si="18">Y47</f>
        <v>1447</v>
      </c>
      <c r="K47" s="78">
        <f t="shared" si="7"/>
        <v>1200</v>
      </c>
      <c r="L47" s="84">
        <f t="shared" si="15"/>
        <v>0</v>
      </c>
      <c r="M47" s="79">
        <f>SUMIFS('센터 자재 사용내역(01월)'!G:G,'센터 자재 사용내역(01월)'!E:E,'사급자재 사용내역'!C47,'센터 자재 사용내역(01월)'!F:F,"신규")+SUMIFS('센터 자재 사용내역(01월)'!G:G,'센터 자재 사용내역(01월)'!E:E,'사급자재 사용내역'!C47,'센터 자재 사용내역(01월)'!F:F,"교체")</f>
        <v>0</v>
      </c>
      <c r="N47" s="40">
        <f>SUMIFS('센터 자재 사용내역(02월)'!G:G,'센터 자재 사용내역(02월)'!E:E,'사급자재 사용내역'!C47,'센터 자재 사용내역(02월)'!F:F,"신규")+SUMIFS('센터 자재 사용내역(02월)'!G:G,'센터 자재 사용내역(02월)'!E:E,'사급자재 사용내역'!C47,'센터 자재 사용내역(02월)'!F:F,"교체")</f>
        <v>0</v>
      </c>
      <c r="O47" s="40">
        <f>SUMIFS('센터 자재 사용내역(03월)'!G:G,'센터 자재 사용내역(03월)'!E:E,'사급자재 사용내역'!C47,'센터 자재 사용내역(03월)'!F:F,"신규")+SUMIFS('센터 자재 사용내역(03월)'!G:G,'센터 자재 사용내역(03월)'!E:E,'사급자재 사용내역'!C47,'센터 자재 사용내역(03월)'!F:F,"교체")</f>
        <v>247</v>
      </c>
      <c r="P47" s="40">
        <f>SUMIFS('센터 자재 사용내역(04월)'!G:G,'센터 자재 사용내역(04월)'!E:E,'사급자재 사용내역'!C47,'센터 자재 사용내역(04월)'!F:F,"신규")+SUMIFS('센터 자재 사용내역(04월)'!G:G,'센터 자재 사용내역(04월)'!E:E,'사급자재 사용내역'!C47,'센터 자재 사용내역(04월)'!F:F,"교체")</f>
        <v>0</v>
      </c>
      <c r="Q47" s="40">
        <f>SUMIFS('센터 자재 사용내역(05월)'!G:G,'센터 자재 사용내역(05월)'!E:E,'사급자재 사용내역'!C47,'센터 자재 사용내역(05월)'!F:F,"신규")+SUMIFS('센터 자재 사용내역(05월)'!G:G,'센터 자재 사용내역(05월)'!E:E,'사급자재 사용내역'!C47,'센터 자재 사용내역(05월)'!F:F,"교체")</f>
        <v>0</v>
      </c>
      <c r="R47" s="40">
        <f>SUMIFS('센터 자재 사용내역(06월)'!G:G,'센터 자재 사용내역(06월)'!E:E,'사급자재 사용내역'!C47,'센터 자재 사용내역(06월)'!F:F,"신규")+SUMIFS('센터 자재 사용내역(06월)'!G:G,'센터 자재 사용내역(06월)'!E:E,'사급자재 사용내역'!C47,'센터 자재 사용내역(06월)'!F:F,"교체")</f>
        <v>515</v>
      </c>
      <c r="S47" s="40">
        <f>SUMIFS('센터 자재 사용내역(07월)'!G:G,'센터 자재 사용내역(07월)'!E:E,'사급자재 사용내역'!C47,'센터 자재 사용내역(07월)'!F:F,"신규")+SUMIFS('센터 자재 사용내역(07월)'!G:G,'센터 자재 사용내역(07월)'!E:E,'사급자재 사용내역'!C47,'센터 자재 사용내역(07월)'!F:F,"교체")</f>
        <v>685</v>
      </c>
      <c r="T47" s="40">
        <f>SUMIFS('센터 자재 사용내역(08월)'!G:G,'센터 자재 사용내역(08월)'!E:E,'사급자재 사용내역'!C47,'센터 자재 사용내역(08월)'!F:F,"신규")+SUMIFS('센터 자재 사용내역(08월)'!G:G,'센터 자재 사용내역(08월)'!E:E,'사급자재 사용내역'!C47,'센터 자재 사용내역(08월)'!F:F,"교체")</f>
        <v>0</v>
      </c>
      <c r="U47" s="40">
        <f>SUMIFS('센터 자재 사용내역(09월)'!G:G,'센터 자재 사용내역(09월)'!E:E,'사급자재 사용내역'!C47,'센터 자재 사용내역(09월)'!F:F,"신규")+SUMIFS('센터 자재 사용내역(09월)'!G:G,'센터 자재 사용내역(09월)'!E:E,'사급자재 사용내역'!C47,'센터 자재 사용내역(09월)'!F:F,"교체")</f>
        <v>0</v>
      </c>
      <c r="V47" s="40">
        <f>SUMIFS('센터 자재 사용내역(10월)'!G:G,'센터 자재 사용내역(10월)'!E:E,'사급자재 사용내역'!C47,'센터 자재 사용내역(10월)'!F:F,"신규")+SUMIFS('센터 자재 사용내역(10월)'!G:G,'센터 자재 사용내역(10월)'!E:E,'사급자재 사용내역'!C47,'센터 자재 사용내역(10월)'!F:F,"교체")</f>
        <v>0</v>
      </c>
      <c r="W47" s="40">
        <f>SUMIFS('센터 자재 사용내역(11월)'!G:G,'센터 자재 사용내역(11월)'!E:E,'사급자재 사용내역'!C47,'센터 자재 사용내역(11월)'!F:F,"신규")+SUMIFS('센터 자재 사용내역(11월)'!G:G,'센터 자재 사용내역(11월)'!E:E,'사급자재 사용내역'!C47,'센터 자재 사용내역(11월)'!F:F,"교체")</f>
        <v>0</v>
      </c>
      <c r="X47" s="40">
        <f>SUMIFS('센터 자재 사용내역(12월)'!G:G,'센터 자재 사용내역(12월)'!E:E,'사급자재 사용내역'!C47,'센터 자재 사용내역(12월)'!F:F,"신규")+SUMIFS('센터 자재 사용내역(12월)'!G:G,'센터 자재 사용내역(12월)'!E:E,'사급자재 사용내역'!C47,'센터 자재 사용내역(12월)'!F:F,"교체")</f>
        <v>0</v>
      </c>
      <c r="Y47" s="40">
        <f t="shared" si="16"/>
        <v>1447</v>
      </c>
      <c r="Z47" s="52"/>
      <c r="AB47" s="56"/>
      <c r="AC47" s="29"/>
      <c r="AD47" s="29"/>
      <c r="AE47" s="29"/>
      <c r="AF47" s="29"/>
      <c r="AG47" s="29">
        <v>1200</v>
      </c>
      <c r="AH47" s="29"/>
      <c r="AI47" s="29"/>
      <c r="AJ47" s="29"/>
      <c r="AK47" s="29"/>
      <c r="AL47" s="29"/>
      <c r="AM47" s="29"/>
      <c r="AN47" s="21">
        <f t="shared" si="17"/>
        <v>1200</v>
      </c>
      <c r="AO47" s="57"/>
      <c r="AQ47" s="61">
        <f>SUMIFS('센터 자재 사용내역(01월)'!G:G,'센터 자재 사용내역(01월)'!E:E,'사급자재 사용내역'!C47,'센터 자재 사용내역(01월)'!F:F,"불량")</f>
        <v>0</v>
      </c>
      <c r="AR47" s="40">
        <f>SUMIFS('센터 자재 사용내역(02월)'!G:G,'센터 자재 사용내역(02월)'!E:E,'사급자재 사용내역'!C47,'센터 자재 사용내역(02월)'!F:F,"불량")</f>
        <v>0</v>
      </c>
      <c r="AS47" s="40">
        <f>SUMIFS('센터 자재 사용내역(03월)'!G:G,'센터 자재 사용내역(03월)'!E:E,'사급자재 사용내역'!C47,'센터 자재 사용내역(03월)'!F:F,"불량")</f>
        <v>0</v>
      </c>
      <c r="AT47" s="40">
        <f>SUMIFS('센터 자재 사용내역(04월)'!G:G,'센터 자재 사용내역(04월)'!E:E,'사급자재 사용내역'!C47,'센터 자재 사용내역(04월)'!F:F,"불량")</f>
        <v>0</v>
      </c>
      <c r="AU47" s="40">
        <f>SUMIFS('센터 자재 사용내역(05월)'!G:G,'센터 자재 사용내역(05월)'!E:E,'사급자재 사용내역'!C47,'센터 자재 사용내역(05월)'!F:F,"불량")</f>
        <v>0</v>
      </c>
      <c r="AV47" s="40">
        <f>SUMIFS('센터 자재 사용내역(06월)'!G:G,'센터 자재 사용내역(06월)'!E:E,'사급자재 사용내역'!C47,'센터 자재 사용내역(06월)'!F:F,"불량")</f>
        <v>0</v>
      </c>
      <c r="AW47" s="40">
        <f>SUMIFS('센터 자재 사용내역(07월)'!G:G,'센터 자재 사용내역(07월)'!E:E,'사급자재 사용내역'!C47,'센터 자재 사용내역(07월)'!F:F,"불량")</f>
        <v>0</v>
      </c>
      <c r="AX47" s="40">
        <f>SUMIFS('센터 자재 사용내역(08월)'!G:G,'센터 자재 사용내역(08월)'!E:E,'사급자재 사용내역'!C47,'센터 자재 사용내역(08월)'!F:F,"불량")</f>
        <v>0</v>
      </c>
      <c r="AY47" s="40">
        <f>SUMIFS('센터 자재 사용내역(09월)'!G:G,'센터 자재 사용내역(09월)'!E:E,'사급자재 사용내역'!C47,'센터 자재 사용내역(09월)'!F:F,"불량")</f>
        <v>0</v>
      </c>
      <c r="AZ47" s="40">
        <f>SUMIFS('센터 자재 사용내역(10월)'!G:G,'센터 자재 사용내역(10월)'!E:E,'사급자재 사용내역'!C47,'센터 자재 사용내역(10월)'!F:F,"불량")</f>
        <v>0</v>
      </c>
      <c r="BA47" s="40">
        <f>SUMIFS('센터 자재 사용내역(11월)'!G:G,'센터 자재 사용내역(11월)'!E:E,'사급자재 사용내역'!C47,'센터 자재 사용내역(11월)'!F:F,"불량")</f>
        <v>0</v>
      </c>
      <c r="BB47" s="40">
        <f>SUMIFS('센터 자재 사용내역(12월)'!G:G,'센터 자재 사용내역(12월)'!E:E,'사급자재 사용내역'!C47,'센터 자재 사용내역(12월)'!F:F,"불량")</f>
        <v>0</v>
      </c>
      <c r="BC47" s="40">
        <f t="shared" si="6"/>
        <v>0</v>
      </c>
      <c r="BD47" s="62"/>
    </row>
    <row r="48" spans="2:56" ht="19.5" customHeight="1">
      <c r="B48" s="107"/>
      <c r="C48" s="22" t="s">
        <v>88</v>
      </c>
      <c r="D48" s="64" t="s">
        <v>90</v>
      </c>
      <c r="E48" s="46">
        <v>450</v>
      </c>
      <c r="F48" s="47">
        <v>0</v>
      </c>
      <c r="G48" s="46"/>
      <c r="H48" s="78"/>
      <c r="I48" s="90">
        <f t="shared" si="4"/>
        <v>0</v>
      </c>
      <c r="J48" s="89">
        <f t="shared" si="18"/>
        <v>3650</v>
      </c>
      <c r="K48" s="78">
        <f t="shared" si="7"/>
        <v>3200</v>
      </c>
      <c r="L48" s="84">
        <f t="shared" si="15"/>
        <v>0</v>
      </c>
      <c r="M48" s="79">
        <f>SUMIFS('센터 자재 사용내역(01월)'!G:G,'센터 자재 사용내역(01월)'!E:E,'사급자재 사용내역'!C48,'센터 자재 사용내역(01월)'!F:F,"신규")+SUMIFS('센터 자재 사용내역(01월)'!G:G,'센터 자재 사용내역(01월)'!E:E,'사급자재 사용내역'!C48,'센터 자재 사용내역(01월)'!F:F,"교체")</f>
        <v>0</v>
      </c>
      <c r="N48" s="40">
        <f>SUMIFS('센터 자재 사용내역(02월)'!G:G,'센터 자재 사용내역(02월)'!E:E,'사급자재 사용내역'!C48,'센터 자재 사용내역(02월)'!F:F,"신규")+SUMIFS('센터 자재 사용내역(02월)'!G:G,'센터 자재 사용내역(02월)'!E:E,'사급자재 사용내역'!C48,'센터 자재 사용내역(02월)'!F:F,"교체")</f>
        <v>0</v>
      </c>
      <c r="O48" s="40">
        <f>SUMIFS('센터 자재 사용내역(03월)'!G:G,'센터 자재 사용내역(03월)'!E:E,'사급자재 사용내역'!C48,'센터 자재 사용내역(03월)'!F:F,"신규")+SUMIFS('센터 자재 사용내역(03월)'!G:G,'센터 자재 사용내역(03월)'!E:E,'사급자재 사용내역'!C48,'센터 자재 사용내역(03월)'!F:F,"교체")</f>
        <v>150</v>
      </c>
      <c r="P48" s="40">
        <f>SUMIFS('센터 자재 사용내역(04월)'!G:G,'센터 자재 사용내역(04월)'!E:E,'사급자재 사용내역'!C48,'센터 자재 사용내역(04월)'!F:F,"신규")+SUMIFS('센터 자재 사용내역(04월)'!G:G,'센터 자재 사용내역(04월)'!E:E,'사급자재 사용내역'!C48,'센터 자재 사용내역(04월)'!F:F,"교체")</f>
        <v>0</v>
      </c>
      <c r="Q48" s="40">
        <f>SUMIFS('센터 자재 사용내역(05월)'!G:G,'센터 자재 사용내역(05월)'!E:E,'사급자재 사용내역'!C48,'센터 자재 사용내역(05월)'!F:F,"신규")+SUMIFS('센터 자재 사용내역(05월)'!G:G,'센터 자재 사용내역(05월)'!E:E,'사급자재 사용내역'!C48,'센터 자재 사용내역(05월)'!F:F,"교체")</f>
        <v>1500</v>
      </c>
      <c r="R48" s="40">
        <f>SUMIFS('센터 자재 사용내역(06월)'!G:G,'센터 자재 사용내역(06월)'!E:E,'사급자재 사용내역'!C48,'센터 자재 사용내역(06월)'!F:F,"신규")+SUMIFS('센터 자재 사용내역(06월)'!G:G,'센터 자재 사용내역(06월)'!E:E,'사급자재 사용내역'!C48,'센터 자재 사용내역(06월)'!F:F,"교체")</f>
        <v>1060</v>
      </c>
      <c r="S48" s="40">
        <f>SUMIFS('센터 자재 사용내역(07월)'!G:G,'센터 자재 사용내역(07월)'!E:E,'사급자재 사용내역'!C48,'센터 자재 사용내역(07월)'!F:F,"신규")+SUMIFS('센터 자재 사용내역(07월)'!G:G,'센터 자재 사용내역(07월)'!E:E,'사급자재 사용내역'!C48,'센터 자재 사용내역(07월)'!F:F,"교체")</f>
        <v>800</v>
      </c>
      <c r="T48" s="40">
        <f>SUMIFS('센터 자재 사용내역(08월)'!G:G,'센터 자재 사용내역(08월)'!E:E,'사급자재 사용내역'!C48,'센터 자재 사용내역(08월)'!F:F,"신규")+SUMIFS('센터 자재 사용내역(08월)'!G:G,'센터 자재 사용내역(08월)'!E:E,'사급자재 사용내역'!C48,'센터 자재 사용내역(08월)'!F:F,"교체")</f>
        <v>140</v>
      </c>
      <c r="U48" s="40">
        <f>SUMIFS('센터 자재 사용내역(09월)'!G:G,'센터 자재 사용내역(09월)'!E:E,'사급자재 사용내역'!C48,'센터 자재 사용내역(09월)'!F:F,"신규")+SUMIFS('센터 자재 사용내역(09월)'!G:G,'센터 자재 사용내역(09월)'!E:E,'사급자재 사용내역'!C48,'센터 자재 사용내역(09월)'!F:F,"교체")</f>
        <v>0</v>
      </c>
      <c r="V48" s="40">
        <f>SUMIFS('센터 자재 사용내역(10월)'!G:G,'센터 자재 사용내역(10월)'!E:E,'사급자재 사용내역'!C48,'센터 자재 사용내역(10월)'!F:F,"신규")+SUMIFS('센터 자재 사용내역(10월)'!G:G,'센터 자재 사용내역(10월)'!E:E,'사급자재 사용내역'!C48,'센터 자재 사용내역(10월)'!F:F,"교체")</f>
        <v>0</v>
      </c>
      <c r="W48" s="40">
        <f>SUMIFS('센터 자재 사용내역(11월)'!G:G,'센터 자재 사용내역(11월)'!E:E,'사급자재 사용내역'!C48,'센터 자재 사용내역(11월)'!F:F,"신규")+SUMIFS('센터 자재 사용내역(11월)'!G:G,'센터 자재 사용내역(11월)'!E:E,'사급자재 사용내역'!C48,'센터 자재 사용내역(11월)'!F:F,"교체")</f>
        <v>0</v>
      </c>
      <c r="X48" s="40">
        <f>SUMIFS('센터 자재 사용내역(12월)'!G:G,'센터 자재 사용내역(12월)'!E:E,'사급자재 사용내역'!C48,'센터 자재 사용내역(12월)'!F:F,"신규")+SUMIFS('센터 자재 사용내역(12월)'!G:G,'센터 자재 사용내역(12월)'!E:E,'사급자재 사용내역'!C48,'센터 자재 사용내역(12월)'!F:F,"교체")</f>
        <v>0</v>
      </c>
      <c r="Y48" s="40">
        <f t="shared" si="16"/>
        <v>3650</v>
      </c>
      <c r="Z48" s="52"/>
      <c r="AB48" s="56"/>
      <c r="AC48" s="29">
        <v>1200</v>
      </c>
      <c r="AD48" s="29"/>
      <c r="AE48" s="29"/>
      <c r="AF48" s="29"/>
      <c r="AG48" s="29">
        <v>2000</v>
      </c>
      <c r="AH48" s="29"/>
      <c r="AI48" s="29"/>
      <c r="AJ48" s="29"/>
      <c r="AK48" s="29"/>
      <c r="AL48" s="29"/>
      <c r="AM48" s="29"/>
      <c r="AN48" s="21">
        <f t="shared" si="17"/>
        <v>3200</v>
      </c>
      <c r="AO48" s="57"/>
      <c r="AQ48" s="61">
        <f>SUMIFS('센터 자재 사용내역(01월)'!G:G,'센터 자재 사용내역(01월)'!E:E,'사급자재 사용내역'!C48,'센터 자재 사용내역(01월)'!F:F,"불량")</f>
        <v>0</v>
      </c>
      <c r="AR48" s="40">
        <f>SUMIFS('센터 자재 사용내역(02월)'!G:G,'센터 자재 사용내역(02월)'!E:E,'사급자재 사용내역'!C48,'센터 자재 사용내역(02월)'!F:F,"불량")</f>
        <v>0</v>
      </c>
      <c r="AS48" s="40">
        <f>SUMIFS('센터 자재 사용내역(03월)'!G:G,'센터 자재 사용내역(03월)'!E:E,'사급자재 사용내역'!C48,'센터 자재 사용내역(03월)'!F:F,"불량")</f>
        <v>0</v>
      </c>
      <c r="AT48" s="40">
        <f>SUMIFS('센터 자재 사용내역(04월)'!G:G,'센터 자재 사용내역(04월)'!E:E,'사급자재 사용내역'!C48,'센터 자재 사용내역(04월)'!F:F,"불량")</f>
        <v>0</v>
      </c>
      <c r="AU48" s="40">
        <f>SUMIFS('센터 자재 사용내역(05월)'!G:G,'센터 자재 사용내역(05월)'!E:E,'사급자재 사용내역'!C48,'센터 자재 사용내역(05월)'!F:F,"불량")</f>
        <v>0</v>
      </c>
      <c r="AV48" s="40">
        <f>SUMIFS('센터 자재 사용내역(06월)'!G:G,'센터 자재 사용내역(06월)'!E:E,'사급자재 사용내역'!C48,'센터 자재 사용내역(06월)'!F:F,"불량")</f>
        <v>0</v>
      </c>
      <c r="AW48" s="40">
        <f>SUMIFS('센터 자재 사용내역(07월)'!G:G,'센터 자재 사용내역(07월)'!E:E,'사급자재 사용내역'!C48,'센터 자재 사용내역(07월)'!F:F,"불량")</f>
        <v>0</v>
      </c>
      <c r="AX48" s="40">
        <f>SUMIFS('센터 자재 사용내역(08월)'!G:G,'센터 자재 사용내역(08월)'!E:E,'사급자재 사용내역'!C48,'센터 자재 사용내역(08월)'!F:F,"불량")</f>
        <v>0</v>
      </c>
      <c r="AY48" s="40">
        <f>SUMIFS('센터 자재 사용내역(09월)'!G:G,'센터 자재 사용내역(09월)'!E:E,'사급자재 사용내역'!C48,'센터 자재 사용내역(09월)'!F:F,"불량")</f>
        <v>0</v>
      </c>
      <c r="AZ48" s="40">
        <f>SUMIFS('센터 자재 사용내역(10월)'!G:G,'센터 자재 사용내역(10월)'!E:E,'사급자재 사용내역'!C48,'센터 자재 사용내역(10월)'!F:F,"불량")</f>
        <v>0</v>
      </c>
      <c r="BA48" s="40">
        <f>SUMIFS('센터 자재 사용내역(11월)'!G:G,'센터 자재 사용내역(11월)'!E:E,'사급자재 사용내역'!C48,'센터 자재 사용내역(11월)'!F:F,"불량")</f>
        <v>0</v>
      </c>
      <c r="BB48" s="40">
        <f>SUMIFS('센터 자재 사용내역(12월)'!G:G,'센터 자재 사용내역(12월)'!E:E,'사급자재 사용내역'!C48,'센터 자재 사용내역(12월)'!F:F,"불량")</f>
        <v>0</v>
      </c>
      <c r="BC48" s="40">
        <f t="shared" si="6"/>
        <v>0</v>
      </c>
      <c r="BD48" s="62"/>
    </row>
    <row r="49" spans="2:56" ht="19.5" customHeight="1">
      <c r="B49" s="108"/>
      <c r="C49" s="22"/>
      <c r="D49" s="64" t="s">
        <v>90</v>
      </c>
      <c r="E49" s="46">
        <v>0</v>
      </c>
      <c r="F49" s="47">
        <v>0</v>
      </c>
      <c r="G49" s="46"/>
      <c r="H49" s="78"/>
      <c r="I49" s="90">
        <f t="shared" si="4"/>
        <v>0</v>
      </c>
      <c r="J49" s="89">
        <f t="shared" si="18"/>
        <v>0</v>
      </c>
      <c r="K49" s="78">
        <f t="shared" si="7"/>
        <v>0</v>
      </c>
      <c r="L49" s="84">
        <f t="shared" si="15"/>
        <v>0</v>
      </c>
      <c r="M49" s="79">
        <f>SUMIFS('센터 자재 사용내역(01월)'!G:G,'센터 자재 사용내역(01월)'!E:E,'사급자재 사용내역'!C49,'센터 자재 사용내역(01월)'!F:F,"신규")+SUMIFS('센터 자재 사용내역(01월)'!G:G,'센터 자재 사용내역(01월)'!E:E,'사급자재 사용내역'!C49,'센터 자재 사용내역(01월)'!F:F,"교체")</f>
        <v>0</v>
      </c>
      <c r="N49" s="40">
        <f>SUMIFS('센터 자재 사용내역(02월)'!G:G,'센터 자재 사용내역(02월)'!E:E,'사급자재 사용내역'!C49,'센터 자재 사용내역(02월)'!F:F,"신규")+SUMIFS('센터 자재 사용내역(02월)'!G:G,'센터 자재 사용내역(02월)'!E:E,'사급자재 사용내역'!C49,'센터 자재 사용내역(02월)'!F:F,"교체")</f>
        <v>0</v>
      </c>
      <c r="O49" s="40">
        <f>SUMIFS('센터 자재 사용내역(03월)'!G:G,'센터 자재 사용내역(03월)'!E:E,'사급자재 사용내역'!C49,'센터 자재 사용내역(03월)'!F:F,"신규")+SUMIFS('센터 자재 사용내역(03월)'!G:G,'센터 자재 사용내역(03월)'!E:E,'사급자재 사용내역'!C49,'센터 자재 사용내역(03월)'!F:F,"교체")</f>
        <v>0</v>
      </c>
      <c r="P49" s="40">
        <f>SUMIFS('센터 자재 사용내역(04월)'!G:G,'센터 자재 사용내역(04월)'!E:E,'사급자재 사용내역'!C49,'센터 자재 사용내역(04월)'!F:F,"신규")+SUMIFS('센터 자재 사용내역(04월)'!G:G,'센터 자재 사용내역(04월)'!E:E,'사급자재 사용내역'!C49,'센터 자재 사용내역(04월)'!F:F,"교체")</f>
        <v>0</v>
      </c>
      <c r="Q49" s="40">
        <f>SUMIFS('센터 자재 사용내역(05월)'!G:G,'센터 자재 사용내역(05월)'!E:E,'사급자재 사용내역'!C49,'센터 자재 사용내역(05월)'!F:F,"신규")+SUMIFS('센터 자재 사용내역(05월)'!G:G,'센터 자재 사용내역(05월)'!E:E,'사급자재 사용내역'!C49,'센터 자재 사용내역(05월)'!F:F,"교체")</f>
        <v>0</v>
      </c>
      <c r="R49" s="40">
        <f>SUMIFS('센터 자재 사용내역(06월)'!G:G,'센터 자재 사용내역(06월)'!E:E,'사급자재 사용내역'!C49,'센터 자재 사용내역(06월)'!F:F,"신규")+SUMIFS('센터 자재 사용내역(06월)'!G:G,'센터 자재 사용내역(06월)'!E:E,'사급자재 사용내역'!C49,'센터 자재 사용내역(06월)'!F:F,"교체")</f>
        <v>0</v>
      </c>
      <c r="S49" s="40">
        <f>SUMIFS('센터 자재 사용내역(07월)'!G:G,'센터 자재 사용내역(07월)'!E:E,'사급자재 사용내역'!C49,'센터 자재 사용내역(07월)'!F:F,"신규")+SUMIFS('센터 자재 사용내역(07월)'!G:G,'센터 자재 사용내역(07월)'!E:E,'사급자재 사용내역'!C49,'센터 자재 사용내역(07월)'!F:F,"교체")</f>
        <v>0</v>
      </c>
      <c r="T49" s="40">
        <f>SUMIFS('센터 자재 사용내역(08월)'!G:G,'센터 자재 사용내역(08월)'!E:E,'사급자재 사용내역'!C49,'센터 자재 사용내역(08월)'!F:F,"신규")+SUMIFS('센터 자재 사용내역(08월)'!G:G,'센터 자재 사용내역(08월)'!E:E,'사급자재 사용내역'!C49,'센터 자재 사용내역(08월)'!F:F,"교체")</f>
        <v>0</v>
      </c>
      <c r="U49" s="40">
        <f>SUMIFS('센터 자재 사용내역(09월)'!G:G,'센터 자재 사용내역(09월)'!E:E,'사급자재 사용내역'!C49,'센터 자재 사용내역(09월)'!F:F,"신규")+SUMIFS('센터 자재 사용내역(09월)'!G:G,'센터 자재 사용내역(09월)'!E:E,'사급자재 사용내역'!C49,'센터 자재 사용내역(09월)'!F:F,"교체")</f>
        <v>0</v>
      </c>
      <c r="V49" s="40">
        <f>SUMIFS('센터 자재 사용내역(10월)'!G:G,'센터 자재 사용내역(10월)'!E:E,'사급자재 사용내역'!C49,'센터 자재 사용내역(10월)'!F:F,"신규")+SUMIFS('센터 자재 사용내역(10월)'!G:G,'센터 자재 사용내역(10월)'!E:E,'사급자재 사용내역'!C49,'센터 자재 사용내역(10월)'!F:F,"교체")</f>
        <v>0</v>
      </c>
      <c r="W49" s="40">
        <f>SUMIFS('센터 자재 사용내역(11월)'!G:G,'센터 자재 사용내역(11월)'!E:E,'사급자재 사용내역'!C49,'센터 자재 사용내역(11월)'!F:F,"신규")+SUMIFS('센터 자재 사용내역(11월)'!G:G,'센터 자재 사용내역(11월)'!E:E,'사급자재 사용내역'!C49,'센터 자재 사용내역(11월)'!F:F,"교체")</f>
        <v>0</v>
      </c>
      <c r="X49" s="40">
        <f>SUMIFS('센터 자재 사용내역(12월)'!G:G,'센터 자재 사용내역(12월)'!E:E,'사급자재 사용내역'!C49,'센터 자재 사용내역(12월)'!F:F,"신규")+SUMIFS('센터 자재 사용내역(12월)'!G:G,'센터 자재 사용내역(12월)'!E:E,'사급자재 사용내역'!C49,'센터 자재 사용내역(12월)'!F:F,"교체")</f>
        <v>0</v>
      </c>
      <c r="Y49" s="40">
        <f t="shared" si="16"/>
        <v>0</v>
      </c>
      <c r="Z49" s="52"/>
      <c r="AB49" s="56"/>
      <c r="AC49" s="29"/>
      <c r="AD49" s="29"/>
      <c r="AE49" s="29"/>
      <c r="AF49" s="29"/>
      <c r="AG49" s="29"/>
      <c r="AH49" s="29"/>
      <c r="AI49" s="29"/>
      <c r="AJ49" s="29"/>
      <c r="AK49" s="29"/>
      <c r="AL49" s="29"/>
      <c r="AM49" s="29"/>
      <c r="AN49" s="21">
        <f t="shared" si="17"/>
        <v>0</v>
      </c>
      <c r="AO49" s="57"/>
      <c r="AQ49" s="61">
        <f>SUMIFS('센터 자재 사용내역(01월)'!G:G,'센터 자재 사용내역(01월)'!E:E,'사급자재 사용내역'!C49,'센터 자재 사용내역(01월)'!F:F,"불량")</f>
        <v>0</v>
      </c>
      <c r="AR49" s="40">
        <f>SUMIFS('센터 자재 사용내역(02월)'!G:G,'센터 자재 사용내역(02월)'!E:E,'사급자재 사용내역'!C49,'센터 자재 사용내역(02월)'!F:F,"불량")</f>
        <v>0</v>
      </c>
      <c r="AS49" s="40">
        <f>SUMIFS('센터 자재 사용내역(03월)'!G:G,'센터 자재 사용내역(03월)'!E:E,'사급자재 사용내역'!C49,'센터 자재 사용내역(03월)'!F:F,"불량")</f>
        <v>0</v>
      </c>
      <c r="AT49" s="40">
        <f>SUMIFS('센터 자재 사용내역(04월)'!G:G,'센터 자재 사용내역(04월)'!E:E,'사급자재 사용내역'!C49,'센터 자재 사용내역(04월)'!F:F,"불량")</f>
        <v>0</v>
      </c>
      <c r="AU49" s="40">
        <f>SUMIFS('센터 자재 사용내역(05월)'!G:G,'센터 자재 사용내역(05월)'!E:E,'사급자재 사용내역'!C49,'센터 자재 사용내역(05월)'!F:F,"불량")</f>
        <v>0</v>
      </c>
      <c r="AV49" s="40">
        <f>SUMIFS('센터 자재 사용내역(06월)'!G:G,'센터 자재 사용내역(06월)'!E:E,'사급자재 사용내역'!C49,'센터 자재 사용내역(06월)'!F:F,"불량")</f>
        <v>0</v>
      </c>
      <c r="AW49" s="40">
        <f>SUMIFS('센터 자재 사용내역(07월)'!G:G,'센터 자재 사용내역(07월)'!E:E,'사급자재 사용내역'!C49,'센터 자재 사용내역(07월)'!F:F,"불량")</f>
        <v>0</v>
      </c>
      <c r="AX49" s="40">
        <f>SUMIFS('센터 자재 사용내역(08월)'!G:G,'센터 자재 사용내역(08월)'!E:E,'사급자재 사용내역'!C49,'센터 자재 사용내역(08월)'!F:F,"불량")</f>
        <v>0</v>
      </c>
      <c r="AY49" s="40">
        <f>SUMIFS('센터 자재 사용내역(09월)'!G:G,'센터 자재 사용내역(09월)'!E:E,'사급자재 사용내역'!C49,'센터 자재 사용내역(09월)'!F:F,"불량")</f>
        <v>0</v>
      </c>
      <c r="AZ49" s="40">
        <f>SUMIFS('센터 자재 사용내역(10월)'!G:G,'센터 자재 사용내역(10월)'!E:E,'사급자재 사용내역'!C49,'센터 자재 사용내역(10월)'!F:F,"불량")</f>
        <v>0</v>
      </c>
      <c r="BA49" s="40">
        <f>SUMIFS('센터 자재 사용내역(11월)'!G:G,'센터 자재 사용내역(11월)'!E:E,'사급자재 사용내역'!C49,'센터 자재 사용내역(11월)'!F:F,"불량")</f>
        <v>0</v>
      </c>
      <c r="BB49" s="40">
        <f>SUMIFS('센터 자재 사용내역(12월)'!G:G,'센터 자재 사용내역(12월)'!E:E,'사급자재 사용내역'!C49,'센터 자재 사용내역(12월)'!F:F,"불량")</f>
        <v>0</v>
      </c>
      <c r="BC49" s="40">
        <f t="shared" si="6"/>
        <v>0</v>
      </c>
      <c r="BD49" s="62"/>
    </row>
    <row r="50" spans="2:56" ht="19.5" customHeight="1">
      <c r="B50" s="106" t="s">
        <v>156</v>
      </c>
      <c r="C50" s="22" t="s">
        <v>166</v>
      </c>
      <c r="D50" s="64" t="s">
        <v>131</v>
      </c>
      <c r="E50" s="46">
        <v>14</v>
      </c>
      <c r="F50" s="47">
        <v>1</v>
      </c>
      <c r="G50" s="46"/>
      <c r="H50" s="78">
        <v>7</v>
      </c>
      <c r="I50" s="90">
        <f t="shared" si="4"/>
        <v>0</v>
      </c>
      <c r="J50" s="89">
        <f t="shared" si="18"/>
        <v>9</v>
      </c>
      <c r="K50" s="78">
        <f t="shared" si="7"/>
        <v>1</v>
      </c>
      <c r="L50" s="84">
        <f t="shared" si="15"/>
        <v>6</v>
      </c>
      <c r="M50" s="79">
        <f>SUMIFS('센터 자재 사용내역(01월)'!G:G,'센터 자재 사용내역(01월)'!E:E,'사급자재 사용내역'!C50,'센터 자재 사용내역(01월)'!F:F,"신규")+SUMIFS('센터 자재 사용내역(01월)'!G:G,'센터 자재 사용내역(01월)'!E:E,'사급자재 사용내역'!C50,'센터 자재 사용내역(01월)'!F:F,"교체")</f>
        <v>0</v>
      </c>
      <c r="N50" s="40">
        <f>SUMIFS('센터 자재 사용내역(02월)'!G:G,'센터 자재 사용내역(02월)'!E:E,'사급자재 사용내역'!C50,'센터 자재 사용내역(02월)'!F:F,"신규")+SUMIFS('센터 자재 사용내역(02월)'!G:G,'센터 자재 사용내역(02월)'!E:E,'사급자재 사용내역'!C50,'센터 자재 사용내역(02월)'!F:F,"교체")</f>
        <v>1</v>
      </c>
      <c r="O50" s="40">
        <f>SUMIFS('센터 자재 사용내역(03월)'!G:G,'센터 자재 사용내역(03월)'!E:E,'사급자재 사용내역'!C50,'센터 자재 사용내역(03월)'!F:F,"신규")+SUMIFS('센터 자재 사용내역(03월)'!G:G,'센터 자재 사용내역(03월)'!E:E,'사급자재 사용내역'!C50,'센터 자재 사용내역(03월)'!F:F,"교체")</f>
        <v>2</v>
      </c>
      <c r="P50" s="40">
        <f>SUMIFS('센터 자재 사용내역(04월)'!G:G,'센터 자재 사용내역(04월)'!E:E,'사급자재 사용내역'!C50,'센터 자재 사용내역(04월)'!F:F,"신규")+SUMIFS('센터 자재 사용내역(04월)'!G:G,'센터 자재 사용내역(04월)'!E:E,'사급자재 사용내역'!C50,'센터 자재 사용내역(04월)'!F:F,"교체")</f>
        <v>2</v>
      </c>
      <c r="Q50" s="40">
        <f>SUMIFS('센터 자재 사용내역(05월)'!G:G,'센터 자재 사용내역(05월)'!E:E,'사급자재 사용내역'!C50,'센터 자재 사용내역(05월)'!F:F,"신규")+SUMIFS('센터 자재 사용내역(05월)'!G:G,'센터 자재 사용내역(05월)'!E:E,'사급자재 사용내역'!C50,'센터 자재 사용내역(05월)'!F:F,"교체")</f>
        <v>1</v>
      </c>
      <c r="R50" s="40">
        <f>SUMIFS('센터 자재 사용내역(06월)'!G:G,'센터 자재 사용내역(06월)'!E:E,'사급자재 사용내역'!C50,'센터 자재 사용내역(06월)'!F:F,"신규")+SUMIFS('센터 자재 사용내역(06월)'!G:G,'센터 자재 사용내역(06월)'!E:E,'사급자재 사용내역'!C50,'센터 자재 사용내역(06월)'!F:F,"교체")</f>
        <v>1</v>
      </c>
      <c r="S50" s="40">
        <f>SUMIFS('센터 자재 사용내역(07월)'!G:G,'센터 자재 사용내역(07월)'!E:E,'사급자재 사용내역'!C50,'센터 자재 사용내역(07월)'!F:F,"신규")+SUMIFS('센터 자재 사용내역(07월)'!G:G,'센터 자재 사용내역(07월)'!E:E,'사급자재 사용내역'!C50,'센터 자재 사용내역(07월)'!F:F,"교체")</f>
        <v>0</v>
      </c>
      <c r="T50" s="40">
        <f>SUMIFS('센터 자재 사용내역(08월)'!G:G,'센터 자재 사용내역(08월)'!E:E,'사급자재 사용내역'!C50,'센터 자재 사용내역(08월)'!F:F,"신규")+SUMIFS('센터 자재 사용내역(08월)'!G:G,'센터 자재 사용내역(08월)'!E:E,'사급자재 사용내역'!C50,'센터 자재 사용내역(08월)'!F:F,"교체")</f>
        <v>2</v>
      </c>
      <c r="U50" s="40">
        <f>SUMIFS('센터 자재 사용내역(09월)'!G:G,'센터 자재 사용내역(09월)'!E:E,'사급자재 사용내역'!C50,'센터 자재 사용내역(09월)'!F:F,"신규")+SUMIFS('센터 자재 사용내역(09월)'!G:G,'센터 자재 사용내역(09월)'!E:E,'사급자재 사용내역'!C50,'센터 자재 사용내역(09월)'!F:F,"교체")</f>
        <v>0</v>
      </c>
      <c r="V50" s="40">
        <f>SUMIFS('센터 자재 사용내역(10월)'!G:G,'센터 자재 사용내역(10월)'!E:E,'사급자재 사용내역'!C50,'센터 자재 사용내역(10월)'!F:F,"신규")+SUMIFS('센터 자재 사용내역(10월)'!G:G,'센터 자재 사용내역(10월)'!E:E,'사급자재 사용내역'!C50,'센터 자재 사용내역(10월)'!F:F,"교체")</f>
        <v>0</v>
      </c>
      <c r="W50" s="40">
        <f>SUMIFS('센터 자재 사용내역(11월)'!G:G,'센터 자재 사용내역(11월)'!E:E,'사급자재 사용내역'!C50,'센터 자재 사용내역(11월)'!F:F,"신규")+SUMIFS('센터 자재 사용내역(11월)'!G:G,'센터 자재 사용내역(11월)'!E:E,'사급자재 사용내역'!C50,'센터 자재 사용내역(11월)'!F:F,"교체")</f>
        <v>0</v>
      </c>
      <c r="X50" s="40">
        <f>SUMIFS('센터 자재 사용내역(12월)'!G:G,'센터 자재 사용내역(12월)'!E:E,'사급자재 사용내역'!C50,'센터 자재 사용내역(12월)'!F:F,"신규")+SUMIFS('센터 자재 사용내역(12월)'!G:G,'센터 자재 사용내역(12월)'!E:E,'사급자재 사용내역'!C50,'센터 자재 사용내역(12월)'!F:F,"교체")</f>
        <v>0</v>
      </c>
      <c r="Y50" s="40">
        <f t="shared" si="16"/>
        <v>9</v>
      </c>
      <c r="Z50" s="52"/>
      <c r="AB50" s="56">
        <v>1</v>
      </c>
      <c r="AC50" s="29"/>
      <c r="AD50" s="29"/>
      <c r="AE50" s="29"/>
      <c r="AF50" s="29"/>
      <c r="AG50" s="29"/>
      <c r="AH50" s="29"/>
      <c r="AI50" s="29"/>
      <c r="AJ50" s="29"/>
      <c r="AK50" s="29"/>
      <c r="AL50" s="29"/>
      <c r="AM50" s="29"/>
      <c r="AN50" s="21">
        <f t="shared" si="17"/>
        <v>1</v>
      </c>
      <c r="AO50" s="57"/>
      <c r="AQ50" s="61">
        <f>SUMIFS('센터 자재 사용내역(01월)'!G:G,'센터 자재 사용내역(01월)'!E:E,'사급자재 사용내역'!C50,'센터 자재 사용내역(01월)'!F:F,"불량")</f>
        <v>0</v>
      </c>
      <c r="AR50" s="40">
        <f>SUMIFS('센터 자재 사용내역(02월)'!G:G,'센터 자재 사용내역(02월)'!E:E,'사급자재 사용내역'!C50,'센터 자재 사용내역(02월)'!F:F,"불량")</f>
        <v>2</v>
      </c>
      <c r="AS50" s="40">
        <f>SUMIFS('센터 자재 사용내역(03월)'!G:G,'센터 자재 사용내역(03월)'!E:E,'사급자재 사용내역'!C50,'센터 자재 사용내역(03월)'!F:F,"불량")</f>
        <v>0</v>
      </c>
      <c r="AT50" s="40">
        <f>SUMIFS('센터 자재 사용내역(04월)'!G:G,'센터 자재 사용내역(04월)'!E:E,'사급자재 사용내역'!C50,'센터 자재 사용내역(04월)'!F:F,"불량")</f>
        <v>1</v>
      </c>
      <c r="AU50" s="40">
        <f>SUMIFS('센터 자재 사용내역(05월)'!G:G,'센터 자재 사용내역(05월)'!E:E,'사급자재 사용내역'!C50,'센터 자재 사용내역(05월)'!F:F,"불량")</f>
        <v>1</v>
      </c>
      <c r="AV50" s="40">
        <f>SUMIFS('센터 자재 사용내역(06월)'!G:G,'센터 자재 사용내역(06월)'!E:E,'사급자재 사용내역'!C50,'센터 자재 사용내역(06월)'!F:F,"불량")</f>
        <v>2</v>
      </c>
      <c r="AW50" s="40">
        <f>SUMIFS('센터 자재 사용내역(07월)'!G:G,'센터 자재 사용내역(07월)'!E:E,'사급자재 사용내역'!C50,'센터 자재 사용내역(07월)'!F:F,"불량")</f>
        <v>0</v>
      </c>
      <c r="AX50" s="40">
        <f>SUMIFS('센터 자재 사용내역(08월)'!G:G,'센터 자재 사용내역(08월)'!E:E,'사급자재 사용내역'!C50,'센터 자재 사용내역(08월)'!F:F,"불량")</f>
        <v>0</v>
      </c>
      <c r="AY50" s="40">
        <f>SUMIFS('센터 자재 사용내역(09월)'!G:G,'센터 자재 사용내역(09월)'!E:E,'사급자재 사용내역'!C50,'센터 자재 사용내역(09월)'!F:F,"불량")</f>
        <v>0</v>
      </c>
      <c r="AZ50" s="40">
        <f>SUMIFS('센터 자재 사용내역(10월)'!G:G,'센터 자재 사용내역(10월)'!E:E,'사급자재 사용내역'!C50,'센터 자재 사용내역(10월)'!F:F,"불량")</f>
        <v>0</v>
      </c>
      <c r="BA50" s="40">
        <f>SUMIFS('센터 자재 사용내역(11월)'!G:G,'센터 자재 사용내역(11월)'!E:E,'사급자재 사용내역'!C50,'센터 자재 사용내역(11월)'!F:F,"불량")</f>
        <v>0</v>
      </c>
      <c r="BB50" s="40">
        <f>SUMIFS('센터 자재 사용내역(12월)'!G:G,'센터 자재 사용내역(12월)'!E:E,'사급자재 사용내역'!C50,'센터 자재 사용내역(12월)'!F:F,"불량")</f>
        <v>0</v>
      </c>
      <c r="BC50" s="40">
        <f t="shared" si="6"/>
        <v>6</v>
      </c>
      <c r="BD50" s="62"/>
    </row>
    <row r="51" spans="2:56" ht="19.5" customHeight="1">
      <c r="B51" s="107"/>
      <c r="C51" s="22" t="s">
        <v>167</v>
      </c>
      <c r="D51" s="64" t="s">
        <v>129</v>
      </c>
      <c r="E51" s="46">
        <v>3</v>
      </c>
      <c r="F51" s="47">
        <v>0</v>
      </c>
      <c r="G51" s="46"/>
      <c r="H51" s="78"/>
      <c r="I51" s="90">
        <f t="shared" si="4"/>
        <v>0</v>
      </c>
      <c r="J51" s="89">
        <f t="shared" si="18"/>
        <v>3</v>
      </c>
      <c r="K51" s="78">
        <f t="shared" si="7"/>
        <v>0</v>
      </c>
      <c r="L51" s="84">
        <f t="shared" si="15"/>
        <v>0</v>
      </c>
      <c r="M51" s="79">
        <f>SUMIFS('센터 자재 사용내역(01월)'!G:G,'센터 자재 사용내역(01월)'!E:E,'사급자재 사용내역'!C51,'센터 자재 사용내역(01월)'!F:F,"신규")+SUMIFS('센터 자재 사용내역(01월)'!G:G,'센터 자재 사용내역(01월)'!E:E,'사급자재 사용내역'!C51,'센터 자재 사용내역(01월)'!F:F,"교체")</f>
        <v>2</v>
      </c>
      <c r="N51" s="40">
        <f>SUMIFS('센터 자재 사용내역(02월)'!G:G,'센터 자재 사용내역(02월)'!E:E,'사급자재 사용내역'!C51,'센터 자재 사용내역(02월)'!F:F,"신규")+SUMIFS('센터 자재 사용내역(02월)'!G:G,'센터 자재 사용내역(02월)'!E:E,'사급자재 사용내역'!C51,'센터 자재 사용내역(02월)'!F:F,"교체")</f>
        <v>1</v>
      </c>
      <c r="O51" s="40">
        <f>SUMIFS('센터 자재 사용내역(03월)'!G:G,'센터 자재 사용내역(03월)'!E:E,'사급자재 사용내역'!C51,'센터 자재 사용내역(03월)'!F:F,"신규")+SUMIFS('센터 자재 사용내역(03월)'!G:G,'센터 자재 사용내역(03월)'!E:E,'사급자재 사용내역'!C51,'센터 자재 사용내역(03월)'!F:F,"교체")</f>
        <v>0</v>
      </c>
      <c r="P51" s="40">
        <f>SUMIFS('센터 자재 사용내역(04월)'!G:G,'센터 자재 사용내역(04월)'!E:E,'사급자재 사용내역'!C51,'센터 자재 사용내역(04월)'!F:F,"신규")+SUMIFS('센터 자재 사용내역(04월)'!G:G,'센터 자재 사용내역(04월)'!E:E,'사급자재 사용내역'!C51,'센터 자재 사용내역(04월)'!F:F,"교체")</f>
        <v>0</v>
      </c>
      <c r="Q51" s="40">
        <f>SUMIFS('센터 자재 사용내역(05월)'!G:G,'센터 자재 사용내역(05월)'!E:E,'사급자재 사용내역'!C51,'센터 자재 사용내역(05월)'!F:F,"신규")+SUMIFS('센터 자재 사용내역(05월)'!G:G,'센터 자재 사용내역(05월)'!E:E,'사급자재 사용내역'!C51,'센터 자재 사용내역(05월)'!F:F,"교체")</f>
        <v>0</v>
      </c>
      <c r="R51" s="40">
        <f>SUMIFS('센터 자재 사용내역(06월)'!G:G,'센터 자재 사용내역(06월)'!E:E,'사급자재 사용내역'!C51,'센터 자재 사용내역(06월)'!F:F,"신규")+SUMIFS('센터 자재 사용내역(06월)'!G:G,'센터 자재 사용내역(06월)'!E:E,'사급자재 사용내역'!C51,'센터 자재 사용내역(06월)'!F:F,"교체")</f>
        <v>0</v>
      </c>
      <c r="S51" s="40">
        <f>SUMIFS('센터 자재 사용내역(07월)'!G:G,'센터 자재 사용내역(07월)'!E:E,'사급자재 사용내역'!C51,'센터 자재 사용내역(07월)'!F:F,"신규")+SUMIFS('센터 자재 사용내역(07월)'!G:G,'센터 자재 사용내역(07월)'!E:E,'사급자재 사용내역'!C51,'센터 자재 사용내역(07월)'!F:F,"교체")</f>
        <v>0</v>
      </c>
      <c r="T51" s="40">
        <f>SUMIFS('센터 자재 사용내역(08월)'!G:G,'센터 자재 사용내역(08월)'!E:E,'사급자재 사용내역'!C51,'센터 자재 사용내역(08월)'!F:F,"신규")+SUMIFS('센터 자재 사용내역(08월)'!G:G,'센터 자재 사용내역(08월)'!E:E,'사급자재 사용내역'!C51,'센터 자재 사용내역(08월)'!F:F,"교체")</f>
        <v>0</v>
      </c>
      <c r="U51" s="40">
        <f>SUMIFS('센터 자재 사용내역(09월)'!G:G,'센터 자재 사용내역(09월)'!E:E,'사급자재 사용내역'!C51,'센터 자재 사용내역(09월)'!F:F,"신규")+SUMIFS('센터 자재 사용내역(09월)'!G:G,'센터 자재 사용내역(09월)'!E:E,'사급자재 사용내역'!C51,'센터 자재 사용내역(09월)'!F:F,"교체")</f>
        <v>0</v>
      </c>
      <c r="V51" s="40">
        <f>SUMIFS('센터 자재 사용내역(10월)'!G:G,'센터 자재 사용내역(10월)'!E:E,'사급자재 사용내역'!C51,'센터 자재 사용내역(10월)'!F:F,"신규")+SUMIFS('센터 자재 사용내역(10월)'!G:G,'센터 자재 사용내역(10월)'!E:E,'사급자재 사용내역'!C51,'센터 자재 사용내역(10월)'!F:F,"교체")</f>
        <v>0</v>
      </c>
      <c r="W51" s="40">
        <f>SUMIFS('센터 자재 사용내역(11월)'!G:G,'센터 자재 사용내역(11월)'!E:E,'사급자재 사용내역'!C51,'센터 자재 사용내역(11월)'!F:F,"신규")+SUMIFS('센터 자재 사용내역(11월)'!G:G,'센터 자재 사용내역(11월)'!E:E,'사급자재 사용내역'!C51,'센터 자재 사용내역(11월)'!F:F,"교체")</f>
        <v>0</v>
      </c>
      <c r="X51" s="40">
        <f>SUMIFS('센터 자재 사용내역(12월)'!G:G,'센터 자재 사용내역(12월)'!E:E,'사급자재 사용내역'!C51,'센터 자재 사용내역(12월)'!F:F,"신규")+SUMIFS('센터 자재 사용내역(12월)'!G:G,'센터 자재 사용내역(12월)'!E:E,'사급자재 사용내역'!C51,'센터 자재 사용내역(12월)'!F:F,"교체")</f>
        <v>0</v>
      </c>
      <c r="Y51" s="40">
        <f t="shared" si="16"/>
        <v>3</v>
      </c>
      <c r="Z51" s="52"/>
      <c r="AB51" s="56"/>
      <c r="AC51" s="29"/>
      <c r="AD51" s="29"/>
      <c r="AE51" s="29"/>
      <c r="AF51" s="29"/>
      <c r="AG51" s="29"/>
      <c r="AH51" s="29"/>
      <c r="AI51" s="29"/>
      <c r="AJ51" s="29"/>
      <c r="AK51" s="29"/>
      <c r="AL51" s="29"/>
      <c r="AM51" s="29"/>
      <c r="AN51" s="21">
        <f t="shared" si="17"/>
        <v>0</v>
      </c>
      <c r="AO51" s="57"/>
      <c r="AQ51" s="61">
        <f>SUMIFS('센터 자재 사용내역(01월)'!G:G,'센터 자재 사용내역(01월)'!E:E,'사급자재 사용내역'!C51,'센터 자재 사용내역(01월)'!F:F,"불량")</f>
        <v>0</v>
      </c>
      <c r="AR51" s="40">
        <f>SUMIFS('센터 자재 사용내역(02월)'!G:G,'센터 자재 사용내역(02월)'!E:E,'사급자재 사용내역'!C51,'센터 자재 사용내역(02월)'!F:F,"불량")</f>
        <v>0</v>
      </c>
      <c r="AS51" s="40">
        <f>SUMIFS('센터 자재 사용내역(03월)'!G:G,'센터 자재 사용내역(03월)'!E:E,'사급자재 사용내역'!C51,'센터 자재 사용내역(03월)'!F:F,"불량")</f>
        <v>0</v>
      </c>
      <c r="AT51" s="40">
        <f>SUMIFS('센터 자재 사용내역(04월)'!G:G,'센터 자재 사용내역(04월)'!E:E,'사급자재 사용내역'!C51,'센터 자재 사용내역(04월)'!F:F,"불량")</f>
        <v>0</v>
      </c>
      <c r="AU51" s="40">
        <f>SUMIFS('센터 자재 사용내역(05월)'!G:G,'센터 자재 사용내역(05월)'!E:E,'사급자재 사용내역'!C51,'센터 자재 사용내역(05월)'!F:F,"불량")</f>
        <v>0</v>
      </c>
      <c r="AV51" s="40">
        <f>SUMIFS('센터 자재 사용내역(06월)'!G:G,'센터 자재 사용내역(06월)'!E:E,'사급자재 사용내역'!C51,'센터 자재 사용내역(06월)'!F:F,"불량")</f>
        <v>0</v>
      </c>
      <c r="AW51" s="40">
        <f>SUMIFS('센터 자재 사용내역(07월)'!G:G,'센터 자재 사용내역(07월)'!E:E,'사급자재 사용내역'!C51,'센터 자재 사용내역(07월)'!F:F,"불량")</f>
        <v>0</v>
      </c>
      <c r="AX51" s="40">
        <f>SUMIFS('센터 자재 사용내역(08월)'!G:G,'센터 자재 사용내역(08월)'!E:E,'사급자재 사용내역'!C51,'센터 자재 사용내역(08월)'!F:F,"불량")</f>
        <v>0</v>
      </c>
      <c r="AY51" s="40">
        <f>SUMIFS('센터 자재 사용내역(09월)'!G:G,'센터 자재 사용내역(09월)'!E:E,'사급자재 사용내역'!C51,'센터 자재 사용내역(09월)'!F:F,"불량")</f>
        <v>0</v>
      </c>
      <c r="AZ51" s="40">
        <f>SUMIFS('센터 자재 사용내역(10월)'!G:G,'센터 자재 사용내역(10월)'!E:E,'사급자재 사용내역'!C51,'센터 자재 사용내역(10월)'!F:F,"불량")</f>
        <v>0</v>
      </c>
      <c r="BA51" s="40">
        <f>SUMIFS('센터 자재 사용내역(11월)'!G:G,'센터 자재 사용내역(11월)'!E:E,'사급자재 사용내역'!C51,'센터 자재 사용내역(11월)'!F:F,"불량")</f>
        <v>0</v>
      </c>
      <c r="BB51" s="40">
        <f>SUMIFS('센터 자재 사용내역(12월)'!G:G,'센터 자재 사용내역(12월)'!E:E,'사급자재 사용내역'!C51,'센터 자재 사용내역(12월)'!F:F,"불량")</f>
        <v>0</v>
      </c>
      <c r="BC51" s="40">
        <f t="shared" si="6"/>
        <v>0</v>
      </c>
      <c r="BD51" s="62"/>
    </row>
    <row r="52" spans="2:56" ht="19.5" customHeight="1">
      <c r="B52" s="107"/>
      <c r="C52" s="22" t="s">
        <v>39</v>
      </c>
      <c r="D52" s="64" t="s">
        <v>129</v>
      </c>
      <c r="E52" s="46">
        <v>1</v>
      </c>
      <c r="F52" s="47">
        <v>3</v>
      </c>
      <c r="G52" s="46"/>
      <c r="H52" s="78">
        <v>3</v>
      </c>
      <c r="I52" s="90">
        <f t="shared" si="4"/>
        <v>0</v>
      </c>
      <c r="J52" s="89">
        <f t="shared" si="18"/>
        <v>1</v>
      </c>
      <c r="K52" s="78">
        <f t="shared" si="7"/>
        <v>0</v>
      </c>
      <c r="L52" s="84">
        <f t="shared" si="15"/>
        <v>0</v>
      </c>
      <c r="M52" s="79">
        <f>SUMIFS('센터 자재 사용내역(01월)'!G:G,'센터 자재 사용내역(01월)'!E:E,'사급자재 사용내역'!C52,'센터 자재 사용내역(01월)'!F:F,"신규")+SUMIFS('센터 자재 사용내역(01월)'!G:G,'센터 자재 사용내역(01월)'!E:E,'사급자재 사용내역'!C52,'센터 자재 사용내역(01월)'!F:F,"교체")</f>
        <v>0</v>
      </c>
      <c r="N52" s="40">
        <f>SUMIFS('센터 자재 사용내역(02월)'!G:G,'센터 자재 사용내역(02월)'!E:E,'사급자재 사용내역'!C52,'센터 자재 사용내역(02월)'!F:F,"신규")+SUMIFS('센터 자재 사용내역(02월)'!G:G,'센터 자재 사용내역(02월)'!E:E,'사급자재 사용내역'!C52,'센터 자재 사용내역(02월)'!F:F,"교체")</f>
        <v>1</v>
      </c>
      <c r="O52" s="40">
        <f>SUMIFS('센터 자재 사용내역(03월)'!G:G,'센터 자재 사용내역(03월)'!E:E,'사급자재 사용내역'!C52,'센터 자재 사용내역(03월)'!F:F,"신규")+SUMIFS('센터 자재 사용내역(03월)'!G:G,'센터 자재 사용내역(03월)'!E:E,'사급자재 사용내역'!C52,'센터 자재 사용내역(03월)'!F:F,"교체")</f>
        <v>0</v>
      </c>
      <c r="P52" s="40">
        <f>SUMIFS('센터 자재 사용내역(04월)'!G:G,'센터 자재 사용내역(04월)'!E:E,'사급자재 사용내역'!C52,'센터 자재 사용내역(04월)'!F:F,"신규")+SUMIFS('센터 자재 사용내역(04월)'!G:G,'센터 자재 사용내역(04월)'!E:E,'사급자재 사용내역'!C52,'센터 자재 사용내역(04월)'!F:F,"교체")</f>
        <v>0</v>
      </c>
      <c r="Q52" s="40">
        <f>SUMIFS('센터 자재 사용내역(05월)'!G:G,'센터 자재 사용내역(05월)'!E:E,'사급자재 사용내역'!C52,'센터 자재 사용내역(05월)'!F:F,"신규")+SUMIFS('센터 자재 사용내역(05월)'!G:G,'센터 자재 사용내역(05월)'!E:E,'사급자재 사용내역'!C52,'센터 자재 사용내역(05월)'!F:F,"교체")</f>
        <v>0</v>
      </c>
      <c r="R52" s="40">
        <f>SUMIFS('센터 자재 사용내역(06월)'!G:G,'센터 자재 사용내역(06월)'!E:E,'사급자재 사용내역'!C52,'센터 자재 사용내역(06월)'!F:F,"신규")+SUMIFS('센터 자재 사용내역(06월)'!G:G,'센터 자재 사용내역(06월)'!E:E,'사급자재 사용내역'!C52,'센터 자재 사용내역(06월)'!F:F,"교체")</f>
        <v>0</v>
      </c>
      <c r="S52" s="40">
        <f>SUMIFS('센터 자재 사용내역(07월)'!G:G,'센터 자재 사용내역(07월)'!E:E,'사급자재 사용내역'!C52,'센터 자재 사용내역(07월)'!F:F,"신규")+SUMIFS('센터 자재 사용내역(07월)'!G:G,'센터 자재 사용내역(07월)'!E:E,'사급자재 사용내역'!C52,'센터 자재 사용내역(07월)'!F:F,"교체")</f>
        <v>0</v>
      </c>
      <c r="T52" s="40">
        <f>SUMIFS('센터 자재 사용내역(08월)'!G:G,'센터 자재 사용내역(08월)'!E:E,'사급자재 사용내역'!C52,'센터 자재 사용내역(08월)'!F:F,"신규")+SUMIFS('센터 자재 사용내역(08월)'!G:G,'센터 자재 사용내역(08월)'!E:E,'사급자재 사용내역'!C52,'센터 자재 사용내역(08월)'!F:F,"교체")</f>
        <v>0</v>
      </c>
      <c r="U52" s="40">
        <f>SUMIFS('센터 자재 사용내역(09월)'!G:G,'센터 자재 사용내역(09월)'!E:E,'사급자재 사용내역'!C52,'센터 자재 사용내역(09월)'!F:F,"신규")+SUMIFS('센터 자재 사용내역(09월)'!G:G,'센터 자재 사용내역(09월)'!E:E,'사급자재 사용내역'!C52,'센터 자재 사용내역(09월)'!F:F,"교체")</f>
        <v>0</v>
      </c>
      <c r="V52" s="40">
        <f>SUMIFS('센터 자재 사용내역(10월)'!G:G,'센터 자재 사용내역(10월)'!E:E,'사급자재 사용내역'!C52,'센터 자재 사용내역(10월)'!F:F,"신규")+SUMIFS('센터 자재 사용내역(10월)'!G:G,'센터 자재 사용내역(10월)'!E:E,'사급자재 사용내역'!C52,'센터 자재 사용내역(10월)'!F:F,"교체")</f>
        <v>0</v>
      </c>
      <c r="W52" s="40">
        <f>SUMIFS('센터 자재 사용내역(11월)'!G:G,'센터 자재 사용내역(11월)'!E:E,'사급자재 사용내역'!C52,'센터 자재 사용내역(11월)'!F:F,"신규")+SUMIFS('센터 자재 사용내역(11월)'!G:G,'센터 자재 사용내역(11월)'!E:E,'사급자재 사용내역'!C52,'센터 자재 사용내역(11월)'!F:F,"교체")</f>
        <v>0</v>
      </c>
      <c r="X52" s="40">
        <f>SUMIFS('센터 자재 사용내역(12월)'!G:G,'센터 자재 사용내역(12월)'!E:E,'사급자재 사용내역'!C52,'센터 자재 사용내역(12월)'!F:F,"신규")+SUMIFS('센터 자재 사용내역(12월)'!G:G,'센터 자재 사용내역(12월)'!E:E,'사급자재 사용내역'!C52,'센터 자재 사용내역(12월)'!F:F,"교체")</f>
        <v>0</v>
      </c>
      <c r="Y52" s="40">
        <f t="shared" si="16"/>
        <v>1</v>
      </c>
      <c r="Z52" s="52"/>
      <c r="AB52" s="56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1">
        <f t="shared" si="17"/>
        <v>0</v>
      </c>
      <c r="AO52" s="57"/>
      <c r="AQ52" s="61">
        <f>SUMIFS('센터 자재 사용내역(01월)'!G:G,'센터 자재 사용내역(01월)'!E:E,'사급자재 사용내역'!C52,'센터 자재 사용내역(01월)'!F:F,"불량")</f>
        <v>0</v>
      </c>
      <c r="AR52" s="40">
        <f>SUMIFS('센터 자재 사용내역(02월)'!G:G,'센터 자재 사용내역(02월)'!E:E,'사급자재 사용내역'!C52,'센터 자재 사용내역(02월)'!F:F,"불량")</f>
        <v>0</v>
      </c>
      <c r="AS52" s="40">
        <f>SUMIFS('센터 자재 사용내역(03월)'!G:G,'센터 자재 사용내역(03월)'!E:E,'사급자재 사용내역'!C52,'센터 자재 사용내역(03월)'!F:F,"불량")</f>
        <v>0</v>
      </c>
      <c r="AT52" s="40">
        <f>SUMIFS('센터 자재 사용내역(04월)'!G:G,'센터 자재 사용내역(04월)'!E:E,'사급자재 사용내역'!C52,'센터 자재 사용내역(04월)'!F:F,"불량")</f>
        <v>0</v>
      </c>
      <c r="AU52" s="40">
        <f>SUMIFS('센터 자재 사용내역(05월)'!G:G,'센터 자재 사용내역(05월)'!E:E,'사급자재 사용내역'!C52,'센터 자재 사용내역(05월)'!F:F,"불량")</f>
        <v>0</v>
      </c>
      <c r="AV52" s="40">
        <f>SUMIFS('센터 자재 사용내역(06월)'!G:G,'센터 자재 사용내역(06월)'!E:E,'사급자재 사용내역'!C52,'센터 자재 사용내역(06월)'!F:F,"불량")</f>
        <v>0</v>
      </c>
      <c r="AW52" s="40">
        <f>SUMIFS('센터 자재 사용내역(07월)'!G:G,'센터 자재 사용내역(07월)'!E:E,'사급자재 사용내역'!C52,'센터 자재 사용내역(07월)'!F:F,"불량")</f>
        <v>0</v>
      </c>
      <c r="AX52" s="40">
        <f>SUMIFS('센터 자재 사용내역(08월)'!G:G,'센터 자재 사용내역(08월)'!E:E,'사급자재 사용내역'!C52,'센터 자재 사용내역(08월)'!F:F,"불량")</f>
        <v>0</v>
      </c>
      <c r="AY52" s="40">
        <f>SUMIFS('센터 자재 사용내역(09월)'!G:G,'센터 자재 사용내역(09월)'!E:E,'사급자재 사용내역'!C52,'센터 자재 사용내역(09월)'!F:F,"불량")</f>
        <v>0</v>
      </c>
      <c r="AZ52" s="40">
        <f>SUMIFS('센터 자재 사용내역(10월)'!G:G,'센터 자재 사용내역(10월)'!E:E,'사급자재 사용내역'!C52,'센터 자재 사용내역(10월)'!F:F,"불량")</f>
        <v>0</v>
      </c>
      <c r="BA52" s="40">
        <f>SUMIFS('센터 자재 사용내역(11월)'!G:G,'센터 자재 사용내역(11월)'!E:E,'사급자재 사용내역'!C52,'센터 자재 사용내역(11월)'!F:F,"불량")</f>
        <v>0</v>
      </c>
      <c r="BB52" s="40">
        <f>SUMIFS('센터 자재 사용내역(12월)'!G:G,'센터 자재 사용내역(12월)'!E:E,'사급자재 사용내역'!C52,'센터 자재 사용내역(12월)'!F:F,"불량")</f>
        <v>0</v>
      </c>
      <c r="BC52" s="40">
        <f t="shared" si="6"/>
        <v>0</v>
      </c>
      <c r="BD52" s="62"/>
    </row>
    <row r="53" spans="2:56" ht="19.5" customHeight="1">
      <c r="B53" s="107"/>
      <c r="C53" s="22" t="s">
        <v>40</v>
      </c>
      <c r="D53" s="64" t="s">
        <v>129</v>
      </c>
      <c r="E53" s="46">
        <v>0</v>
      </c>
      <c r="F53" s="47">
        <v>5</v>
      </c>
      <c r="G53" s="46"/>
      <c r="H53" s="78">
        <v>6</v>
      </c>
      <c r="I53" s="90">
        <f t="shared" si="4"/>
        <v>1</v>
      </c>
      <c r="J53" s="89">
        <f t="shared" si="18"/>
        <v>0</v>
      </c>
      <c r="K53" s="78">
        <f t="shared" si="7"/>
        <v>0</v>
      </c>
      <c r="L53" s="84">
        <f t="shared" si="15"/>
        <v>0</v>
      </c>
      <c r="M53" s="79">
        <f>SUMIFS('센터 자재 사용내역(01월)'!G:G,'센터 자재 사용내역(01월)'!E:E,'사급자재 사용내역'!C53,'센터 자재 사용내역(01월)'!F:F,"신규")+SUMIFS('센터 자재 사용내역(01월)'!G:G,'센터 자재 사용내역(01월)'!E:E,'사급자재 사용내역'!C53,'센터 자재 사용내역(01월)'!F:F,"교체")</f>
        <v>0</v>
      </c>
      <c r="N53" s="40">
        <f>SUMIFS('센터 자재 사용내역(02월)'!G:G,'센터 자재 사용내역(02월)'!E:E,'사급자재 사용내역'!C53,'센터 자재 사용내역(02월)'!F:F,"신규")+SUMIFS('센터 자재 사용내역(02월)'!G:G,'센터 자재 사용내역(02월)'!E:E,'사급자재 사용내역'!C53,'센터 자재 사용내역(02월)'!F:F,"교체")</f>
        <v>0</v>
      </c>
      <c r="O53" s="40">
        <f>SUMIFS('센터 자재 사용내역(03월)'!G:G,'센터 자재 사용내역(03월)'!E:E,'사급자재 사용내역'!C53,'센터 자재 사용내역(03월)'!F:F,"신규")+SUMIFS('센터 자재 사용내역(03월)'!G:G,'센터 자재 사용내역(03월)'!E:E,'사급자재 사용내역'!C53,'센터 자재 사용내역(03월)'!F:F,"교체")</f>
        <v>0</v>
      </c>
      <c r="P53" s="40">
        <f>SUMIFS('센터 자재 사용내역(04월)'!G:G,'센터 자재 사용내역(04월)'!E:E,'사급자재 사용내역'!C53,'센터 자재 사용내역(04월)'!F:F,"신규")+SUMIFS('센터 자재 사용내역(04월)'!G:G,'센터 자재 사용내역(04월)'!E:E,'사급자재 사용내역'!C53,'센터 자재 사용내역(04월)'!F:F,"교체")</f>
        <v>0</v>
      </c>
      <c r="Q53" s="40">
        <f>SUMIFS('센터 자재 사용내역(05월)'!G:G,'센터 자재 사용내역(05월)'!E:E,'사급자재 사용내역'!C53,'센터 자재 사용내역(05월)'!F:F,"신규")+SUMIFS('센터 자재 사용내역(05월)'!G:G,'센터 자재 사용내역(05월)'!E:E,'사급자재 사용내역'!C53,'센터 자재 사용내역(05월)'!F:F,"교체")</f>
        <v>0</v>
      </c>
      <c r="R53" s="40">
        <f>SUMIFS('센터 자재 사용내역(06월)'!G:G,'센터 자재 사용내역(06월)'!E:E,'사급자재 사용내역'!C53,'센터 자재 사용내역(06월)'!F:F,"신규")+SUMIFS('센터 자재 사용내역(06월)'!G:G,'센터 자재 사용내역(06월)'!E:E,'사급자재 사용내역'!C53,'센터 자재 사용내역(06월)'!F:F,"교체")</f>
        <v>0</v>
      </c>
      <c r="S53" s="40">
        <f>SUMIFS('센터 자재 사용내역(07월)'!G:G,'센터 자재 사용내역(07월)'!E:E,'사급자재 사용내역'!C53,'센터 자재 사용내역(07월)'!F:F,"신규")+SUMIFS('센터 자재 사용내역(07월)'!G:G,'센터 자재 사용내역(07월)'!E:E,'사급자재 사용내역'!C53,'센터 자재 사용내역(07월)'!F:F,"교체")</f>
        <v>0</v>
      </c>
      <c r="T53" s="40">
        <f>SUMIFS('센터 자재 사용내역(08월)'!G:G,'센터 자재 사용내역(08월)'!E:E,'사급자재 사용내역'!C53,'센터 자재 사용내역(08월)'!F:F,"신규")+SUMIFS('센터 자재 사용내역(08월)'!G:G,'센터 자재 사용내역(08월)'!E:E,'사급자재 사용내역'!C53,'센터 자재 사용내역(08월)'!F:F,"교체")</f>
        <v>0</v>
      </c>
      <c r="U53" s="40">
        <f>SUMIFS('센터 자재 사용내역(09월)'!G:G,'센터 자재 사용내역(09월)'!E:E,'사급자재 사용내역'!C53,'센터 자재 사용내역(09월)'!F:F,"신규")+SUMIFS('센터 자재 사용내역(09월)'!G:G,'센터 자재 사용내역(09월)'!E:E,'사급자재 사용내역'!C53,'센터 자재 사용내역(09월)'!F:F,"교체")</f>
        <v>0</v>
      </c>
      <c r="V53" s="40">
        <f>SUMIFS('센터 자재 사용내역(10월)'!G:G,'센터 자재 사용내역(10월)'!E:E,'사급자재 사용내역'!C53,'센터 자재 사용내역(10월)'!F:F,"신규")+SUMIFS('센터 자재 사용내역(10월)'!G:G,'센터 자재 사용내역(10월)'!E:E,'사급자재 사용내역'!C53,'센터 자재 사용내역(10월)'!F:F,"교체")</f>
        <v>0</v>
      </c>
      <c r="W53" s="40">
        <f>SUMIFS('센터 자재 사용내역(11월)'!G:G,'센터 자재 사용내역(11월)'!E:E,'사급자재 사용내역'!C53,'센터 자재 사용내역(11월)'!F:F,"신규")+SUMIFS('센터 자재 사용내역(11월)'!G:G,'센터 자재 사용내역(11월)'!E:E,'사급자재 사용내역'!C53,'센터 자재 사용내역(11월)'!F:F,"교체")</f>
        <v>0</v>
      </c>
      <c r="X53" s="40">
        <f>SUMIFS('센터 자재 사용내역(12월)'!G:G,'센터 자재 사용내역(12월)'!E:E,'사급자재 사용내역'!C53,'센터 자재 사용내역(12월)'!F:F,"신규")+SUMIFS('센터 자재 사용내역(12월)'!G:G,'센터 자재 사용내역(12월)'!E:E,'사급자재 사용내역'!C53,'센터 자재 사용내역(12월)'!F:F,"교체")</f>
        <v>0</v>
      </c>
      <c r="Y53" s="40">
        <f t="shared" si="16"/>
        <v>0</v>
      </c>
      <c r="Z53" s="52"/>
      <c r="AB53" s="56"/>
      <c r="AC53" s="29"/>
      <c r="AD53" s="29"/>
      <c r="AE53" s="29"/>
      <c r="AF53" s="29"/>
      <c r="AG53" s="29"/>
      <c r="AH53" s="29"/>
      <c r="AI53" s="29"/>
      <c r="AJ53" s="29"/>
      <c r="AK53" s="29"/>
      <c r="AL53" s="29"/>
      <c r="AM53" s="29"/>
      <c r="AN53" s="21">
        <f t="shared" si="17"/>
        <v>0</v>
      </c>
      <c r="AO53" s="57"/>
      <c r="AQ53" s="61">
        <f>SUMIFS('센터 자재 사용내역(01월)'!G:G,'센터 자재 사용내역(01월)'!E:E,'사급자재 사용내역'!C53,'센터 자재 사용내역(01월)'!F:F,"불량")</f>
        <v>0</v>
      </c>
      <c r="AR53" s="40">
        <f>SUMIFS('센터 자재 사용내역(02월)'!G:G,'센터 자재 사용내역(02월)'!E:E,'사급자재 사용내역'!C53,'센터 자재 사용내역(02월)'!F:F,"불량")</f>
        <v>0</v>
      </c>
      <c r="AS53" s="40">
        <f>SUMIFS('센터 자재 사용내역(03월)'!G:G,'센터 자재 사용내역(03월)'!E:E,'사급자재 사용내역'!C53,'센터 자재 사용내역(03월)'!F:F,"불량")</f>
        <v>1</v>
      </c>
      <c r="AT53" s="40">
        <f>SUMIFS('센터 자재 사용내역(04월)'!G:G,'센터 자재 사용내역(04월)'!E:E,'사급자재 사용내역'!C53,'센터 자재 사용내역(04월)'!F:F,"불량")</f>
        <v>0</v>
      </c>
      <c r="AU53" s="40">
        <f>SUMIFS('센터 자재 사용내역(05월)'!G:G,'센터 자재 사용내역(05월)'!E:E,'사급자재 사용내역'!C53,'센터 자재 사용내역(05월)'!F:F,"불량")</f>
        <v>0</v>
      </c>
      <c r="AV53" s="40">
        <f>SUMIFS('센터 자재 사용내역(06월)'!G:G,'센터 자재 사용내역(06월)'!E:E,'사급자재 사용내역'!C53,'센터 자재 사용내역(06월)'!F:F,"불량")</f>
        <v>0</v>
      </c>
      <c r="AW53" s="40">
        <f>SUMIFS('센터 자재 사용내역(07월)'!G:G,'센터 자재 사용내역(07월)'!E:E,'사급자재 사용내역'!C53,'센터 자재 사용내역(07월)'!F:F,"불량")</f>
        <v>0</v>
      </c>
      <c r="AX53" s="40">
        <f>SUMIFS('센터 자재 사용내역(08월)'!G:G,'센터 자재 사용내역(08월)'!E:E,'사급자재 사용내역'!C53,'센터 자재 사용내역(08월)'!F:F,"불량")</f>
        <v>1</v>
      </c>
      <c r="AY53" s="40">
        <f>SUMIFS('센터 자재 사용내역(09월)'!G:G,'센터 자재 사용내역(09월)'!E:E,'사급자재 사용내역'!C53,'센터 자재 사용내역(09월)'!F:F,"불량")</f>
        <v>0</v>
      </c>
      <c r="AZ53" s="40">
        <f>SUMIFS('센터 자재 사용내역(10월)'!G:G,'센터 자재 사용내역(10월)'!E:E,'사급자재 사용내역'!C53,'센터 자재 사용내역(10월)'!F:F,"불량")</f>
        <v>0</v>
      </c>
      <c r="BA53" s="40">
        <f>SUMIFS('센터 자재 사용내역(11월)'!G:G,'센터 자재 사용내역(11월)'!E:E,'사급자재 사용내역'!C53,'센터 자재 사용내역(11월)'!F:F,"불량")</f>
        <v>0</v>
      </c>
      <c r="BB53" s="40">
        <f>SUMIFS('센터 자재 사용내역(12월)'!G:G,'센터 자재 사용내역(12월)'!E:E,'사급자재 사용내역'!C53,'센터 자재 사용내역(12월)'!F:F,"불량")</f>
        <v>0</v>
      </c>
      <c r="BC53" s="40">
        <f t="shared" si="6"/>
        <v>2</v>
      </c>
      <c r="BD53" s="62"/>
    </row>
    <row r="54" spans="2:56" ht="19.5" customHeight="1">
      <c r="B54" s="108"/>
      <c r="C54" s="22" t="s">
        <v>41</v>
      </c>
      <c r="D54" s="64" t="s">
        <v>131</v>
      </c>
      <c r="E54" s="46">
        <v>0</v>
      </c>
      <c r="F54" s="47">
        <v>3</v>
      </c>
      <c r="G54" s="46"/>
      <c r="H54" s="78">
        <v>7</v>
      </c>
      <c r="I54" s="90">
        <f t="shared" si="4"/>
        <v>1</v>
      </c>
      <c r="J54" s="89">
        <f t="shared" si="18"/>
        <v>0</v>
      </c>
      <c r="K54" s="78">
        <f t="shared" si="7"/>
        <v>0</v>
      </c>
      <c r="L54" s="84">
        <f t="shared" si="15"/>
        <v>0</v>
      </c>
      <c r="M54" s="79">
        <f>SUMIFS('센터 자재 사용내역(01월)'!G:G,'센터 자재 사용내역(01월)'!E:E,'사급자재 사용내역'!C54,'센터 자재 사용내역(01월)'!F:F,"신규")+SUMIFS('센터 자재 사용내역(01월)'!G:G,'센터 자재 사용내역(01월)'!E:E,'사급자재 사용내역'!C54,'센터 자재 사용내역(01월)'!F:F,"교체")</f>
        <v>0</v>
      </c>
      <c r="N54" s="40">
        <f>SUMIFS('센터 자재 사용내역(02월)'!G:G,'센터 자재 사용내역(02월)'!E:E,'사급자재 사용내역'!C54,'센터 자재 사용내역(02월)'!F:F,"신규")+SUMIFS('센터 자재 사용내역(02월)'!G:G,'센터 자재 사용내역(02월)'!E:E,'사급자재 사용내역'!C54,'센터 자재 사용내역(02월)'!F:F,"교체")</f>
        <v>0</v>
      </c>
      <c r="O54" s="40">
        <f>SUMIFS('센터 자재 사용내역(03월)'!G:G,'센터 자재 사용내역(03월)'!E:E,'사급자재 사용내역'!C54,'센터 자재 사용내역(03월)'!F:F,"신규")+SUMIFS('센터 자재 사용내역(03월)'!G:G,'센터 자재 사용내역(03월)'!E:E,'사급자재 사용내역'!C54,'센터 자재 사용내역(03월)'!F:F,"교체")</f>
        <v>0</v>
      </c>
      <c r="P54" s="40">
        <f>SUMIFS('센터 자재 사용내역(04월)'!G:G,'센터 자재 사용내역(04월)'!E:E,'사급자재 사용내역'!C54,'센터 자재 사용내역(04월)'!F:F,"신규")+SUMIFS('센터 자재 사용내역(04월)'!G:G,'센터 자재 사용내역(04월)'!E:E,'사급자재 사용내역'!C54,'센터 자재 사용내역(04월)'!F:F,"교체")</f>
        <v>0</v>
      </c>
      <c r="Q54" s="40">
        <f>SUMIFS('센터 자재 사용내역(05월)'!G:G,'센터 자재 사용내역(05월)'!E:E,'사급자재 사용내역'!C54,'센터 자재 사용내역(05월)'!F:F,"신규")+SUMIFS('센터 자재 사용내역(05월)'!G:G,'센터 자재 사용내역(05월)'!E:E,'사급자재 사용내역'!C54,'센터 자재 사용내역(05월)'!F:F,"교체")</f>
        <v>0</v>
      </c>
      <c r="R54" s="40">
        <f>SUMIFS('센터 자재 사용내역(06월)'!G:G,'센터 자재 사용내역(06월)'!E:E,'사급자재 사용내역'!C54,'센터 자재 사용내역(06월)'!F:F,"신규")+SUMIFS('센터 자재 사용내역(06월)'!G:G,'센터 자재 사용내역(06월)'!E:E,'사급자재 사용내역'!C54,'센터 자재 사용내역(06월)'!F:F,"교체")</f>
        <v>0</v>
      </c>
      <c r="S54" s="40">
        <f>SUMIFS('센터 자재 사용내역(07월)'!G:G,'센터 자재 사용내역(07월)'!E:E,'사급자재 사용내역'!C54,'센터 자재 사용내역(07월)'!F:F,"신규")+SUMIFS('센터 자재 사용내역(07월)'!G:G,'센터 자재 사용내역(07월)'!E:E,'사급자재 사용내역'!C54,'센터 자재 사용내역(07월)'!F:F,"교체")</f>
        <v>0</v>
      </c>
      <c r="T54" s="40">
        <f>SUMIFS('센터 자재 사용내역(08월)'!G:G,'센터 자재 사용내역(08월)'!E:E,'사급자재 사용내역'!C54,'센터 자재 사용내역(08월)'!F:F,"신규")+SUMIFS('센터 자재 사용내역(08월)'!G:G,'센터 자재 사용내역(08월)'!E:E,'사급자재 사용내역'!C54,'센터 자재 사용내역(08월)'!F:F,"교체")</f>
        <v>0</v>
      </c>
      <c r="U54" s="40">
        <f>SUMIFS('센터 자재 사용내역(09월)'!G:G,'센터 자재 사용내역(09월)'!E:E,'사급자재 사용내역'!C54,'센터 자재 사용내역(09월)'!F:F,"신규")+SUMIFS('센터 자재 사용내역(09월)'!G:G,'센터 자재 사용내역(09월)'!E:E,'사급자재 사용내역'!C54,'센터 자재 사용내역(09월)'!F:F,"교체")</f>
        <v>0</v>
      </c>
      <c r="V54" s="40">
        <f>SUMIFS('센터 자재 사용내역(10월)'!G:G,'센터 자재 사용내역(10월)'!E:E,'사급자재 사용내역'!C54,'센터 자재 사용내역(10월)'!F:F,"신규")+SUMIFS('센터 자재 사용내역(10월)'!G:G,'센터 자재 사용내역(10월)'!E:E,'사급자재 사용내역'!C54,'센터 자재 사용내역(10월)'!F:F,"교체")</f>
        <v>0</v>
      </c>
      <c r="W54" s="40">
        <f>SUMIFS('센터 자재 사용내역(11월)'!G:G,'센터 자재 사용내역(11월)'!E:E,'사급자재 사용내역'!C54,'센터 자재 사용내역(11월)'!F:F,"신규")+SUMIFS('센터 자재 사용내역(11월)'!G:G,'센터 자재 사용내역(11월)'!E:E,'사급자재 사용내역'!C54,'센터 자재 사용내역(11월)'!F:F,"교체")</f>
        <v>0</v>
      </c>
      <c r="X54" s="40">
        <f>SUMIFS('센터 자재 사용내역(12월)'!G:G,'센터 자재 사용내역(12월)'!E:E,'사급자재 사용내역'!C54,'센터 자재 사용내역(12월)'!F:F,"신규")+SUMIFS('센터 자재 사용내역(12월)'!G:G,'센터 자재 사용내역(12월)'!E:E,'사급자재 사용내역'!C54,'센터 자재 사용내역(12월)'!F:F,"교체")</f>
        <v>0</v>
      </c>
      <c r="Y54" s="40">
        <f t="shared" si="16"/>
        <v>0</v>
      </c>
      <c r="Z54" s="52"/>
      <c r="AB54" s="56"/>
      <c r="AC54" s="29"/>
      <c r="AD54" s="29"/>
      <c r="AE54" s="29"/>
      <c r="AF54" s="29"/>
      <c r="AG54" s="29"/>
      <c r="AH54" s="29"/>
      <c r="AI54" s="29"/>
      <c r="AJ54" s="29"/>
      <c r="AK54" s="29"/>
      <c r="AL54" s="29"/>
      <c r="AM54" s="29"/>
      <c r="AN54" s="21">
        <f t="shared" si="17"/>
        <v>0</v>
      </c>
      <c r="AO54" s="57"/>
      <c r="AQ54" s="61">
        <f>SUMIFS('센터 자재 사용내역(01월)'!G:G,'센터 자재 사용내역(01월)'!E:E,'사급자재 사용내역'!C54,'센터 자재 사용내역(01월)'!F:F,"불량")</f>
        <v>2</v>
      </c>
      <c r="AR54" s="40">
        <f>SUMIFS('센터 자재 사용내역(02월)'!G:G,'센터 자재 사용내역(02월)'!E:E,'사급자재 사용내역'!C54,'센터 자재 사용내역(02월)'!F:F,"불량")</f>
        <v>0</v>
      </c>
      <c r="AS54" s="40">
        <f>SUMIFS('센터 자재 사용내역(03월)'!G:G,'센터 자재 사용내역(03월)'!E:E,'사급자재 사용내역'!C54,'센터 자재 사용내역(03월)'!F:F,"불량")</f>
        <v>1</v>
      </c>
      <c r="AT54" s="40">
        <f>SUMIFS('센터 자재 사용내역(04월)'!G:G,'센터 자재 사용내역(04월)'!E:E,'사급자재 사용내역'!C54,'센터 자재 사용내역(04월)'!F:F,"불량")</f>
        <v>1</v>
      </c>
      <c r="AU54" s="40">
        <f>SUMIFS('센터 자재 사용내역(05월)'!G:G,'센터 자재 사용내역(05월)'!E:E,'사급자재 사용내역'!C54,'센터 자재 사용내역(05월)'!F:F,"불량")</f>
        <v>0</v>
      </c>
      <c r="AV54" s="40">
        <f>SUMIFS('센터 자재 사용내역(06월)'!G:G,'센터 자재 사용내역(06월)'!E:E,'사급자재 사용내역'!C54,'센터 자재 사용내역(06월)'!F:F,"불량")</f>
        <v>0</v>
      </c>
      <c r="AW54" s="40">
        <f>SUMIFS('센터 자재 사용내역(07월)'!G:G,'센터 자재 사용내역(07월)'!E:E,'사급자재 사용내역'!C54,'센터 자재 사용내역(07월)'!F:F,"불량")</f>
        <v>0</v>
      </c>
      <c r="AX54" s="40">
        <f>SUMIFS('센터 자재 사용내역(08월)'!G:G,'센터 자재 사용내역(08월)'!E:E,'사급자재 사용내역'!C54,'센터 자재 사용내역(08월)'!F:F,"불량")</f>
        <v>1</v>
      </c>
      <c r="AY54" s="40">
        <f>SUMIFS('센터 자재 사용내역(09월)'!G:G,'센터 자재 사용내역(09월)'!E:E,'사급자재 사용내역'!C54,'센터 자재 사용내역(09월)'!F:F,"불량")</f>
        <v>0</v>
      </c>
      <c r="AZ54" s="40">
        <f>SUMIFS('센터 자재 사용내역(10월)'!G:G,'센터 자재 사용내역(10월)'!E:E,'사급자재 사용내역'!C54,'센터 자재 사용내역(10월)'!F:F,"불량")</f>
        <v>0</v>
      </c>
      <c r="BA54" s="40">
        <f>SUMIFS('센터 자재 사용내역(11월)'!G:G,'센터 자재 사용내역(11월)'!E:E,'사급자재 사용내역'!C54,'센터 자재 사용내역(11월)'!F:F,"불량")</f>
        <v>0</v>
      </c>
      <c r="BB54" s="40">
        <f>SUMIFS('센터 자재 사용내역(12월)'!G:G,'센터 자재 사용내역(12월)'!E:E,'사급자재 사용내역'!C54,'센터 자재 사용내역(12월)'!F:F,"불량")</f>
        <v>0</v>
      </c>
      <c r="BC54" s="40">
        <f t="shared" si="6"/>
        <v>5</v>
      </c>
      <c r="BD54" s="62"/>
    </row>
    <row r="55" spans="2:56" ht="19.5" customHeight="1">
      <c r="B55" s="106" t="s">
        <v>157</v>
      </c>
      <c r="C55" s="22" t="s">
        <v>168</v>
      </c>
      <c r="D55" s="64" t="s">
        <v>129</v>
      </c>
      <c r="E55" s="46">
        <v>26</v>
      </c>
      <c r="F55" s="47">
        <v>0</v>
      </c>
      <c r="G55" s="46"/>
      <c r="H55" s="78">
        <v>2</v>
      </c>
      <c r="I55" s="90">
        <f t="shared" si="4"/>
        <v>3</v>
      </c>
      <c r="J55" s="89">
        <f t="shared" si="18"/>
        <v>25</v>
      </c>
      <c r="K55" s="78">
        <f t="shared" si="7"/>
        <v>6</v>
      </c>
      <c r="L55" s="84">
        <f t="shared" si="15"/>
        <v>7</v>
      </c>
      <c r="M55" s="79">
        <f>SUMIFS('센터 자재 사용내역(01월)'!G:G,'센터 자재 사용내역(01월)'!E:E,'사급자재 사용내역'!C55,'센터 자재 사용내역(01월)'!F:F,"신규")+SUMIFS('센터 자재 사용내역(01월)'!G:G,'센터 자재 사용내역(01월)'!E:E,'사급자재 사용내역'!C55,'센터 자재 사용내역(01월)'!F:F,"교체")</f>
        <v>1</v>
      </c>
      <c r="N55" s="40">
        <f>SUMIFS('센터 자재 사용내역(02월)'!G:G,'센터 자재 사용내역(02월)'!E:E,'사급자재 사용내역'!C55,'센터 자재 사용내역(02월)'!F:F,"신규")+SUMIFS('센터 자재 사용내역(02월)'!G:G,'센터 자재 사용내역(02월)'!E:E,'사급자재 사용내역'!C55,'센터 자재 사용내역(02월)'!F:F,"교체")</f>
        <v>2</v>
      </c>
      <c r="O55" s="40">
        <f>SUMIFS('센터 자재 사용내역(03월)'!G:G,'센터 자재 사용내역(03월)'!E:E,'사급자재 사용내역'!C55,'센터 자재 사용내역(03월)'!F:F,"신규")+SUMIFS('센터 자재 사용내역(03월)'!G:G,'센터 자재 사용내역(03월)'!E:E,'사급자재 사용내역'!C55,'센터 자재 사용내역(03월)'!F:F,"교체")</f>
        <v>1</v>
      </c>
      <c r="P55" s="40">
        <f>SUMIFS('센터 자재 사용내역(04월)'!G:G,'센터 자재 사용내역(04월)'!E:E,'사급자재 사용내역'!C55,'센터 자재 사용내역(04월)'!F:F,"신규")+SUMIFS('센터 자재 사용내역(04월)'!G:G,'센터 자재 사용내역(04월)'!E:E,'사급자재 사용내역'!C55,'센터 자재 사용내역(04월)'!F:F,"교체")</f>
        <v>1</v>
      </c>
      <c r="Q55" s="40">
        <f>SUMIFS('센터 자재 사용내역(05월)'!G:G,'센터 자재 사용내역(05월)'!E:E,'사급자재 사용내역'!C55,'센터 자재 사용내역(05월)'!F:F,"신규")+SUMIFS('센터 자재 사용내역(05월)'!G:G,'센터 자재 사용내역(05월)'!E:E,'사급자재 사용내역'!C55,'센터 자재 사용내역(05월)'!F:F,"교체")</f>
        <v>1</v>
      </c>
      <c r="R55" s="40">
        <f>SUMIFS('센터 자재 사용내역(06월)'!G:G,'센터 자재 사용내역(06월)'!E:E,'사급자재 사용내역'!C55,'센터 자재 사용내역(06월)'!F:F,"신규")+SUMIFS('센터 자재 사용내역(06월)'!G:G,'센터 자재 사용내역(06월)'!E:E,'사급자재 사용내역'!C55,'센터 자재 사용내역(06월)'!F:F,"교체")</f>
        <v>8</v>
      </c>
      <c r="S55" s="40">
        <f>SUMIFS('센터 자재 사용내역(07월)'!G:G,'센터 자재 사용내역(07월)'!E:E,'사급자재 사용내역'!C55,'센터 자재 사용내역(07월)'!F:F,"신규")+SUMIFS('센터 자재 사용내역(07월)'!G:G,'센터 자재 사용내역(07월)'!E:E,'사급자재 사용내역'!C55,'센터 자재 사용내역(07월)'!F:F,"교체")</f>
        <v>3</v>
      </c>
      <c r="T55" s="40">
        <f>SUMIFS('센터 자재 사용내역(08월)'!G:G,'센터 자재 사용내역(08월)'!E:E,'사급자재 사용내역'!C55,'센터 자재 사용내역(08월)'!F:F,"신규")+SUMIFS('센터 자재 사용내역(08월)'!G:G,'센터 자재 사용내역(08월)'!E:E,'사급자재 사용내역'!C55,'센터 자재 사용내역(08월)'!F:F,"교체")</f>
        <v>8</v>
      </c>
      <c r="U55" s="40">
        <f>SUMIFS('센터 자재 사용내역(09월)'!G:G,'센터 자재 사용내역(09월)'!E:E,'사급자재 사용내역'!C55,'센터 자재 사용내역(09월)'!F:F,"신규")+SUMIFS('센터 자재 사용내역(09월)'!G:G,'센터 자재 사용내역(09월)'!E:E,'사급자재 사용내역'!C55,'센터 자재 사용내역(09월)'!F:F,"교체")</f>
        <v>0</v>
      </c>
      <c r="V55" s="40">
        <f>SUMIFS('센터 자재 사용내역(10월)'!G:G,'센터 자재 사용내역(10월)'!E:E,'사급자재 사용내역'!C55,'센터 자재 사용내역(10월)'!F:F,"신규")+SUMIFS('센터 자재 사용내역(10월)'!G:G,'센터 자재 사용내역(10월)'!E:E,'사급자재 사용내역'!C55,'센터 자재 사용내역(10월)'!F:F,"교체")</f>
        <v>0</v>
      </c>
      <c r="W55" s="40">
        <f>SUMIFS('센터 자재 사용내역(11월)'!G:G,'센터 자재 사용내역(11월)'!E:E,'사급자재 사용내역'!C55,'센터 자재 사용내역(11월)'!F:F,"신규")+SUMIFS('센터 자재 사용내역(11월)'!G:G,'센터 자재 사용내역(11월)'!E:E,'사급자재 사용내역'!C55,'센터 자재 사용내역(11월)'!F:F,"교체")</f>
        <v>0</v>
      </c>
      <c r="X55" s="40">
        <f>SUMIFS('센터 자재 사용내역(12월)'!G:G,'센터 자재 사용내역(12월)'!E:E,'사급자재 사용내역'!C55,'센터 자재 사용내역(12월)'!F:F,"신규")+SUMIFS('센터 자재 사용내역(12월)'!G:G,'센터 자재 사용내역(12월)'!E:E,'사급자재 사용내역'!C55,'센터 자재 사용내역(12월)'!F:F,"교체")</f>
        <v>0</v>
      </c>
      <c r="Y55" s="40">
        <f t="shared" si="16"/>
        <v>25</v>
      </c>
      <c r="Z55" s="52"/>
      <c r="AB55" s="56"/>
      <c r="AC55" s="29"/>
      <c r="AD55" s="29"/>
      <c r="AE55" s="29"/>
      <c r="AF55" s="29">
        <v>2</v>
      </c>
      <c r="AG55" s="29">
        <v>4</v>
      </c>
      <c r="AH55" s="29"/>
      <c r="AI55" s="29"/>
      <c r="AJ55" s="29"/>
      <c r="AK55" s="29"/>
      <c r="AL55" s="29"/>
      <c r="AM55" s="29"/>
      <c r="AN55" s="21">
        <f t="shared" si="17"/>
        <v>6</v>
      </c>
      <c r="AO55" s="57"/>
      <c r="AQ55" s="61">
        <f>SUMIFS('센터 자재 사용내역(01월)'!G:G,'센터 자재 사용내역(01월)'!E:E,'사급자재 사용내역'!C55,'센터 자재 사용내역(01월)'!F:F,"불량")</f>
        <v>0</v>
      </c>
      <c r="AR55" s="40">
        <f>SUMIFS('센터 자재 사용내역(02월)'!G:G,'센터 자재 사용내역(02월)'!E:E,'사급자재 사용내역'!C55,'센터 자재 사용내역(02월)'!F:F,"불량")</f>
        <v>0</v>
      </c>
      <c r="AS55" s="40">
        <f>SUMIFS('센터 자재 사용내역(03월)'!G:G,'센터 자재 사용내역(03월)'!E:E,'사급자재 사용내역'!C55,'센터 자재 사용내역(03월)'!F:F,"불량")</f>
        <v>0</v>
      </c>
      <c r="AT55" s="40">
        <f>SUMIFS('센터 자재 사용내역(04월)'!G:G,'센터 자재 사용내역(04월)'!E:E,'사급자재 사용내역'!C55,'센터 자재 사용내역(04월)'!F:F,"불량")</f>
        <v>0</v>
      </c>
      <c r="AU55" s="40">
        <f>SUMIFS('센터 자재 사용내역(05월)'!G:G,'센터 자재 사용내역(05월)'!E:E,'사급자재 사용내역'!C55,'센터 자재 사용내역(05월)'!F:F,"불량")</f>
        <v>0</v>
      </c>
      <c r="AV55" s="40">
        <f>SUMIFS('센터 자재 사용내역(06월)'!G:G,'센터 자재 사용내역(06월)'!E:E,'사급자재 사용내역'!C55,'센터 자재 사용내역(06월)'!F:F,"불량")</f>
        <v>2</v>
      </c>
      <c r="AW55" s="40">
        <f>SUMIFS('센터 자재 사용내역(07월)'!G:G,'센터 자재 사용내역(07월)'!E:E,'사급자재 사용내역'!C55,'센터 자재 사용내역(07월)'!F:F,"불량")</f>
        <v>0</v>
      </c>
      <c r="AX55" s="40">
        <f>SUMIFS('센터 자재 사용내역(08월)'!G:G,'센터 자재 사용내역(08월)'!E:E,'사급자재 사용내역'!C55,'센터 자재 사용내역(08월)'!F:F,"불량")</f>
        <v>3</v>
      </c>
      <c r="AY55" s="40">
        <f>SUMIFS('센터 자재 사용내역(09월)'!G:G,'센터 자재 사용내역(09월)'!E:E,'사급자재 사용내역'!C55,'센터 자재 사용내역(09월)'!F:F,"불량")</f>
        <v>0</v>
      </c>
      <c r="AZ55" s="40">
        <f>SUMIFS('센터 자재 사용내역(10월)'!G:G,'센터 자재 사용내역(10월)'!E:E,'사급자재 사용내역'!C55,'센터 자재 사용내역(10월)'!F:F,"불량")</f>
        <v>0</v>
      </c>
      <c r="BA55" s="40">
        <f>SUMIFS('센터 자재 사용내역(11월)'!G:G,'센터 자재 사용내역(11월)'!E:E,'사급자재 사용내역'!C55,'센터 자재 사용내역(11월)'!F:F,"불량")</f>
        <v>0</v>
      </c>
      <c r="BB55" s="40">
        <f>SUMIFS('센터 자재 사용내역(12월)'!G:G,'센터 자재 사용내역(12월)'!E:E,'사급자재 사용내역'!C55,'센터 자재 사용내역(12월)'!F:F,"불량")</f>
        <v>0</v>
      </c>
      <c r="BC55" s="40">
        <f t="shared" si="6"/>
        <v>5</v>
      </c>
      <c r="BD55" s="62"/>
    </row>
    <row r="56" spans="2:56" ht="19.5" customHeight="1">
      <c r="B56" s="107"/>
      <c r="C56" s="22" t="s">
        <v>169</v>
      </c>
      <c r="D56" s="64" t="s">
        <v>129</v>
      </c>
      <c r="E56" s="46">
        <v>0</v>
      </c>
      <c r="F56" s="47">
        <v>1</v>
      </c>
      <c r="G56" s="46"/>
      <c r="H56" s="78">
        <v>1</v>
      </c>
      <c r="I56" s="90">
        <f t="shared" si="4"/>
        <v>0</v>
      </c>
      <c r="J56" s="89">
        <f t="shared" si="18"/>
        <v>0</v>
      </c>
      <c r="K56" s="78">
        <f t="shared" si="7"/>
        <v>0</v>
      </c>
      <c r="L56" s="84">
        <f t="shared" si="15"/>
        <v>0</v>
      </c>
      <c r="M56" s="79">
        <f>SUMIFS('센터 자재 사용내역(01월)'!G:G,'센터 자재 사용내역(01월)'!E:E,'사급자재 사용내역'!C56,'센터 자재 사용내역(01월)'!F:F,"신규")+SUMIFS('센터 자재 사용내역(01월)'!G:G,'센터 자재 사용내역(01월)'!E:E,'사급자재 사용내역'!C56,'센터 자재 사용내역(01월)'!F:F,"교체")</f>
        <v>0</v>
      </c>
      <c r="N56" s="40">
        <f>SUMIFS('센터 자재 사용내역(02월)'!G:G,'센터 자재 사용내역(02월)'!E:E,'사급자재 사용내역'!C56,'센터 자재 사용내역(02월)'!F:F,"신규")+SUMIFS('센터 자재 사용내역(02월)'!G:G,'센터 자재 사용내역(02월)'!E:E,'사급자재 사용내역'!C56,'센터 자재 사용내역(02월)'!F:F,"교체")</f>
        <v>0</v>
      </c>
      <c r="O56" s="40">
        <f>SUMIFS('센터 자재 사용내역(03월)'!G:G,'센터 자재 사용내역(03월)'!E:E,'사급자재 사용내역'!C56,'센터 자재 사용내역(03월)'!F:F,"신규")+SUMIFS('센터 자재 사용내역(03월)'!G:G,'센터 자재 사용내역(03월)'!E:E,'사급자재 사용내역'!C56,'센터 자재 사용내역(03월)'!F:F,"교체")</f>
        <v>0</v>
      </c>
      <c r="P56" s="40">
        <f>SUMIFS('센터 자재 사용내역(04월)'!G:G,'센터 자재 사용내역(04월)'!E:E,'사급자재 사용내역'!C56,'센터 자재 사용내역(04월)'!F:F,"신규")+SUMIFS('센터 자재 사용내역(04월)'!G:G,'센터 자재 사용내역(04월)'!E:E,'사급자재 사용내역'!C56,'센터 자재 사용내역(04월)'!F:F,"교체")</f>
        <v>0</v>
      </c>
      <c r="Q56" s="40">
        <f>SUMIFS('센터 자재 사용내역(05월)'!G:G,'센터 자재 사용내역(05월)'!E:E,'사급자재 사용내역'!C56,'센터 자재 사용내역(05월)'!F:F,"신규")+SUMIFS('센터 자재 사용내역(05월)'!G:G,'센터 자재 사용내역(05월)'!E:E,'사급자재 사용내역'!C56,'센터 자재 사용내역(05월)'!F:F,"교체")</f>
        <v>0</v>
      </c>
      <c r="R56" s="40">
        <f>SUMIFS('센터 자재 사용내역(06월)'!G:G,'센터 자재 사용내역(06월)'!E:E,'사급자재 사용내역'!C56,'센터 자재 사용내역(06월)'!F:F,"신규")+SUMIFS('센터 자재 사용내역(06월)'!G:G,'센터 자재 사용내역(06월)'!E:E,'사급자재 사용내역'!C56,'센터 자재 사용내역(06월)'!F:F,"교체")</f>
        <v>0</v>
      </c>
      <c r="S56" s="40">
        <f>SUMIFS('센터 자재 사용내역(07월)'!G:G,'센터 자재 사용내역(07월)'!E:E,'사급자재 사용내역'!C56,'센터 자재 사용내역(07월)'!F:F,"신규")+SUMIFS('센터 자재 사용내역(07월)'!G:G,'센터 자재 사용내역(07월)'!E:E,'사급자재 사용내역'!C56,'센터 자재 사용내역(07월)'!F:F,"교체")</f>
        <v>0</v>
      </c>
      <c r="T56" s="40">
        <f>SUMIFS('센터 자재 사용내역(08월)'!G:G,'센터 자재 사용내역(08월)'!E:E,'사급자재 사용내역'!C56,'센터 자재 사용내역(08월)'!F:F,"신규")+SUMIFS('센터 자재 사용내역(08월)'!G:G,'센터 자재 사용내역(08월)'!E:E,'사급자재 사용내역'!C56,'센터 자재 사용내역(08월)'!F:F,"교체")</f>
        <v>0</v>
      </c>
      <c r="U56" s="40">
        <f>SUMIFS('센터 자재 사용내역(09월)'!G:G,'센터 자재 사용내역(09월)'!E:E,'사급자재 사용내역'!C56,'센터 자재 사용내역(09월)'!F:F,"신규")+SUMIFS('센터 자재 사용내역(09월)'!G:G,'센터 자재 사용내역(09월)'!E:E,'사급자재 사용내역'!C56,'센터 자재 사용내역(09월)'!F:F,"교체")</f>
        <v>0</v>
      </c>
      <c r="V56" s="40">
        <f>SUMIFS('센터 자재 사용내역(10월)'!G:G,'센터 자재 사용내역(10월)'!E:E,'사급자재 사용내역'!C56,'센터 자재 사용내역(10월)'!F:F,"신규")+SUMIFS('센터 자재 사용내역(10월)'!G:G,'센터 자재 사용내역(10월)'!E:E,'사급자재 사용내역'!C56,'센터 자재 사용내역(10월)'!F:F,"교체")</f>
        <v>0</v>
      </c>
      <c r="W56" s="40">
        <f>SUMIFS('센터 자재 사용내역(11월)'!G:G,'센터 자재 사용내역(11월)'!E:E,'사급자재 사용내역'!C56,'센터 자재 사용내역(11월)'!F:F,"신규")+SUMIFS('센터 자재 사용내역(11월)'!G:G,'센터 자재 사용내역(11월)'!E:E,'사급자재 사용내역'!C56,'센터 자재 사용내역(11월)'!F:F,"교체")</f>
        <v>0</v>
      </c>
      <c r="X56" s="40">
        <f>SUMIFS('센터 자재 사용내역(12월)'!G:G,'센터 자재 사용내역(12월)'!E:E,'사급자재 사용내역'!C56,'센터 자재 사용내역(12월)'!F:F,"신규")+SUMIFS('센터 자재 사용내역(12월)'!G:G,'센터 자재 사용내역(12월)'!E:E,'사급자재 사용내역'!C56,'센터 자재 사용내역(12월)'!F:F,"교체")</f>
        <v>0</v>
      </c>
      <c r="Y56" s="40">
        <f t="shared" si="16"/>
        <v>0</v>
      </c>
      <c r="Z56" s="52"/>
      <c r="AB56" s="56"/>
      <c r="AC56" s="29"/>
      <c r="AD56" s="29"/>
      <c r="AE56" s="29"/>
      <c r="AF56" s="29"/>
      <c r="AG56" s="29"/>
      <c r="AH56" s="29"/>
      <c r="AI56" s="29"/>
      <c r="AJ56" s="29"/>
      <c r="AK56" s="29"/>
      <c r="AL56" s="29"/>
      <c r="AM56" s="29"/>
      <c r="AN56" s="21">
        <f t="shared" si="17"/>
        <v>0</v>
      </c>
      <c r="AO56" s="57"/>
      <c r="AQ56" s="61">
        <f>SUMIFS('센터 자재 사용내역(01월)'!G:G,'센터 자재 사용내역(01월)'!E:E,'사급자재 사용내역'!C56,'센터 자재 사용내역(01월)'!F:F,"불량")</f>
        <v>0</v>
      </c>
      <c r="AR56" s="40">
        <f>SUMIFS('센터 자재 사용내역(02월)'!G:G,'센터 자재 사용내역(02월)'!E:E,'사급자재 사용내역'!C56,'센터 자재 사용내역(02월)'!F:F,"불량")</f>
        <v>0</v>
      </c>
      <c r="AS56" s="40">
        <f>SUMIFS('센터 자재 사용내역(03월)'!G:G,'센터 자재 사용내역(03월)'!E:E,'사급자재 사용내역'!C56,'센터 자재 사용내역(03월)'!F:F,"불량")</f>
        <v>0</v>
      </c>
      <c r="AT56" s="40">
        <f>SUMIFS('센터 자재 사용내역(04월)'!G:G,'센터 자재 사용내역(04월)'!E:E,'사급자재 사용내역'!C56,'센터 자재 사용내역(04월)'!F:F,"불량")</f>
        <v>0</v>
      </c>
      <c r="AU56" s="40">
        <f>SUMIFS('센터 자재 사용내역(05월)'!G:G,'센터 자재 사용내역(05월)'!E:E,'사급자재 사용내역'!C56,'센터 자재 사용내역(05월)'!F:F,"불량")</f>
        <v>0</v>
      </c>
      <c r="AV56" s="40">
        <f>SUMIFS('센터 자재 사용내역(06월)'!G:G,'센터 자재 사용내역(06월)'!E:E,'사급자재 사용내역'!C56,'센터 자재 사용내역(06월)'!F:F,"불량")</f>
        <v>0</v>
      </c>
      <c r="AW56" s="40">
        <f>SUMIFS('센터 자재 사용내역(07월)'!G:G,'센터 자재 사용내역(07월)'!E:E,'사급자재 사용내역'!C56,'센터 자재 사용내역(07월)'!F:F,"불량")</f>
        <v>0</v>
      </c>
      <c r="AX56" s="40">
        <f>SUMIFS('센터 자재 사용내역(08월)'!G:G,'센터 자재 사용내역(08월)'!E:E,'사급자재 사용내역'!C56,'센터 자재 사용내역(08월)'!F:F,"불량")</f>
        <v>0</v>
      </c>
      <c r="AY56" s="40">
        <f>SUMIFS('센터 자재 사용내역(09월)'!G:G,'센터 자재 사용내역(09월)'!E:E,'사급자재 사용내역'!C56,'센터 자재 사용내역(09월)'!F:F,"불량")</f>
        <v>0</v>
      </c>
      <c r="AZ56" s="40">
        <f>SUMIFS('센터 자재 사용내역(10월)'!G:G,'센터 자재 사용내역(10월)'!E:E,'사급자재 사용내역'!C56,'센터 자재 사용내역(10월)'!F:F,"불량")</f>
        <v>0</v>
      </c>
      <c r="BA56" s="40">
        <f>SUMIFS('센터 자재 사용내역(11월)'!G:G,'센터 자재 사용내역(11월)'!E:E,'사급자재 사용내역'!C56,'센터 자재 사용내역(11월)'!F:F,"불량")</f>
        <v>0</v>
      </c>
      <c r="BB56" s="40">
        <f>SUMIFS('센터 자재 사용내역(12월)'!G:G,'센터 자재 사용내역(12월)'!E:E,'사급자재 사용내역'!C56,'센터 자재 사용내역(12월)'!F:F,"불량")</f>
        <v>0</v>
      </c>
      <c r="BC56" s="40">
        <f t="shared" ref="BC56:BC119" si="19">SUM(AQ56:BB56)</f>
        <v>0</v>
      </c>
      <c r="BD56" s="62"/>
    </row>
    <row r="57" spans="2:56" ht="19.5" customHeight="1">
      <c r="B57" s="107"/>
      <c r="C57" s="22" t="s">
        <v>149</v>
      </c>
      <c r="D57" s="64" t="s">
        <v>131</v>
      </c>
      <c r="E57" s="46">
        <v>0</v>
      </c>
      <c r="F57" s="47">
        <v>0</v>
      </c>
      <c r="G57" s="46"/>
      <c r="H57" s="78">
        <v>1</v>
      </c>
      <c r="I57" s="90">
        <f t="shared" si="4"/>
        <v>1</v>
      </c>
      <c r="J57" s="89">
        <f t="shared" si="18"/>
        <v>0</v>
      </c>
      <c r="K57" s="78">
        <f t="shared" si="7"/>
        <v>0</v>
      </c>
      <c r="L57" s="84">
        <f t="shared" si="15"/>
        <v>0</v>
      </c>
      <c r="M57" s="79">
        <f>SUMIFS('센터 자재 사용내역(01월)'!G:G,'센터 자재 사용내역(01월)'!E:E,'사급자재 사용내역'!C57,'센터 자재 사용내역(01월)'!F:F,"신규")+SUMIFS('센터 자재 사용내역(01월)'!G:G,'센터 자재 사용내역(01월)'!E:E,'사급자재 사용내역'!C57,'센터 자재 사용내역(01월)'!F:F,"교체")</f>
        <v>0</v>
      </c>
      <c r="N57" s="40">
        <f>SUMIFS('센터 자재 사용내역(02월)'!G:G,'센터 자재 사용내역(02월)'!E:E,'사급자재 사용내역'!C57,'센터 자재 사용내역(02월)'!F:F,"신규")+SUMIFS('센터 자재 사용내역(02월)'!G:G,'센터 자재 사용내역(02월)'!E:E,'사급자재 사용내역'!C57,'센터 자재 사용내역(02월)'!F:F,"교체")</f>
        <v>0</v>
      </c>
      <c r="O57" s="40">
        <f>SUMIFS('센터 자재 사용내역(03월)'!G:G,'센터 자재 사용내역(03월)'!E:E,'사급자재 사용내역'!C57,'센터 자재 사용내역(03월)'!F:F,"신규")+SUMIFS('센터 자재 사용내역(03월)'!G:G,'센터 자재 사용내역(03월)'!E:E,'사급자재 사용내역'!C57,'센터 자재 사용내역(03월)'!F:F,"교체")</f>
        <v>0</v>
      </c>
      <c r="P57" s="40">
        <f>SUMIFS('센터 자재 사용내역(04월)'!G:G,'센터 자재 사용내역(04월)'!E:E,'사급자재 사용내역'!C57,'센터 자재 사용내역(04월)'!F:F,"신규")+SUMIFS('센터 자재 사용내역(04월)'!G:G,'센터 자재 사용내역(04월)'!E:E,'사급자재 사용내역'!C57,'센터 자재 사용내역(04월)'!F:F,"교체")</f>
        <v>0</v>
      </c>
      <c r="Q57" s="40">
        <f>SUMIFS('센터 자재 사용내역(05월)'!G:G,'센터 자재 사용내역(05월)'!E:E,'사급자재 사용내역'!C57,'센터 자재 사용내역(05월)'!F:F,"신규")+SUMIFS('센터 자재 사용내역(05월)'!G:G,'센터 자재 사용내역(05월)'!E:E,'사급자재 사용내역'!C57,'센터 자재 사용내역(05월)'!F:F,"교체")</f>
        <v>0</v>
      </c>
      <c r="R57" s="40">
        <f>SUMIFS('센터 자재 사용내역(06월)'!G:G,'센터 자재 사용내역(06월)'!E:E,'사급자재 사용내역'!C57,'센터 자재 사용내역(06월)'!F:F,"신규")+SUMIFS('센터 자재 사용내역(06월)'!G:G,'센터 자재 사용내역(06월)'!E:E,'사급자재 사용내역'!C57,'센터 자재 사용내역(06월)'!F:F,"교체")</f>
        <v>0</v>
      </c>
      <c r="S57" s="40">
        <f>SUMIFS('센터 자재 사용내역(07월)'!G:G,'센터 자재 사용내역(07월)'!E:E,'사급자재 사용내역'!C57,'센터 자재 사용내역(07월)'!F:F,"신규")+SUMIFS('센터 자재 사용내역(07월)'!G:G,'센터 자재 사용내역(07월)'!E:E,'사급자재 사용내역'!C57,'센터 자재 사용내역(07월)'!F:F,"교체")</f>
        <v>0</v>
      </c>
      <c r="T57" s="40">
        <f>SUMIFS('센터 자재 사용내역(08월)'!G:G,'센터 자재 사용내역(08월)'!E:E,'사급자재 사용내역'!C57,'센터 자재 사용내역(08월)'!F:F,"신규")+SUMIFS('센터 자재 사용내역(08월)'!G:G,'센터 자재 사용내역(08월)'!E:E,'사급자재 사용내역'!C57,'센터 자재 사용내역(08월)'!F:F,"교체")</f>
        <v>0</v>
      </c>
      <c r="U57" s="40">
        <f>SUMIFS('센터 자재 사용내역(09월)'!G:G,'센터 자재 사용내역(09월)'!E:E,'사급자재 사용내역'!C57,'센터 자재 사용내역(09월)'!F:F,"신규")+SUMIFS('센터 자재 사용내역(09월)'!G:G,'센터 자재 사용내역(09월)'!E:E,'사급자재 사용내역'!C57,'센터 자재 사용내역(09월)'!F:F,"교체")</f>
        <v>0</v>
      </c>
      <c r="V57" s="40">
        <f>SUMIFS('센터 자재 사용내역(10월)'!G:G,'센터 자재 사용내역(10월)'!E:E,'사급자재 사용내역'!C57,'센터 자재 사용내역(10월)'!F:F,"신규")+SUMIFS('센터 자재 사용내역(10월)'!G:G,'센터 자재 사용내역(10월)'!E:E,'사급자재 사용내역'!C57,'센터 자재 사용내역(10월)'!F:F,"교체")</f>
        <v>0</v>
      </c>
      <c r="W57" s="40">
        <f>SUMIFS('센터 자재 사용내역(11월)'!G:G,'센터 자재 사용내역(11월)'!E:E,'사급자재 사용내역'!C57,'센터 자재 사용내역(11월)'!F:F,"신규")+SUMIFS('센터 자재 사용내역(11월)'!G:G,'센터 자재 사용내역(11월)'!E:E,'사급자재 사용내역'!C57,'센터 자재 사용내역(11월)'!F:F,"교체")</f>
        <v>0</v>
      </c>
      <c r="X57" s="40">
        <f>SUMIFS('센터 자재 사용내역(12월)'!G:G,'센터 자재 사용내역(12월)'!E:E,'사급자재 사용내역'!C57,'센터 자재 사용내역(12월)'!F:F,"신규")+SUMIFS('센터 자재 사용내역(12월)'!G:G,'센터 자재 사용내역(12월)'!E:E,'사급자재 사용내역'!C57,'센터 자재 사용내역(12월)'!F:F,"교체")</f>
        <v>0</v>
      </c>
      <c r="Y57" s="40">
        <f t="shared" si="16"/>
        <v>0</v>
      </c>
      <c r="Z57" s="52"/>
      <c r="AB57" s="56"/>
      <c r="AC57" s="29"/>
      <c r="AD57" s="29"/>
      <c r="AE57" s="29"/>
      <c r="AF57" s="29"/>
      <c r="AG57" s="29"/>
      <c r="AH57" s="29"/>
      <c r="AI57" s="29"/>
      <c r="AJ57" s="29"/>
      <c r="AK57" s="29"/>
      <c r="AL57" s="29"/>
      <c r="AM57" s="29"/>
      <c r="AN57" s="21">
        <f t="shared" si="17"/>
        <v>0</v>
      </c>
      <c r="AO57" s="57"/>
      <c r="AQ57" s="61">
        <f>SUMIFS('센터 자재 사용내역(01월)'!G:G,'센터 자재 사용내역(01월)'!E:E,'사급자재 사용내역'!C57,'센터 자재 사용내역(01월)'!F:F,"불량")</f>
        <v>0</v>
      </c>
      <c r="AR57" s="40">
        <f>SUMIFS('센터 자재 사용내역(02월)'!G:G,'센터 자재 사용내역(02월)'!E:E,'사급자재 사용내역'!C57,'센터 자재 사용내역(02월)'!F:F,"불량")</f>
        <v>1</v>
      </c>
      <c r="AS57" s="40">
        <f>SUMIFS('센터 자재 사용내역(03월)'!G:G,'센터 자재 사용내역(03월)'!E:E,'사급자재 사용내역'!C57,'센터 자재 사용내역(03월)'!F:F,"불량")</f>
        <v>0</v>
      </c>
      <c r="AT57" s="40">
        <f>SUMIFS('센터 자재 사용내역(04월)'!G:G,'센터 자재 사용내역(04월)'!E:E,'사급자재 사용내역'!C57,'센터 자재 사용내역(04월)'!F:F,"불량")</f>
        <v>0</v>
      </c>
      <c r="AU57" s="40">
        <f>SUMIFS('센터 자재 사용내역(05월)'!G:G,'센터 자재 사용내역(05월)'!E:E,'사급자재 사용내역'!C57,'센터 자재 사용내역(05월)'!F:F,"불량")</f>
        <v>0</v>
      </c>
      <c r="AV57" s="40">
        <f>SUMIFS('센터 자재 사용내역(06월)'!G:G,'센터 자재 사용내역(06월)'!E:E,'사급자재 사용내역'!C57,'센터 자재 사용내역(06월)'!F:F,"불량")</f>
        <v>0</v>
      </c>
      <c r="AW57" s="40">
        <f>SUMIFS('센터 자재 사용내역(07월)'!G:G,'센터 자재 사용내역(07월)'!E:E,'사급자재 사용내역'!C57,'센터 자재 사용내역(07월)'!F:F,"불량")</f>
        <v>0</v>
      </c>
      <c r="AX57" s="40">
        <f>SUMIFS('센터 자재 사용내역(08월)'!G:G,'센터 자재 사용내역(08월)'!E:E,'사급자재 사용내역'!C57,'센터 자재 사용내역(08월)'!F:F,"불량")</f>
        <v>1</v>
      </c>
      <c r="AY57" s="40">
        <f>SUMIFS('센터 자재 사용내역(09월)'!G:G,'센터 자재 사용내역(09월)'!E:E,'사급자재 사용내역'!C57,'센터 자재 사용내역(09월)'!F:F,"불량")</f>
        <v>0</v>
      </c>
      <c r="AZ57" s="40">
        <f>SUMIFS('센터 자재 사용내역(10월)'!G:G,'센터 자재 사용내역(10월)'!E:E,'사급자재 사용내역'!C57,'센터 자재 사용내역(10월)'!F:F,"불량")</f>
        <v>0</v>
      </c>
      <c r="BA57" s="40">
        <f>SUMIFS('센터 자재 사용내역(11월)'!G:G,'센터 자재 사용내역(11월)'!E:E,'사급자재 사용내역'!C57,'센터 자재 사용내역(11월)'!F:F,"불량")</f>
        <v>0</v>
      </c>
      <c r="BB57" s="40">
        <f>SUMIFS('센터 자재 사용내역(12월)'!G:G,'센터 자재 사용내역(12월)'!E:E,'사급자재 사용내역'!C57,'센터 자재 사용내역(12월)'!F:F,"불량")</f>
        <v>0</v>
      </c>
      <c r="BC57" s="40">
        <f t="shared" si="19"/>
        <v>2</v>
      </c>
      <c r="BD57" s="62"/>
    </row>
    <row r="58" spans="2:56" ht="19.5" customHeight="1">
      <c r="B58" s="107"/>
      <c r="C58" s="22" t="s">
        <v>150</v>
      </c>
      <c r="D58" s="64" t="s">
        <v>129</v>
      </c>
      <c r="E58" s="46">
        <v>0</v>
      </c>
      <c r="F58" s="47">
        <v>0</v>
      </c>
      <c r="G58" s="46"/>
      <c r="H58" s="78"/>
      <c r="I58" s="90">
        <f t="shared" si="4"/>
        <v>0</v>
      </c>
      <c r="J58" s="89">
        <f t="shared" si="18"/>
        <v>0</v>
      </c>
      <c r="K58" s="78">
        <f t="shared" si="7"/>
        <v>0</v>
      </c>
      <c r="L58" s="84">
        <f t="shared" si="15"/>
        <v>0</v>
      </c>
      <c r="M58" s="79">
        <f>SUMIFS('센터 자재 사용내역(01월)'!G:G,'센터 자재 사용내역(01월)'!E:E,'사급자재 사용내역'!C58,'센터 자재 사용내역(01월)'!F:F,"신규")+SUMIFS('센터 자재 사용내역(01월)'!G:G,'센터 자재 사용내역(01월)'!E:E,'사급자재 사용내역'!C58,'센터 자재 사용내역(01월)'!F:F,"교체")</f>
        <v>0</v>
      </c>
      <c r="N58" s="40">
        <f>SUMIFS('센터 자재 사용내역(02월)'!G:G,'센터 자재 사용내역(02월)'!E:E,'사급자재 사용내역'!C58,'센터 자재 사용내역(02월)'!F:F,"신규")+SUMIFS('센터 자재 사용내역(02월)'!G:G,'센터 자재 사용내역(02월)'!E:E,'사급자재 사용내역'!C58,'센터 자재 사용내역(02월)'!F:F,"교체")</f>
        <v>0</v>
      </c>
      <c r="O58" s="40">
        <f>SUMIFS('센터 자재 사용내역(03월)'!G:G,'센터 자재 사용내역(03월)'!E:E,'사급자재 사용내역'!C58,'센터 자재 사용내역(03월)'!F:F,"신규")+SUMIFS('센터 자재 사용내역(03월)'!G:G,'센터 자재 사용내역(03월)'!E:E,'사급자재 사용내역'!C58,'센터 자재 사용내역(03월)'!F:F,"교체")</f>
        <v>0</v>
      </c>
      <c r="P58" s="40">
        <f>SUMIFS('센터 자재 사용내역(04월)'!G:G,'센터 자재 사용내역(04월)'!E:E,'사급자재 사용내역'!C58,'센터 자재 사용내역(04월)'!F:F,"신규")+SUMIFS('센터 자재 사용내역(04월)'!G:G,'센터 자재 사용내역(04월)'!E:E,'사급자재 사용내역'!C58,'센터 자재 사용내역(04월)'!F:F,"교체")</f>
        <v>0</v>
      </c>
      <c r="Q58" s="40">
        <f>SUMIFS('센터 자재 사용내역(05월)'!G:G,'센터 자재 사용내역(05월)'!E:E,'사급자재 사용내역'!C58,'센터 자재 사용내역(05월)'!F:F,"신규")+SUMIFS('센터 자재 사용내역(05월)'!G:G,'센터 자재 사용내역(05월)'!E:E,'사급자재 사용내역'!C58,'센터 자재 사용내역(05월)'!F:F,"교체")</f>
        <v>0</v>
      </c>
      <c r="R58" s="40">
        <f>SUMIFS('센터 자재 사용내역(06월)'!G:G,'센터 자재 사용내역(06월)'!E:E,'사급자재 사용내역'!C58,'센터 자재 사용내역(06월)'!F:F,"신규")+SUMIFS('센터 자재 사용내역(06월)'!G:G,'센터 자재 사용내역(06월)'!E:E,'사급자재 사용내역'!C58,'센터 자재 사용내역(06월)'!F:F,"교체")</f>
        <v>0</v>
      </c>
      <c r="S58" s="40">
        <f>SUMIFS('센터 자재 사용내역(07월)'!G:G,'센터 자재 사용내역(07월)'!E:E,'사급자재 사용내역'!C58,'센터 자재 사용내역(07월)'!F:F,"신규")+SUMIFS('센터 자재 사용내역(07월)'!G:G,'센터 자재 사용내역(07월)'!E:E,'사급자재 사용내역'!C58,'센터 자재 사용내역(07월)'!F:F,"교체")</f>
        <v>0</v>
      </c>
      <c r="T58" s="40">
        <f>SUMIFS('센터 자재 사용내역(08월)'!G:G,'센터 자재 사용내역(08월)'!E:E,'사급자재 사용내역'!C58,'센터 자재 사용내역(08월)'!F:F,"신규")+SUMIFS('센터 자재 사용내역(08월)'!G:G,'센터 자재 사용내역(08월)'!E:E,'사급자재 사용내역'!C58,'센터 자재 사용내역(08월)'!F:F,"교체")</f>
        <v>0</v>
      </c>
      <c r="U58" s="40">
        <f>SUMIFS('센터 자재 사용내역(09월)'!G:G,'센터 자재 사용내역(09월)'!E:E,'사급자재 사용내역'!C58,'센터 자재 사용내역(09월)'!F:F,"신규")+SUMIFS('센터 자재 사용내역(09월)'!G:G,'센터 자재 사용내역(09월)'!E:E,'사급자재 사용내역'!C58,'센터 자재 사용내역(09월)'!F:F,"교체")</f>
        <v>0</v>
      </c>
      <c r="V58" s="40">
        <f>SUMIFS('센터 자재 사용내역(10월)'!G:G,'센터 자재 사용내역(10월)'!E:E,'사급자재 사용내역'!C58,'센터 자재 사용내역(10월)'!F:F,"신규")+SUMIFS('센터 자재 사용내역(10월)'!G:G,'센터 자재 사용내역(10월)'!E:E,'사급자재 사용내역'!C58,'센터 자재 사용내역(10월)'!F:F,"교체")</f>
        <v>0</v>
      </c>
      <c r="W58" s="40">
        <f>SUMIFS('센터 자재 사용내역(11월)'!G:G,'센터 자재 사용내역(11월)'!E:E,'사급자재 사용내역'!C58,'센터 자재 사용내역(11월)'!F:F,"신규")+SUMIFS('센터 자재 사용내역(11월)'!G:G,'센터 자재 사용내역(11월)'!E:E,'사급자재 사용내역'!C58,'센터 자재 사용내역(11월)'!F:F,"교체")</f>
        <v>0</v>
      </c>
      <c r="X58" s="40">
        <f>SUMIFS('센터 자재 사용내역(12월)'!G:G,'센터 자재 사용내역(12월)'!E:E,'사급자재 사용내역'!C58,'센터 자재 사용내역(12월)'!F:F,"신규")+SUMIFS('센터 자재 사용내역(12월)'!G:G,'센터 자재 사용내역(12월)'!E:E,'사급자재 사용내역'!C58,'센터 자재 사용내역(12월)'!F:F,"교체")</f>
        <v>0</v>
      </c>
      <c r="Y58" s="40">
        <f t="shared" si="16"/>
        <v>0</v>
      </c>
      <c r="Z58" s="52"/>
      <c r="AB58" s="56"/>
      <c r="AC58" s="29"/>
      <c r="AD58" s="29"/>
      <c r="AE58" s="29"/>
      <c r="AF58" s="29"/>
      <c r="AG58" s="29"/>
      <c r="AH58" s="29"/>
      <c r="AI58" s="29"/>
      <c r="AJ58" s="29"/>
      <c r="AK58" s="29"/>
      <c r="AL58" s="29"/>
      <c r="AM58" s="29"/>
      <c r="AN58" s="21">
        <f t="shared" si="17"/>
        <v>0</v>
      </c>
      <c r="AO58" s="57"/>
      <c r="AQ58" s="61">
        <f>SUMIFS('센터 자재 사용내역(01월)'!G:G,'센터 자재 사용내역(01월)'!E:E,'사급자재 사용내역'!C58,'센터 자재 사용내역(01월)'!F:F,"불량")</f>
        <v>0</v>
      </c>
      <c r="AR58" s="40">
        <f>SUMIFS('센터 자재 사용내역(02월)'!G:G,'센터 자재 사용내역(02월)'!E:E,'사급자재 사용내역'!C58,'센터 자재 사용내역(02월)'!F:F,"불량")</f>
        <v>0</v>
      </c>
      <c r="AS58" s="40">
        <f>SUMIFS('센터 자재 사용내역(03월)'!G:G,'센터 자재 사용내역(03월)'!E:E,'사급자재 사용내역'!C58,'센터 자재 사용내역(03월)'!F:F,"불량")</f>
        <v>0</v>
      </c>
      <c r="AT58" s="40">
        <f>SUMIFS('센터 자재 사용내역(04월)'!G:G,'센터 자재 사용내역(04월)'!E:E,'사급자재 사용내역'!C58,'센터 자재 사용내역(04월)'!F:F,"불량")</f>
        <v>0</v>
      </c>
      <c r="AU58" s="40">
        <f>SUMIFS('센터 자재 사용내역(05월)'!G:G,'센터 자재 사용내역(05월)'!E:E,'사급자재 사용내역'!C58,'센터 자재 사용내역(05월)'!F:F,"불량")</f>
        <v>0</v>
      </c>
      <c r="AV58" s="40">
        <f>SUMIFS('센터 자재 사용내역(06월)'!G:G,'센터 자재 사용내역(06월)'!E:E,'사급자재 사용내역'!C58,'센터 자재 사용내역(06월)'!F:F,"불량")</f>
        <v>0</v>
      </c>
      <c r="AW58" s="40">
        <f>SUMIFS('센터 자재 사용내역(07월)'!G:G,'센터 자재 사용내역(07월)'!E:E,'사급자재 사용내역'!C58,'센터 자재 사용내역(07월)'!F:F,"불량")</f>
        <v>0</v>
      </c>
      <c r="AX58" s="40">
        <f>SUMIFS('센터 자재 사용내역(08월)'!G:G,'센터 자재 사용내역(08월)'!E:E,'사급자재 사용내역'!C58,'센터 자재 사용내역(08월)'!F:F,"불량")</f>
        <v>0</v>
      </c>
      <c r="AY58" s="40">
        <f>SUMIFS('센터 자재 사용내역(09월)'!G:G,'센터 자재 사용내역(09월)'!E:E,'사급자재 사용내역'!C58,'센터 자재 사용내역(09월)'!F:F,"불량")</f>
        <v>0</v>
      </c>
      <c r="AZ58" s="40">
        <f>SUMIFS('센터 자재 사용내역(10월)'!G:G,'센터 자재 사용내역(10월)'!E:E,'사급자재 사용내역'!C58,'센터 자재 사용내역(10월)'!F:F,"불량")</f>
        <v>0</v>
      </c>
      <c r="BA58" s="40">
        <f>SUMIFS('센터 자재 사용내역(11월)'!G:G,'센터 자재 사용내역(11월)'!E:E,'사급자재 사용내역'!C58,'센터 자재 사용내역(11월)'!F:F,"불량")</f>
        <v>0</v>
      </c>
      <c r="BB58" s="40">
        <f>SUMIFS('센터 자재 사용내역(12월)'!G:G,'센터 자재 사용내역(12월)'!E:E,'사급자재 사용내역'!C58,'센터 자재 사용내역(12월)'!F:F,"불량")</f>
        <v>0</v>
      </c>
      <c r="BC58" s="40">
        <f t="shared" si="19"/>
        <v>0</v>
      </c>
      <c r="BD58" s="62"/>
    </row>
    <row r="59" spans="2:56" ht="19.5" customHeight="1">
      <c r="B59" s="107"/>
      <c r="C59" s="22" t="s">
        <v>42</v>
      </c>
      <c r="D59" s="64" t="s">
        <v>132</v>
      </c>
      <c r="E59" s="46">
        <v>0</v>
      </c>
      <c r="F59" s="47">
        <v>1</v>
      </c>
      <c r="G59" s="46"/>
      <c r="H59" s="78">
        <v>5</v>
      </c>
      <c r="I59" s="90">
        <f t="shared" si="4"/>
        <v>1</v>
      </c>
      <c r="J59" s="89">
        <f t="shared" si="18"/>
        <v>0</v>
      </c>
      <c r="K59" s="78">
        <f t="shared" si="7"/>
        <v>0</v>
      </c>
      <c r="L59" s="84">
        <f t="shared" si="15"/>
        <v>0</v>
      </c>
      <c r="M59" s="79">
        <f>SUMIFS('센터 자재 사용내역(01월)'!G:G,'센터 자재 사용내역(01월)'!E:E,'사급자재 사용내역'!C59,'센터 자재 사용내역(01월)'!F:F,"신규")+SUMIFS('센터 자재 사용내역(01월)'!G:G,'센터 자재 사용내역(01월)'!E:E,'사급자재 사용내역'!C59,'센터 자재 사용내역(01월)'!F:F,"교체")</f>
        <v>0</v>
      </c>
      <c r="N59" s="40">
        <f>SUMIFS('센터 자재 사용내역(02월)'!G:G,'센터 자재 사용내역(02월)'!E:E,'사급자재 사용내역'!C59,'센터 자재 사용내역(02월)'!F:F,"신규")+SUMIFS('센터 자재 사용내역(02월)'!G:G,'센터 자재 사용내역(02월)'!E:E,'사급자재 사용내역'!C59,'센터 자재 사용내역(02월)'!F:F,"교체")</f>
        <v>0</v>
      </c>
      <c r="O59" s="40">
        <f>SUMIFS('센터 자재 사용내역(03월)'!G:G,'센터 자재 사용내역(03월)'!E:E,'사급자재 사용내역'!C59,'센터 자재 사용내역(03월)'!F:F,"신규")+SUMIFS('센터 자재 사용내역(03월)'!G:G,'센터 자재 사용내역(03월)'!E:E,'사급자재 사용내역'!C59,'센터 자재 사용내역(03월)'!F:F,"교체")</f>
        <v>0</v>
      </c>
      <c r="P59" s="40">
        <f>SUMIFS('센터 자재 사용내역(04월)'!G:G,'센터 자재 사용내역(04월)'!E:E,'사급자재 사용내역'!C59,'센터 자재 사용내역(04월)'!F:F,"신규")+SUMIFS('센터 자재 사용내역(04월)'!G:G,'센터 자재 사용내역(04월)'!E:E,'사급자재 사용내역'!C59,'센터 자재 사용내역(04월)'!F:F,"교체")</f>
        <v>0</v>
      </c>
      <c r="Q59" s="40">
        <f>SUMIFS('센터 자재 사용내역(05월)'!G:G,'센터 자재 사용내역(05월)'!E:E,'사급자재 사용내역'!C59,'센터 자재 사용내역(05월)'!F:F,"신규")+SUMIFS('센터 자재 사용내역(05월)'!G:G,'센터 자재 사용내역(05월)'!E:E,'사급자재 사용내역'!C59,'센터 자재 사용내역(05월)'!F:F,"교체")</f>
        <v>0</v>
      </c>
      <c r="R59" s="40">
        <f>SUMIFS('센터 자재 사용내역(06월)'!G:G,'센터 자재 사용내역(06월)'!E:E,'사급자재 사용내역'!C59,'센터 자재 사용내역(06월)'!F:F,"신규")+SUMIFS('센터 자재 사용내역(06월)'!G:G,'센터 자재 사용내역(06월)'!E:E,'사급자재 사용내역'!C59,'센터 자재 사용내역(06월)'!F:F,"교체")</f>
        <v>0</v>
      </c>
      <c r="S59" s="40">
        <f>SUMIFS('센터 자재 사용내역(07월)'!G:G,'센터 자재 사용내역(07월)'!E:E,'사급자재 사용내역'!C59,'센터 자재 사용내역(07월)'!F:F,"신규")+SUMIFS('센터 자재 사용내역(07월)'!G:G,'센터 자재 사용내역(07월)'!E:E,'사급자재 사용내역'!C59,'센터 자재 사용내역(07월)'!F:F,"교체")</f>
        <v>0</v>
      </c>
      <c r="T59" s="40">
        <f>SUMIFS('센터 자재 사용내역(08월)'!G:G,'센터 자재 사용내역(08월)'!E:E,'사급자재 사용내역'!C59,'센터 자재 사용내역(08월)'!F:F,"신규")+SUMIFS('센터 자재 사용내역(08월)'!G:G,'센터 자재 사용내역(08월)'!E:E,'사급자재 사용내역'!C59,'센터 자재 사용내역(08월)'!F:F,"교체")</f>
        <v>0</v>
      </c>
      <c r="U59" s="40">
        <f>SUMIFS('센터 자재 사용내역(09월)'!G:G,'센터 자재 사용내역(09월)'!E:E,'사급자재 사용내역'!C59,'센터 자재 사용내역(09월)'!F:F,"신규")+SUMIFS('센터 자재 사용내역(09월)'!G:G,'센터 자재 사용내역(09월)'!E:E,'사급자재 사용내역'!C59,'센터 자재 사용내역(09월)'!F:F,"교체")</f>
        <v>0</v>
      </c>
      <c r="V59" s="40">
        <f>SUMIFS('센터 자재 사용내역(10월)'!G:G,'센터 자재 사용내역(10월)'!E:E,'사급자재 사용내역'!C59,'센터 자재 사용내역(10월)'!F:F,"신규")+SUMIFS('센터 자재 사용내역(10월)'!G:G,'센터 자재 사용내역(10월)'!E:E,'사급자재 사용내역'!C59,'센터 자재 사용내역(10월)'!F:F,"교체")</f>
        <v>0</v>
      </c>
      <c r="W59" s="40">
        <f>SUMIFS('센터 자재 사용내역(11월)'!G:G,'센터 자재 사용내역(11월)'!E:E,'사급자재 사용내역'!C59,'센터 자재 사용내역(11월)'!F:F,"신규")+SUMIFS('센터 자재 사용내역(11월)'!G:G,'센터 자재 사용내역(11월)'!E:E,'사급자재 사용내역'!C59,'센터 자재 사용내역(11월)'!F:F,"교체")</f>
        <v>0</v>
      </c>
      <c r="X59" s="40">
        <f>SUMIFS('센터 자재 사용내역(12월)'!G:G,'센터 자재 사용내역(12월)'!E:E,'사급자재 사용내역'!C59,'센터 자재 사용내역(12월)'!F:F,"신규")+SUMIFS('센터 자재 사용내역(12월)'!G:G,'센터 자재 사용내역(12월)'!E:E,'사급자재 사용내역'!C59,'센터 자재 사용내역(12월)'!F:F,"교체")</f>
        <v>0</v>
      </c>
      <c r="Y59" s="40">
        <f t="shared" si="16"/>
        <v>0</v>
      </c>
      <c r="Z59" s="52"/>
      <c r="AB59" s="56"/>
      <c r="AC59" s="29"/>
      <c r="AD59" s="29"/>
      <c r="AE59" s="29"/>
      <c r="AF59" s="29"/>
      <c r="AG59" s="29"/>
      <c r="AH59" s="29"/>
      <c r="AI59" s="29"/>
      <c r="AJ59" s="29"/>
      <c r="AK59" s="29"/>
      <c r="AL59" s="29"/>
      <c r="AM59" s="29"/>
      <c r="AN59" s="21">
        <f t="shared" si="17"/>
        <v>0</v>
      </c>
      <c r="AO59" s="57"/>
      <c r="AQ59" s="61">
        <f>SUMIFS('센터 자재 사용내역(01월)'!G:G,'센터 자재 사용내역(01월)'!E:E,'사급자재 사용내역'!C59,'센터 자재 사용내역(01월)'!F:F,"불량")</f>
        <v>0</v>
      </c>
      <c r="AR59" s="40">
        <f>SUMIFS('센터 자재 사용내역(02월)'!G:G,'센터 자재 사용내역(02월)'!E:E,'사급자재 사용내역'!C59,'센터 자재 사용내역(02월)'!F:F,"불량")</f>
        <v>0</v>
      </c>
      <c r="AS59" s="40">
        <f>SUMIFS('센터 자재 사용내역(03월)'!G:G,'센터 자재 사용내역(03월)'!E:E,'사급자재 사용내역'!C59,'센터 자재 사용내역(03월)'!F:F,"불량")</f>
        <v>0</v>
      </c>
      <c r="AT59" s="40">
        <f>SUMIFS('센터 자재 사용내역(04월)'!G:G,'센터 자재 사용내역(04월)'!E:E,'사급자재 사용내역'!C59,'센터 자재 사용내역(04월)'!F:F,"불량")</f>
        <v>0</v>
      </c>
      <c r="AU59" s="40">
        <f>SUMIFS('센터 자재 사용내역(05월)'!G:G,'센터 자재 사용내역(05월)'!E:E,'사급자재 사용내역'!C59,'센터 자재 사용내역(05월)'!F:F,"불량")</f>
        <v>1</v>
      </c>
      <c r="AV59" s="40">
        <f>SUMIFS('센터 자재 사용내역(06월)'!G:G,'센터 자재 사용내역(06월)'!E:E,'사급자재 사용내역'!C59,'센터 자재 사용내역(06월)'!F:F,"불량")</f>
        <v>3</v>
      </c>
      <c r="AW59" s="40">
        <f>SUMIFS('센터 자재 사용내역(07월)'!G:G,'센터 자재 사용내역(07월)'!E:E,'사급자재 사용내역'!C59,'센터 자재 사용내역(07월)'!F:F,"불량")</f>
        <v>1</v>
      </c>
      <c r="AX59" s="40">
        <f>SUMIFS('센터 자재 사용내역(08월)'!G:G,'센터 자재 사용내역(08월)'!E:E,'사급자재 사용내역'!C59,'센터 자재 사용내역(08월)'!F:F,"불량")</f>
        <v>0</v>
      </c>
      <c r="AY59" s="40">
        <f>SUMIFS('센터 자재 사용내역(09월)'!G:G,'센터 자재 사용내역(09월)'!E:E,'사급자재 사용내역'!C59,'센터 자재 사용내역(09월)'!F:F,"불량")</f>
        <v>0</v>
      </c>
      <c r="AZ59" s="40">
        <f>SUMIFS('센터 자재 사용내역(10월)'!G:G,'센터 자재 사용내역(10월)'!E:E,'사급자재 사용내역'!C59,'센터 자재 사용내역(10월)'!F:F,"불량")</f>
        <v>0</v>
      </c>
      <c r="BA59" s="40">
        <f>SUMIFS('센터 자재 사용내역(11월)'!G:G,'센터 자재 사용내역(11월)'!E:E,'사급자재 사용내역'!C59,'센터 자재 사용내역(11월)'!F:F,"불량")</f>
        <v>0</v>
      </c>
      <c r="BB59" s="40">
        <f>SUMIFS('센터 자재 사용내역(12월)'!G:G,'센터 자재 사용내역(12월)'!E:E,'사급자재 사용내역'!C59,'센터 자재 사용내역(12월)'!F:F,"불량")</f>
        <v>0</v>
      </c>
      <c r="BC59" s="40">
        <f t="shared" si="19"/>
        <v>5</v>
      </c>
      <c r="BD59" s="62"/>
    </row>
    <row r="60" spans="2:56" ht="19.5" customHeight="1">
      <c r="B60" s="108"/>
      <c r="C60" s="22"/>
      <c r="D60" s="64" t="s">
        <v>130</v>
      </c>
      <c r="E60" s="46">
        <v>0</v>
      </c>
      <c r="F60" s="47">
        <v>0</v>
      </c>
      <c r="G60" s="46"/>
      <c r="H60" s="78"/>
      <c r="I60" s="90">
        <f t="shared" si="4"/>
        <v>0</v>
      </c>
      <c r="J60" s="89">
        <f t="shared" si="18"/>
        <v>0</v>
      </c>
      <c r="K60" s="78">
        <f t="shared" si="7"/>
        <v>0</v>
      </c>
      <c r="L60" s="84">
        <f t="shared" si="15"/>
        <v>0</v>
      </c>
      <c r="M60" s="79">
        <f>SUMIFS('센터 자재 사용내역(01월)'!G:G,'센터 자재 사용내역(01월)'!E:E,'사급자재 사용내역'!C60,'센터 자재 사용내역(01월)'!F:F,"신규")+SUMIFS('센터 자재 사용내역(01월)'!G:G,'센터 자재 사용내역(01월)'!E:E,'사급자재 사용내역'!C60,'센터 자재 사용내역(01월)'!F:F,"교체")</f>
        <v>0</v>
      </c>
      <c r="N60" s="40">
        <f>SUMIFS('센터 자재 사용내역(02월)'!G:G,'센터 자재 사용내역(02월)'!E:E,'사급자재 사용내역'!C60,'센터 자재 사용내역(02월)'!F:F,"신규")+SUMIFS('센터 자재 사용내역(02월)'!G:G,'센터 자재 사용내역(02월)'!E:E,'사급자재 사용내역'!C60,'센터 자재 사용내역(02월)'!F:F,"교체")</f>
        <v>0</v>
      </c>
      <c r="O60" s="40">
        <f>SUMIFS('센터 자재 사용내역(03월)'!G:G,'센터 자재 사용내역(03월)'!E:E,'사급자재 사용내역'!C60,'센터 자재 사용내역(03월)'!F:F,"신규")+SUMIFS('센터 자재 사용내역(03월)'!G:G,'센터 자재 사용내역(03월)'!E:E,'사급자재 사용내역'!C60,'센터 자재 사용내역(03월)'!F:F,"교체")</f>
        <v>0</v>
      </c>
      <c r="P60" s="40">
        <f>SUMIFS('센터 자재 사용내역(04월)'!G:G,'센터 자재 사용내역(04월)'!E:E,'사급자재 사용내역'!C60,'센터 자재 사용내역(04월)'!F:F,"신규")+SUMIFS('센터 자재 사용내역(04월)'!G:G,'센터 자재 사용내역(04월)'!E:E,'사급자재 사용내역'!C60,'센터 자재 사용내역(04월)'!F:F,"교체")</f>
        <v>0</v>
      </c>
      <c r="Q60" s="40">
        <f>SUMIFS('센터 자재 사용내역(05월)'!G:G,'센터 자재 사용내역(05월)'!E:E,'사급자재 사용내역'!C60,'센터 자재 사용내역(05월)'!F:F,"신규")+SUMIFS('센터 자재 사용내역(05월)'!G:G,'센터 자재 사용내역(05월)'!E:E,'사급자재 사용내역'!C60,'센터 자재 사용내역(05월)'!F:F,"교체")</f>
        <v>0</v>
      </c>
      <c r="R60" s="40">
        <f>SUMIFS('센터 자재 사용내역(06월)'!G:G,'센터 자재 사용내역(06월)'!E:E,'사급자재 사용내역'!C60,'센터 자재 사용내역(06월)'!F:F,"신규")+SUMIFS('센터 자재 사용내역(06월)'!G:G,'센터 자재 사용내역(06월)'!E:E,'사급자재 사용내역'!C60,'센터 자재 사용내역(06월)'!F:F,"교체")</f>
        <v>0</v>
      </c>
      <c r="S60" s="40">
        <f>SUMIFS('센터 자재 사용내역(07월)'!G:G,'센터 자재 사용내역(07월)'!E:E,'사급자재 사용내역'!C60,'센터 자재 사용내역(07월)'!F:F,"신규")+SUMIFS('센터 자재 사용내역(07월)'!G:G,'센터 자재 사용내역(07월)'!E:E,'사급자재 사용내역'!C60,'센터 자재 사용내역(07월)'!F:F,"교체")</f>
        <v>0</v>
      </c>
      <c r="T60" s="40">
        <f>SUMIFS('센터 자재 사용내역(08월)'!G:G,'센터 자재 사용내역(08월)'!E:E,'사급자재 사용내역'!C60,'센터 자재 사용내역(08월)'!F:F,"신규")+SUMIFS('센터 자재 사용내역(08월)'!G:G,'센터 자재 사용내역(08월)'!E:E,'사급자재 사용내역'!C60,'센터 자재 사용내역(08월)'!F:F,"교체")</f>
        <v>0</v>
      </c>
      <c r="U60" s="40">
        <f>SUMIFS('센터 자재 사용내역(09월)'!G:G,'센터 자재 사용내역(09월)'!E:E,'사급자재 사용내역'!C60,'센터 자재 사용내역(09월)'!F:F,"신규")+SUMIFS('센터 자재 사용내역(09월)'!G:G,'센터 자재 사용내역(09월)'!E:E,'사급자재 사용내역'!C60,'센터 자재 사용내역(09월)'!F:F,"교체")</f>
        <v>0</v>
      </c>
      <c r="V60" s="40">
        <f>SUMIFS('센터 자재 사용내역(10월)'!G:G,'센터 자재 사용내역(10월)'!E:E,'사급자재 사용내역'!C60,'센터 자재 사용내역(10월)'!F:F,"신규")+SUMIFS('센터 자재 사용내역(10월)'!G:G,'센터 자재 사용내역(10월)'!E:E,'사급자재 사용내역'!C60,'센터 자재 사용내역(10월)'!F:F,"교체")</f>
        <v>0</v>
      </c>
      <c r="W60" s="40">
        <f>SUMIFS('센터 자재 사용내역(11월)'!G:G,'센터 자재 사용내역(11월)'!E:E,'사급자재 사용내역'!C60,'센터 자재 사용내역(11월)'!F:F,"신규")+SUMIFS('센터 자재 사용내역(11월)'!G:G,'센터 자재 사용내역(11월)'!E:E,'사급자재 사용내역'!C60,'센터 자재 사용내역(11월)'!F:F,"교체")</f>
        <v>0</v>
      </c>
      <c r="X60" s="40">
        <f>SUMIFS('센터 자재 사용내역(12월)'!G:G,'센터 자재 사용내역(12월)'!E:E,'사급자재 사용내역'!C60,'센터 자재 사용내역(12월)'!F:F,"신규")+SUMIFS('센터 자재 사용내역(12월)'!G:G,'센터 자재 사용내역(12월)'!E:E,'사급자재 사용내역'!C60,'센터 자재 사용내역(12월)'!F:F,"교체")</f>
        <v>0</v>
      </c>
      <c r="Y60" s="40">
        <f t="shared" si="16"/>
        <v>0</v>
      </c>
      <c r="Z60" s="52"/>
      <c r="AB60" s="56"/>
      <c r="AC60" s="29"/>
      <c r="AD60" s="29"/>
      <c r="AE60" s="29"/>
      <c r="AF60" s="29"/>
      <c r="AG60" s="29"/>
      <c r="AH60" s="29"/>
      <c r="AI60" s="29"/>
      <c r="AJ60" s="29"/>
      <c r="AK60" s="29"/>
      <c r="AL60" s="29"/>
      <c r="AM60" s="29"/>
      <c r="AN60" s="21">
        <f t="shared" si="17"/>
        <v>0</v>
      </c>
      <c r="AO60" s="57"/>
      <c r="AQ60" s="61">
        <f>SUMIFS('센터 자재 사용내역(01월)'!G:G,'센터 자재 사용내역(01월)'!E:E,'사급자재 사용내역'!C60,'센터 자재 사용내역(01월)'!F:F,"불량")</f>
        <v>0</v>
      </c>
      <c r="AR60" s="40">
        <f>SUMIFS('센터 자재 사용내역(02월)'!G:G,'센터 자재 사용내역(02월)'!E:E,'사급자재 사용내역'!C60,'센터 자재 사용내역(02월)'!F:F,"불량")</f>
        <v>0</v>
      </c>
      <c r="AS60" s="40">
        <f>SUMIFS('센터 자재 사용내역(03월)'!G:G,'센터 자재 사용내역(03월)'!E:E,'사급자재 사용내역'!C60,'센터 자재 사용내역(03월)'!F:F,"불량")</f>
        <v>0</v>
      </c>
      <c r="AT60" s="40">
        <f>SUMIFS('센터 자재 사용내역(04월)'!G:G,'센터 자재 사용내역(04월)'!E:E,'사급자재 사용내역'!C60,'센터 자재 사용내역(04월)'!F:F,"불량")</f>
        <v>0</v>
      </c>
      <c r="AU60" s="40">
        <f>SUMIFS('센터 자재 사용내역(05월)'!G:G,'센터 자재 사용내역(05월)'!E:E,'사급자재 사용내역'!C60,'센터 자재 사용내역(05월)'!F:F,"불량")</f>
        <v>0</v>
      </c>
      <c r="AV60" s="40">
        <f>SUMIFS('센터 자재 사용내역(06월)'!G:G,'센터 자재 사용내역(06월)'!E:E,'사급자재 사용내역'!C60,'센터 자재 사용내역(06월)'!F:F,"불량")</f>
        <v>0</v>
      </c>
      <c r="AW60" s="40">
        <f>SUMIFS('센터 자재 사용내역(07월)'!G:G,'센터 자재 사용내역(07월)'!E:E,'사급자재 사용내역'!C60,'센터 자재 사용내역(07월)'!F:F,"불량")</f>
        <v>0</v>
      </c>
      <c r="AX60" s="40">
        <f>SUMIFS('센터 자재 사용내역(08월)'!G:G,'센터 자재 사용내역(08월)'!E:E,'사급자재 사용내역'!C60,'센터 자재 사용내역(08월)'!F:F,"불량")</f>
        <v>0</v>
      </c>
      <c r="AY60" s="40">
        <f>SUMIFS('센터 자재 사용내역(09월)'!G:G,'센터 자재 사용내역(09월)'!E:E,'사급자재 사용내역'!C60,'센터 자재 사용내역(09월)'!F:F,"불량")</f>
        <v>0</v>
      </c>
      <c r="AZ60" s="40">
        <f>SUMIFS('센터 자재 사용내역(10월)'!G:G,'센터 자재 사용내역(10월)'!E:E,'사급자재 사용내역'!C60,'센터 자재 사용내역(10월)'!F:F,"불량")</f>
        <v>0</v>
      </c>
      <c r="BA60" s="40">
        <f>SUMIFS('센터 자재 사용내역(11월)'!G:G,'센터 자재 사용내역(11월)'!E:E,'사급자재 사용내역'!C60,'센터 자재 사용내역(11월)'!F:F,"불량")</f>
        <v>0</v>
      </c>
      <c r="BB60" s="40">
        <f>SUMIFS('센터 자재 사용내역(12월)'!G:G,'센터 자재 사용내역(12월)'!E:E,'사급자재 사용내역'!C60,'센터 자재 사용내역(12월)'!F:F,"불량")</f>
        <v>0</v>
      </c>
      <c r="BC60" s="40">
        <f t="shared" si="19"/>
        <v>0</v>
      </c>
      <c r="BD60" s="62"/>
    </row>
    <row r="61" spans="2:56" ht="19.5" customHeight="1">
      <c r="B61" s="106" t="s">
        <v>43</v>
      </c>
      <c r="C61" s="22" t="s">
        <v>217</v>
      </c>
      <c r="D61" s="64" t="s">
        <v>129</v>
      </c>
      <c r="E61" s="46">
        <v>11</v>
      </c>
      <c r="F61" s="47">
        <v>0</v>
      </c>
      <c r="G61" s="46"/>
      <c r="H61" s="78"/>
      <c r="I61" s="90">
        <f t="shared" si="4"/>
        <v>0</v>
      </c>
      <c r="J61" s="89">
        <f t="shared" si="18"/>
        <v>19</v>
      </c>
      <c r="K61" s="78">
        <f t="shared" si="7"/>
        <v>30</v>
      </c>
      <c r="L61" s="84">
        <f t="shared" si="15"/>
        <v>22</v>
      </c>
      <c r="M61" s="79">
        <f>SUMIFS('센터 자재 사용내역(01월)'!G:G,'센터 자재 사용내역(01월)'!E:E,'사급자재 사용내역'!C61,'센터 자재 사용내역(01월)'!F:F,"신규")+SUMIFS('센터 자재 사용내역(01월)'!G:G,'센터 자재 사용내역(01월)'!E:E,'사급자재 사용내역'!C61,'센터 자재 사용내역(01월)'!F:F,"교체")</f>
        <v>3</v>
      </c>
      <c r="N61" s="40">
        <f>SUMIFS('센터 자재 사용내역(02월)'!G:G,'센터 자재 사용내역(02월)'!E:E,'사급자재 사용내역'!C61,'센터 자재 사용내역(02월)'!F:F,"신규")+SUMIFS('센터 자재 사용내역(02월)'!G:G,'센터 자재 사용내역(02월)'!E:E,'사급자재 사용내역'!C61,'센터 자재 사용내역(02월)'!F:F,"교체")</f>
        <v>1</v>
      </c>
      <c r="O61" s="40">
        <f>SUMIFS('센터 자재 사용내역(03월)'!G:G,'센터 자재 사용내역(03월)'!E:E,'사급자재 사용내역'!C61,'센터 자재 사용내역(03월)'!F:F,"신규")+SUMIFS('센터 자재 사용내역(03월)'!G:G,'센터 자재 사용내역(03월)'!E:E,'사급자재 사용내역'!C61,'센터 자재 사용내역(03월)'!F:F,"교체")</f>
        <v>2</v>
      </c>
      <c r="P61" s="40">
        <f>SUMIFS('센터 자재 사용내역(04월)'!G:G,'센터 자재 사용내역(04월)'!E:E,'사급자재 사용내역'!C61,'센터 자재 사용내역(04월)'!F:F,"신규")+SUMIFS('센터 자재 사용내역(04월)'!G:G,'센터 자재 사용내역(04월)'!E:E,'사급자재 사용내역'!C61,'센터 자재 사용내역(04월)'!F:F,"교체")</f>
        <v>4</v>
      </c>
      <c r="Q61" s="40">
        <f>SUMIFS('센터 자재 사용내역(05월)'!G:G,'센터 자재 사용내역(05월)'!E:E,'사급자재 사용내역'!C61,'센터 자재 사용내역(05월)'!F:F,"신규")+SUMIFS('센터 자재 사용내역(05월)'!G:G,'센터 자재 사용내역(05월)'!E:E,'사급자재 사용내역'!C61,'센터 자재 사용내역(05월)'!F:F,"교체")</f>
        <v>1</v>
      </c>
      <c r="R61" s="40">
        <f>SUMIFS('센터 자재 사용내역(06월)'!G:G,'센터 자재 사용내역(06월)'!E:E,'사급자재 사용내역'!C61,'센터 자재 사용내역(06월)'!F:F,"신규")+SUMIFS('센터 자재 사용내역(06월)'!G:G,'센터 자재 사용내역(06월)'!E:E,'사급자재 사용내역'!C61,'센터 자재 사용내역(06월)'!F:F,"교체")</f>
        <v>0</v>
      </c>
      <c r="S61" s="40">
        <f>SUMIFS('센터 자재 사용내역(07월)'!G:G,'센터 자재 사용내역(07월)'!E:E,'사급자재 사용내역'!C61,'센터 자재 사용내역(07월)'!F:F,"신규")+SUMIFS('센터 자재 사용내역(07월)'!G:G,'센터 자재 사용내역(07월)'!E:E,'사급자재 사용내역'!C61,'센터 자재 사용내역(07월)'!F:F,"교체")</f>
        <v>4</v>
      </c>
      <c r="T61" s="40">
        <f>SUMIFS('센터 자재 사용내역(08월)'!G:G,'센터 자재 사용내역(08월)'!E:E,'사급자재 사용내역'!C61,'센터 자재 사용내역(08월)'!F:F,"신규")+SUMIFS('센터 자재 사용내역(08월)'!G:G,'센터 자재 사용내역(08월)'!E:E,'사급자재 사용내역'!C61,'센터 자재 사용내역(08월)'!F:F,"교체")</f>
        <v>4</v>
      </c>
      <c r="U61" s="40">
        <f>SUMIFS('센터 자재 사용내역(09월)'!G:G,'센터 자재 사용내역(09월)'!E:E,'사급자재 사용내역'!C61,'센터 자재 사용내역(09월)'!F:F,"신규")+SUMIFS('센터 자재 사용내역(09월)'!G:G,'센터 자재 사용내역(09월)'!E:E,'사급자재 사용내역'!C61,'센터 자재 사용내역(09월)'!F:F,"교체")</f>
        <v>0</v>
      </c>
      <c r="V61" s="40">
        <f>SUMIFS('센터 자재 사용내역(10월)'!G:G,'센터 자재 사용내역(10월)'!E:E,'사급자재 사용내역'!C61,'센터 자재 사용내역(10월)'!F:F,"신규")+SUMIFS('센터 자재 사용내역(10월)'!G:G,'센터 자재 사용내역(10월)'!E:E,'사급자재 사용내역'!C61,'센터 자재 사용내역(10월)'!F:F,"교체")</f>
        <v>0</v>
      </c>
      <c r="W61" s="40">
        <f>SUMIFS('센터 자재 사용내역(11월)'!G:G,'센터 자재 사용내역(11월)'!E:E,'사급자재 사용내역'!C61,'센터 자재 사용내역(11월)'!F:F,"신규")+SUMIFS('센터 자재 사용내역(11월)'!G:G,'센터 자재 사용내역(11월)'!E:E,'사급자재 사용내역'!C61,'센터 자재 사용내역(11월)'!F:F,"교체")</f>
        <v>0</v>
      </c>
      <c r="X61" s="40">
        <f>SUMIFS('센터 자재 사용내역(12월)'!G:G,'센터 자재 사용내역(12월)'!E:E,'사급자재 사용내역'!C61,'센터 자재 사용내역(12월)'!F:F,"신규")+SUMIFS('센터 자재 사용내역(12월)'!G:G,'센터 자재 사용내역(12월)'!E:E,'사급자재 사용내역'!C61,'센터 자재 사용내역(12월)'!F:F,"교체")</f>
        <v>0</v>
      </c>
      <c r="Y61" s="40">
        <f t="shared" si="16"/>
        <v>19</v>
      </c>
      <c r="Z61" s="52"/>
      <c r="AB61" s="56"/>
      <c r="AC61" s="29"/>
      <c r="AD61" s="29"/>
      <c r="AE61" s="29"/>
      <c r="AF61" s="29"/>
      <c r="AG61" s="29">
        <v>30</v>
      </c>
      <c r="AH61" s="29"/>
      <c r="AI61" s="29"/>
      <c r="AJ61" s="29"/>
      <c r="AK61" s="29"/>
      <c r="AL61" s="29"/>
      <c r="AM61" s="29"/>
      <c r="AN61" s="21">
        <f t="shared" si="17"/>
        <v>30</v>
      </c>
      <c r="AO61" s="57"/>
      <c r="AQ61" s="61">
        <f>SUMIFS('센터 자재 사용내역(01월)'!G:G,'센터 자재 사용내역(01월)'!E:E,'사급자재 사용내역'!C61,'센터 자재 사용내역(01월)'!F:F,"불량")</f>
        <v>0</v>
      </c>
      <c r="AR61" s="40">
        <f>SUMIFS('센터 자재 사용내역(02월)'!G:G,'센터 자재 사용내역(02월)'!E:E,'사급자재 사용내역'!C61,'센터 자재 사용내역(02월)'!F:F,"불량")</f>
        <v>0</v>
      </c>
      <c r="AS61" s="40">
        <f>SUMIFS('센터 자재 사용내역(03월)'!G:G,'센터 자재 사용내역(03월)'!E:E,'사급자재 사용내역'!C61,'센터 자재 사용내역(03월)'!F:F,"불량")</f>
        <v>0</v>
      </c>
      <c r="AT61" s="40">
        <f>SUMIFS('센터 자재 사용내역(04월)'!G:G,'센터 자재 사용내역(04월)'!E:E,'사급자재 사용내역'!C61,'센터 자재 사용내역(04월)'!F:F,"불량")</f>
        <v>0</v>
      </c>
      <c r="AU61" s="40">
        <f>SUMIFS('센터 자재 사용내역(05월)'!G:G,'센터 자재 사용내역(05월)'!E:E,'사급자재 사용내역'!C61,'센터 자재 사용내역(05월)'!F:F,"불량")</f>
        <v>0</v>
      </c>
      <c r="AV61" s="40">
        <f>SUMIFS('센터 자재 사용내역(06월)'!G:G,'센터 자재 사용내역(06월)'!E:E,'사급자재 사용내역'!C61,'센터 자재 사용내역(06월)'!F:F,"불량")</f>
        <v>0</v>
      </c>
      <c r="AW61" s="40">
        <f>SUMIFS('센터 자재 사용내역(07월)'!G:G,'센터 자재 사용내역(07월)'!E:E,'사급자재 사용내역'!C61,'센터 자재 사용내역(07월)'!F:F,"불량")</f>
        <v>0</v>
      </c>
      <c r="AX61" s="40">
        <f>SUMIFS('센터 자재 사용내역(08월)'!G:G,'센터 자재 사용내역(08월)'!E:E,'사급자재 사용내역'!C61,'센터 자재 사용내역(08월)'!F:F,"불량")</f>
        <v>0</v>
      </c>
      <c r="AY61" s="40">
        <f>SUMIFS('센터 자재 사용내역(09월)'!G:G,'센터 자재 사용내역(09월)'!E:E,'사급자재 사용내역'!C61,'센터 자재 사용내역(09월)'!F:F,"불량")</f>
        <v>0</v>
      </c>
      <c r="AZ61" s="40">
        <f>SUMIFS('센터 자재 사용내역(10월)'!G:G,'센터 자재 사용내역(10월)'!E:E,'사급자재 사용내역'!C61,'센터 자재 사용내역(10월)'!F:F,"불량")</f>
        <v>0</v>
      </c>
      <c r="BA61" s="40">
        <f>SUMIFS('센터 자재 사용내역(11월)'!G:G,'센터 자재 사용내역(11월)'!E:E,'사급자재 사용내역'!C61,'센터 자재 사용내역(11월)'!F:F,"불량")</f>
        <v>0</v>
      </c>
      <c r="BB61" s="40">
        <f>SUMIFS('센터 자재 사용내역(12월)'!G:G,'센터 자재 사용내역(12월)'!E:E,'사급자재 사용내역'!C61,'센터 자재 사용내역(12월)'!F:F,"불량")</f>
        <v>0</v>
      </c>
      <c r="BC61" s="40">
        <f t="shared" si="19"/>
        <v>0</v>
      </c>
      <c r="BD61" s="62"/>
    </row>
    <row r="62" spans="2:56" ht="19.5" customHeight="1">
      <c r="B62" s="107"/>
      <c r="C62" s="22" t="s">
        <v>151</v>
      </c>
      <c r="D62" s="64" t="s">
        <v>130</v>
      </c>
      <c r="E62" s="46">
        <v>13</v>
      </c>
      <c r="F62" s="47">
        <v>0</v>
      </c>
      <c r="G62" s="46"/>
      <c r="H62" s="78"/>
      <c r="I62" s="90">
        <f t="shared" si="4"/>
        <v>0</v>
      </c>
      <c r="J62" s="89">
        <f t="shared" si="18"/>
        <v>2</v>
      </c>
      <c r="K62" s="78">
        <f t="shared" si="7"/>
        <v>0</v>
      </c>
      <c r="L62" s="84">
        <f t="shared" si="15"/>
        <v>11</v>
      </c>
      <c r="M62" s="79">
        <f>SUMIFS('센터 자재 사용내역(01월)'!G:G,'센터 자재 사용내역(01월)'!E:E,'사급자재 사용내역'!C62,'센터 자재 사용내역(01월)'!F:F,"신규")+SUMIFS('센터 자재 사용내역(01월)'!G:G,'센터 자재 사용내역(01월)'!E:E,'사급자재 사용내역'!C62,'센터 자재 사용내역(01월)'!F:F,"교체")</f>
        <v>0</v>
      </c>
      <c r="N62" s="40">
        <f>SUMIFS('센터 자재 사용내역(02월)'!G:G,'센터 자재 사용내역(02월)'!E:E,'사급자재 사용내역'!C62,'센터 자재 사용내역(02월)'!F:F,"신규")+SUMIFS('센터 자재 사용내역(02월)'!G:G,'센터 자재 사용내역(02월)'!E:E,'사급자재 사용내역'!C62,'센터 자재 사용내역(02월)'!F:F,"교체")</f>
        <v>0</v>
      </c>
      <c r="O62" s="40">
        <f>SUMIFS('센터 자재 사용내역(03월)'!G:G,'센터 자재 사용내역(03월)'!E:E,'사급자재 사용내역'!C62,'센터 자재 사용내역(03월)'!F:F,"신규")+SUMIFS('센터 자재 사용내역(03월)'!G:G,'센터 자재 사용내역(03월)'!E:E,'사급자재 사용내역'!C62,'센터 자재 사용내역(03월)'!F:F,"교체")</f>
        <v>0</v>
      </c>
      <c r="P62" s="40">
        <f>SUMIFS('센터 자재 사용내역(04월)'!G:G,'센터 자재 사용내역(04월)'!E:E,'사급자재 사용내역'!C62,'센터 자재 사용내역(04월)'!F:F,"신규")+SUMIFS('센터 자재 사용내역(04월)'!G:G,'센터 자재 사용내역(04월)'!E:E,'사급자재 사용내역'!C62,'센터 자재 사용내역(04월)'!F:F,"교체")</f>
        <v>0</v>
      </c>
      <c r="Q62" s="40">
        <f>SUMIFS('센터 자재 사용내역(05월)'!G:G,'센터 자재 사용내역(05월)'!E:E,'사급자재 사용내역'!C62,'센터 자재 사용내역(05월)'!F:F,"신규")+SUMIFS('센터 자재 사용내역(05월)'!G:G,'센터 자재 사용내역(05월)'!E:E,'사급자재 사용내역'!C62,'센터 자재 사용내역(05월)'!F:F,"교체")</f>
        <v>0</v>
      </c>
      <c r="R62" s="40">
        <f>SUMIFS('센터 자재 사용내역(06월)'!G:G,'센터 자재 사용내역(06월)'!E:E,'사급자재 사용내역'!C62,'센터 자재 사용내역(06월)'!F:F,"신규")+SUMIFS('센터 자재 사용내역(06월)'!G:G,'센터 자재 사용내역(06월)'!E:E,'사급자재 사용내역'!C62,'센터 자재 사용내역(06월)'!F:F,"교체")</f>
        <v>2</v>
      </c>
      <c r="S62" s="40">
        <f>SUMIFS('센터 자재 사용내역(07월)'!G:G,'센터 자재 사용내역(07월)'!E:E,'사급자재 사용내역'!C62,'센터 자재 사용내역(07월)'!F:F,"신규")+SUMIFS('센터 자재 사용내역(07월)'!G:G,'센터 자재 사용내역(07월)'!E:E,'사급자재 사용내역'!C62,'센터 자재 사용내역(07월)'!F:F,"교체")</f>
        <v>0</v>
      </c>
      <c r="T62" s="40">
        <f>SUMIFS('센터 자재 사용내역(08월)'!G:G,'센터 자재 사용내역(08월)'!E:E,'사급자재 사용내역'!C62,'센터 자재 사용내역(08월)'!F:F,"신규")+SUMIFS('센터 자재 사용내역(08월)'!G:G,'센터 자재 사용내역(08월)'!E:E,'사급자재 사용내역'!C62,'센터 자재 사용내역(08월)'!F:F,"교체")</f>
        <v>0</v>
      </c>
      <c r="U62" s="40">
        <f>SUMIFS('센터 자재 사용내역(09월)'!G:G,'센터 자재 사용내역(09월)'!E:E,'사급자재 사용내역'!C62,'센터 자재 사용내역(09월)'!F:F,"신규")+SUMIFS('센터 자재 사용내역(09월)'!G:G,'센터 자재 사용내역(09월)'!E:E,'사급자재 사용내역'!C62,'센터 자재 사용내역(09월)'!F:F,"교체")</f>
        <v>0</v>
      </c>
      <c r="V62" s="40">
        <f>SUMIFS('센터 자재 사용내역(10월)'!G:G,'센터 자재 사용내역(10월)'!E:E,'사급자재 사용내역'!C62,'센터 자재 사용내역(10월)'!F:F,"신규")+SUMIFS('센터 자재 사용내역(10월)'!G:G,'센터 자재 사용내역(10월)'!E:E,'사급자재 사용내역'!C62,'센터 자재 사용내역(10월)'!F:F,"교체")</f>
        <v>0</v>
      </c>
      <c r="W62" s="40">
        <f>SUMIFS('센터 자재 사용내역(11월)'!G:G,'센터 자재 사용내역(11월)'!E:E,'사급자재 사용내역'!C62,'센터 자재 사용내역(11월)'!F:F,"신규")+SUMIFS('센터 자재 사용내역(11월)'!G:G,'센터 자재 사용내역(11월)'!E:E,'사급자재 사용내역'!C62,'센터 자재 사용내역(11월)'!F:F,"교체")</f>
        <v>0</v>
      </c>
      <c r="X62" s="40">
        <f>SUMIFS('센터 자재 사용내역(12월)'!G:G,'센터 자재 사용내역(12월)'!E:E,'사급자재 사용내역'!C62,'센터 자재 사용내역(12월)'!F:F,"신규")+SUMIFS('센터 자재 사용내역(12월)'!G:G,'센터 자재 사용내역(12월)'!E:E,'사급자재 사용내역'!C62,'센터 자재 사용내역(12월)'!F:F,"교체")</f>
        <v>0</v>
      </c>
      <c r="Y62" s="40">
        <f t="shared" si="16"/>
        <v>2</v>
      </c>
      <c r="Z62" s="52"/>
      <c r="AB62" s="56"/>
      <c r="AC62" s="29"/>
      <c r="AD62" s="29"/>
      <c r="AE62" s="29"/>
      <c r="AF62" s="29"/>
      <c r="AG62" s="29"/>
      <c r="AH62" s="29"/>
      <c r="AI62" s="29"/>
      <c r="AJ62" s="29"/>
      <c r="AK62" s="29"/>
      <c r="AL62" s="29"/>
      <c r="AM62" s="29"/>
      <c r="AN62" s="21">
        <f t="shared" si="17"/>
        <v>0</v>
      </c>
      <c r="AO62" s="57"/>
      <c r="AQ62" s="61">
        <f>SUMIFS('센터 자재 사용내역(01월)'!G:G,'센터 자재 사용내역(01월)'!E:E,'사급자재 사용내역'!C62,'센터 자재 사용내역(01월)'!F:F,"불량")</f>
        <v>0</v>
      </c>
      <c r="AR62" s="40">
        <f>SUMIFS('센터 자재 사용내역(02월)'!G:G,'센터 자재 사용내역(02월)'!E:E,'사급자재 사용내역'!C62,'센터 자재 사용내역(02월)'!F:F,"불량")</f>
        <v>0</v>
      </c>
      <c r="AS62" s="40">
        <f>SUMIFS('센터 자재 사용내역(03월)'!G:G,'센터 자재 사용내역(03월)'!E:E,'사급자재 사용내역'!C62,'센터 자재 사용내역(03월)'!F:F,"불량")</f>
        <v>0</v>
      </c>
      <c r="AT62" s="40">
        <f>SUMIFS('센터 자재 사용내역(04월)'!G:G,'센터 자재 사용내역(04월)'!E:E,'사급자재 사용내역'!C62,'센터 자재 사용내역(04월)'!F:F,"불량")</f>
        <v>0</v>
      </c>
      <c r="AU62" s="40">
        <f>SUMIFS('센터 자재 사용내역(05월)'!G:G,'센터 자재 사용내역(05월)'!E:E,'사급자재 사용내역'!C62,'센터 자재 사용내역(05월)'!F:F,"불량")</f>
        <v>0</v>
      </c>
      <c r="AV62" s="40">
        <f>SUMIFS('센터 자재 사용내역(06월)'!G:G,'센터 자재 사용내역(06월)'!E:E,'사급자재 사용내역'!C62,'센터 자재 사용내역(06월)'!F:F,"불량")</f>
        <v>0</v>
      </c>
      <c r="AW62" s="40">
        <f>SUMIFS('센터 자재 사용내역(07월)'!G:G,'센터 자재 사용내역(07월)'!E:E,'사급자재 사용내역'!C62,'센터 자재 사용내역(07월)'!F:F,"불량")</f>
        <v>0</v>
      </c>
      <c r="AX62" s="40">
        <f>SUMIFS('센터 자재 사용내역(08월)'!G:G,'센터 자재 사용내역(08월)'!E:E,'사급자재 사용내역'!C62,'센터 자재 사용내역(08월)'!F:F,"불량")</f>
        <v>0</v>
      </c>
      <c r="AY62" s="40">
        <f>SUMIFS('센터 자재 사용내역(09월)'!G:G,'센터 자재 사용내역(09월)'!E:E,'사급자재 사용내역'!C62,'센터 자재 사용내역(09월)'!F:F,"불량")</f>
        <v>0</v>
      </c>
      <c r="AZ62" s="40">
        <f>SUMIFS('센터 자재 사용내역(10월)'!G:G,'센터 자재 사용내역(10월)'!E:E,'사급자재 사용내역'!C62,'센터 자재 사용내역(10월)'!F:F,"불량")</f>
        <v>0</v>
      </c>
      <c r="BA62" s="40">
        <f>SUMIFS('센터 자재 사용내역(11월)'!G:G,'센터 자재 사용내역(11월)'!E:E,'사급자재 사용내역'!C62,'센터 자재 사용내역(11월)'!F:F,"불량")</f>
        <v>0</v>
      </c>
      <c r="BB62" s="40">
        <f>SUMIFS('센터 자재 사용내역(12월)'!G:G,'센터 자재 사용내역(12월)'!E:E,'사급자재 사용내역'!C62,'센터 자재 사용내역(12월)'!F:F,"불량")</f>
        <v>0</v>
      </c>
      <c r="BC62" s="40">
        <f t="shared" si="19"/>
        <v>0</v>
      </c>
      <c r="BD62" s="62"/>
    </row>
    <row r="63" spans="2:56" ht="19.5" customHeight="1">
      <c r="B63" s="107"/>
      <c r="C63" s="22" t="s">
        <v>152</v>
      </c>
      <c r="D63" s="64" t="s">
        <v>130</v>
      </c>
      <c r="E63" s="46">
        <v>29</v>
      </c>
      <c r="F63" s="47">
        <v>0</v>
      </c>
      <c r="G63" s="46"/>
      <c r="H63" s="78"/>
      <c r="I63" s="90">
        <f t="shared" si="4"/>
        <v>0</v>
      </c>
      <c r="J63" s="89">
        <f t="shared" si="18"/>
        <v>0</v>
      </c>
      <c r="K63" s="78">
        <f t="shared" si="7"/>
        <v>0</v>
      </c>
      <c r="L63" s="84">
        <f t="shared" si="15"/>
        <v>29</v>
      </c>
      <c r="M63" s="79">
        <f>SUMIFS('센터 자재 사용내역(01월)'!G:G,'센터 자재 사용내역(01월)'!E:E,'사급자재 사용내역'!C63,'센터 자재 사용내역(01월)'!F:F,"신규")+SUMIFS('센터 자재 사용내역(01월)'!G:G,'센터 자재 사용내역(01월)'!E:E,'사급자재 사용내역'!C63,'센터 자재 사용내역(01월)'!F:F,"교체")</f>
        <v>0</v>
      </c>
      <c r="N63" s="40">
        <f>SUMIFS('센터 자재 사용내역(02월)'!G:G,'센터 자재 사용내역(02월)'!E:E,'사급자재 사용내역'!C63,'센터 자재 사용내역(02월)'!F:F,"신규")+SUMIFS('센터 자재 사용내역(02월)'!G:G,'센터 자재 사용내역(02월)'!E:E,'사급자재 사용내역'!C63,'센터 자재 사용내역(02월)'!F:F,"교체")</f>
        <v>0</v>
      </c>
      <c r="O63" s="40">
        <f>SUMIFS('센터 자재 사용내역(03월)'!G:G,'센터 자재 사용내역(03월)'!E:E,'사급자재 사용내역'!C63,'센터 자재 사용내역(03월)'!F:F,"신규")+SUMIFS('센터 자재 사용내역(03월)'!G:G,'센터 자재 사용내역(03월)'!E:E,'사급자재 사용내역'!C63,'센터 자재 사용내역(03월)'!F:F,"교체")</f>
        <v>0</v>
      </c>
      <c r="P63" s="40">
        <f>SUMIFS('센터 자재 사용내역(04월)'!G:G,'센터 자재 사용내역(04월)'!E:E,'사급자재 사용내역'!C63,'센터 자재 사용내역(04월)'!F:F,"신규")+SUMIFS('센터 자재 사용내역(04월)'!G:G,'센터 자재 사용내역(04월)'!E:E,'사급자재 사용내역'!C63,'센터 자재 사용내역(04월)'!F:F,"교체")</f>
        <v>0</v>
      </c>
      <c r="Q63" s="40">
        <f>SUMIFS('센터 자재 사용내역(05월)'!G:G,'센터 자재 사용내역(05월)'!E:E,'사급자재 사용내역'!C63,'센터 자재 사용내역(05월)'!F:F,"신규")+SUMIFS('센터 자재 사용내역(05월)'!G:G,'센터 자재 사용내역(05월)'!E:E,'사급자재 사용내역'!C63,'센터 자재 사용내역(05월)'!F:F,"교체")</f>
        <v>0</v>
      </c>
      <c r="R63" s="40">
        <f>SUMIFS('센터 자재 사용내역(06월)'!G:G,'센터 자재 사용내역(06월)'!E:E,'사급자재 사용내역'!C63,'센터 자재 사용내역(06월)'!F:F,"신규")+SUMIFS('센터 자재 사용내역(06월)'!G:G,'센터 자재 사용내역(06월)'!E:E,'사급자재 사용내역'!C63,'센터 자재 사용내역(06월)'!F:F,"교체")</f>
        <v>0</v>
      </c>
      <c r="S63" s="40">
        <f>SUMIFS('센터 자재 사용내역(07월)'!G:G,'센터 자재 사용내역(07월)'!E:E,'사급자재 사용내역'!C63,'센터 자재 사용내역(07월)'!F:F,"신규")+SUMIFS('센터 자재 사용내역(07월)'!G:G,'센터 자재 사용내역(07월)'!E:E,'사급자재 사용내역'!C63,'센터 자재 사용내역(07월)'!F:F,"교체")</f>
        <v>0</v>
      </c>
      <c r="T63" s="40">
        <f>SUMIFS('센터 자재 사용내역(08월)'!G:G,'센터 자재 사용내역(08월)'!E:E,'사급자재 사용내역'!C63,'센터 자재 사용내역(08월)'!F:F,"신규")+SUMIFS('센터 자재 사용내역(08월)'!G:G,'센터 자재 사용내역(08월)'!E:E,'사급자재 사용내역'!C63,'센터 자재 사용내역(08월)'!F:F,"교체")</f>
        <v>0</v>
      </c>
      <c r="U63" s="40">
        <f>SUMIFS('센터 자재 사용내역(09월)'!G:G,'센터 자재 사용내역(09월)'!E:E,'사급자재 사용내역'!C63,'센터 자재 사용내역(09월)'!F:F,"신규")+SUMIFS('센터 자재 사용내역(09월)'!G:G,'센터 자재 사용내역(09월)'!E:E,'사급자재 사용내역'!C63,'센터 자재 사용내역(09월)'!F:F,"교체")</f>
        <v>0</v>
      </c>
      <c r="V63" s="40">
        <f>SUMIFS('센터 자재 사용내역(10월)'!G:G,'센터 자재 사용내역(10월)'!E:E,'사급자재 사용내역'!C63,'센터 자재 사용내역(10월)'!F:F,"신규")+SUMIFS('센터 자재 사용내역(10월)'!G:G,'센터 자재 사용내역(10월)'!E:E,'사급자재 사용내역'!C63,'센터 자재 사용내역(10월)'!F:F,"교체")</f>
        <v>0</v>
      </c>
      <c r="W63" s="40">
        <f>SUMIFS('센터 자재 사용내역(11월)'!G:G,'센터 자재 사용내역(11월)'!E:E,'사급자재 사용내역'!C63,'센터 자재 사용내역(11월)'!F:F,"신규")+SUMIFS('센터 자재 사용내역(11월)'!G:G,'센터 자재 사용내역(11월)'!E:E,'사급자재 사용내역'!C63,'센터 자재 사용내역(11월)'!F:F,"교체")</f>
        <v>0</v>
      </c>
      <c r="X63" s="40">
        <f>SUMIFS('센터 자재 사용내역(12월)'!G:G,'센터 자재 사용내역(12월)'!E:E,'사급자재 사용내역'!C63,'센터 자재 사용내역(12월)'!F:F,"신규")+SUMIFS('센터 자재 사용내역(12월)'!G:G,'센터 자재 사용내역(12월)'!E:E,'사급자재 사용내역'!C63,'센터 자재 사용내역(12월)'!F:F,"교체")</f>
        <v>0</v>
      </c>
      <c r="Y63" s="40">
        <f t="shared" si="16"/>
        <v>0</v>
      </c>
      <c r="Z63" s="52"/>
      <c r="AB63" s="56"/>
      <c r="AC63" s="29"/>
      <c r="AD63" s="29"/>
      <c r="AE63" s="29"/>
      <c r="AF63" s="29"/>
      <c r="AG63" s="29"/>
      <c r="AH63" s="29"/>
      <c r="AI63" s="29"/>
      <c r="AJ63" s="29"/>
      <c r="AK63" s="29"/>
      <c r="AL63" s="29"/>
      <c r="AM63" s="29"/>
      <c r="AN63" s="21">
        <f t="shared" si="17"/>
        <v>0</v>
      </c>
      <c r="AO63" s="57"/>
      <c r="AQ63" s="61">
        <f>SUMIFS('센터 자재 사용내역(01월)'!G:G,'센터 자재 사용내역(01월)'!E:E,'사급자재 사용내역'!C63,'센터 자재 사용내역(01월)'!F:F,"불량")</f>
        <v>0</v>
      </c>
      <c r="AR63" s="40">
        <f>SUMIFS('센터 자재 사용내역(02월)'!G:G,'센터 자재 사용내역(02월)'!E:E,'사급자재 사용내역'!C63,'센터 자재 사용내역(02월)'!F:F,"불량")</f>
        <v>0</v>
      </c>
      <c r="AS63" s="40">
        <f>SUMIFS('센터 자재 사용내역(03월)'!G:G,'센터 자재 사용내역(03월)'!E:E,'사급자재 사용내역'!C63,'센터 자재 사용내역(03월)'!F:F,"불량")</f>
        <v>0</v>
      </c>
      <c r="AT63" s="40">
        <f>SUMIFS('센터 자재 사용내역(04월)'!G:G,'센터 자재 사용내역(04월)'!E:E,'사급자재 사용내역'!C63,'센터 자재 사용내역(04월)'!F:F,"불량")</f>
        <v>0</v>
      </c>
      <c r="AU63" s="40">
        <f>SUMIFS('센터 자재 사용내역(05월)'!G:G,'센터 자재 사용내역(05월)'!E:E,'사급자재 사용내역'!C63,'센터 자재 사용내역(05월)'!F:F,"불량")</f>
        <v>0</v>
      </c>
      <c r="AV63" s="40">
        <f>SUMIFS('센터 자재 사용내역(06월)'!G:G,'센터 자재 사용내역(06월)'!E:E,'사급자재 사용내역'!C63,'센터 자재 사용내역(06월)'!F:F,"불량")</f>
        <v>0</v>
      </c>
      <c r="AW63" s="40">
        <f>SUMIFS('센터 자재 사용내역(07월)'!G:G,'센터 자재 사용내역(07월)'!E:E,'사급자재 사용내역'!C63,'센터 자재 사용내역(07월)'!F:F,"불량")</f>
        <v>0</v>
      </c>
      <c r="AX63" s="40">
        <f>SUMIFS('센터 자재 사용내역(08월)'!G:G,'센터 자재 사용내역(08월)'!E:E,'사급자재 사용내역'!C63,'센터 자재 사용내역(08월)'!F:F,"불량")</f>
        <v>0</v>
      </c>
      <c r="AY63" s="40">
        <f>SUMIFS('센터 자재 사용내역(09월)'!G:G,'센터 자재 사용내역(09월)'!E:E,'사급자재 사용내역'!C63,'센터 자재 사용내역(09월)'!F:F,"불량")</f>
        <v>0</v>
      </c>
      <c r="AZ63" s="40">
        <f>SUMIFS('센터 자재 사용내역(10월)'!G:G,'센터 자재 사용내역(10월)'!E:E,'사급자재 사용내역'!C63,'센터 자재 사용내역(10월)'!F:F,"불량")</f>
        <v>0</v>
      </c>
      <c r="BA63" s="40">
        <f>SUMIFS('센터 자재 사용내역(11월)'!G:G,'센터 자재 사용내역(11월)'!E:E,'사급자재 사용내역'!C63,'센터 자재 사용내역(11월)'!F:F,"불량")</f>
        <v>0</v>
      </c>
      <c r="BB63" s="40">
        <f>SUMIFS('센터 자재 사용내역(12월)'!G:G,'센터 자재 사용내역(12월)'!E:E,'사급자재 사용내역'!C63,'센터 자재 사용내역(12월)'!F:F,"불량")</f>
        <v>0</v>
      </c>
      <c r="BC63" s="40">
        <f t="shared" si="19"/>
        <v>0</v>
      </c>
      <c r="BD63" s="62"/>
    </row>
    <row r="64" spans="2:56" ht="19.5" customHeight="1">
      <c r="B64" s="107"/>
      <c r="C64" s="22" t="s">
        <v>212</v>
      </c>
      <c r="D64" s="64" t="s">
        <v>129</v>
      </c>
      <c r="E64" s="46">
        <v>17</v>
      </c>
      <c r="F64" s="47">
        <v>0</v>
      </c>
      <c r="G64" s="46"/>
      <c r="H64" s="78"/>
      <c r="I64" s="90">
        <f t="shared" si="4"/>
        <v>0</v>
      </c>
      <c r="J64" s="89">
        <f t="shared" ref="J64:J65" si="20">Y64</f>
        <v>0</v>
      </c>
      <c r="K64" s="78">
        <f t="shared" si="7"/>
        <v>0</v>
      </c>
      <c r="L64" s="84">
        <f t="shared" si="15"/>
        <v>17</v>
      </c>
      <c r="M64" s="79">
        <f>SUMIFS('센터 자재 사용내역(01월)'!G:G,'센터 자재 사용내역(01월)'!E:E,'사급자재 사용내역'!C64,'센터 자재 사용내역(01월)'!F:F,"신규")+SUMIFS('센터 자재 사용내역(01월)'!G:G,'센터 자재 사용내역(01월)'!E:E,'사급자재 사용내역'!C64,'센터 자재 사용내역(01월)'!F:F,"교체")</f>
        <v>0</v>
      </c>
      <c r="N64" s="40">
        <f>SUMIFS('센터 자재 사용내역(02월)'!G:G,'센터 자재 사용내역(02월)'!E:E,'사급자재 사용내역'!C64,'센터 자재 사용내역(02월)'!F:F,"신규")+SUMIFS('센터 자재 사용내역(02월)'!G:G,'센터 자재 사용내역(02월)'!E:E,'사급자재 사용내역'!C64,'센터 자재 사용내역(02월)'!F:F,"교체")</f>
        <v>0</v>
      </c>
      <c r="O64" s="40">
        <f>SUMIFS('센터 자재 사용내역(03월)'!G:G,'센터 자재 사용내역(03월)'!E:E,'사급자재 사용내역'!C64,'센터 자재 사용내역(03월)'!F:F,"신규")+SUMIFS('센터 자재 사용내역(03월)'!G:G,'센터 자재 사용내역(03월)'!E:E,'사급자재 사용내역'!C64,'센터 자재 사용내역(03월)'!F:F,"교체")</f>
        <v>0</v>
      </c>
      <c r="P64" s="40">
        <f>SUMIFS('센터 자재 사용내역(04월)'!G:G,'센터 자재 사용내역(04월)'!E:E,'사급자재 사용내역'!C64,'센터 자재 사용내역(04월)'!F:F,"신규")+SUMIFS('센터 자재 사용내역(04월)'!G:G,'센터 자재 사용내역(04월)'!E:E,'사급자재 사용내역'!C64,'센터 자재 사용내역(04월)'!F:F,"교체")</f>
        <v>0</v>
      </c>
      <c r="Q64" s="40">
        <f>SUMIFS('센터 자재 사용내역(05월)'!G:G,'센터 자재 사용내역(05월)'!E:E,'사급자재 사용내역'!C64,'센터 자재 사용내역(05월)'!F:F,"신규")+SUMIFS('센터 자재 사용내역(05월)'!G:G,'센터 자재 사용내역(05월)'!E:E,'사급자재 사용내역'!C64,'센터 자재 사용내역(05월)'!F:F,"교체")</f>
        <v>0</v>
      </c>
      <c r="R64" s="40">
        <f>SUMIFS('센터 자재 사용내역(06월)'!G:G,'센터 자재 사용내역(06월)'!E:E,'사급자재 사용내역'!C64,'센터 자재 사용내역(06월)'!F:F,"신규")+SUMIFS('센터 자재 사용내역(06월)'!G:G,'센터 자재 사용내역(06월)'!E:E,'사급자재 사용내역'!C64,'센터 자재 사용내역(06월)'!F:F,"교체")</f>
        <v>0</v>
      </c>
      <c r="S64" s="40">
        <f>SUMIFS('센터 자재 사용내역(07월)'!G:G,'센터 자재 사용내역(07월)'!E:E,'사급자재 사용내역'!C64,'센터 자재 사용내역(07월)'!F:F,"신규")+SUMIFS('센터 자재 사용내역(07월)'!G:G,'센터 자재 사용내역(07월)'!E:E,'사급자재 사용내역'!C64,'센터 자재 사용내역(07월)'!F:F,"교체")</f>
        <v>0</v>
      </c>
      <c r="T64" s="40">
        <f>SUMIFS('센터 자재 사용내역(08월)'!G:G,'센터 자재 사용내역(08월)'!E:E,'사급자재 사용내역'!C64,'센터 자재 사용내역(08월)'!F:F,"신규")+SUMIFS('센터 자재 사용내역(08월)'!G:G,'센터 자재 사용내역(08월)'!E:E,'사급자재 사용내역'!C64,'센터 자재 사용내역(08월)'!F:F,"교체")</f>
        <v>0</v>
      </c>
      <c r="U64" s="40">
        <f>SUMIFS('센터 자재 사용내역(09월)'!G:G,'센터 자재 사용내역(09월)'!E:E,'사급자재 사용내역'!C64,'센터 자재 사용내역(09월)'!F:F,"신규")+SUMIFS('센터 자재 사용내역(09월)'!G:G,'센터 자재 사용내역(09월)'!E:E,'사급자재 사용내역'!C64,'센터 자재 사용내역(09월)'!F:F,"교체")</f>
        <v>0</v>
      </c>
      <c r="V64" s="40">
        <f>SUMIFS('센터 자재 사용내역(10월)'!G:G,'센터 자재 사용내역(10월)'!E:E,'사급자재 사용내역'!C64,'센터 자재 사용내역(10월)'!F:F,"신규")+SUMIFS('센터 자재 사용내역(10월)'!G:G,'센터 자재 사용내역(10월)'!E:E,'사급자재 사용내역'!C64,'센터 자재 사용내역(10월)'!F:F,"교체")</f>
        <v>0</v>
      </c>
      <c r="W64" s="40">
        <f>SUMIFS('센터 자재 사용내역(11월)'!G:G,'센터 자재 사용내역(11월)'!E:E,'사급자재 사용내역'!C64,'센터 자재 사용내역(11월)'!F:F,"신규")+SUMIFS('센터 자재 사용내역(11월)'!G:G,'센터 자재 사용내역(11월)'!E:E,'사급자재 사용내역'!C64,'센터 자재 사용내역(11월)'!F:F,"교체")</f>
        <v>0</v>
      </c>
      <c r="X64" s="40">
        <f>SUMIFS('센터 자재 사용내역(12월)'!G:G,'센터 자재 사용내역(12월)'!E:E,'사급자재 사용내역'!C64,'센터 자재 사용내역(12월)'!F:F,"신규")+SUMIFS('센터 자재 사용내역(12월)'!G:G,'센터 자재 사용내역(12월)'!E:E,'사급자재 사용내역'!C64,'센터 자재 사용내역(12월)'!F:F,"교체")</f>
        <v>0</v>
      </c>
      <c r="Y64" s="40">
        <f t="shared" si="16"/>
        <v>0</v>
      </c>
      <c r="Z64" s="53"/>
      <c r="AB64" s="56"/>
      <c r="AC64" s="29"/>
      <c r="AD64" s="29"/>
      <c r="AE64" s="29"/>
      <c r="AF64" s="29"/>
      <c r="AG64" s="29"/>
      <c r="AH64" s="29"/>
      <c r="AI64" s="29"/>
      <c r="AJ64" s="29"/>
      <c r="AK64" s="29"/>
      <c r="AL64" s="29"/>
      <c r="AM64" s="29"/>
      <c r="AN64" s="21">
        <f t="shared" si="17"/>
        <v>0</v>
      </c>
      <c r="AO64" s="57"/>
      <c r="AQ64" s="61">
        <f>SUMIFS('센터 자재 사용내역(01월)'!G:G,'센터 자재 사용내역(01월)'!E:E,'사급자재 사용내역'!C64,'센터 자재 사용내역(01월)'!F:F,"불량")</f>
        <v>0</v>
      </c>
      <c r="AR64" s="40">
        <f>SUMIFS('센터 자재 사용내역(02월)'!G:G,'센터 자재 사용내역(02월)'!E:E,'사급자재 사용내역'!C64,'센터 자재 사용내역(02월)'!F:F,"불량")</f>
        <v>0</v>
      </c>
      <c r="AS64" s="40">
        <f>SUMIFS('센터 자재 사용내역(03월)'!G:G,'센터 자재 사용내역(03월)'!E:E,'사급자재 사용내역'!C64,'센터 자재 사용내역(03월)'!F:F,"불량")</f>
        <v>0</v>
      </c>
      <c r="AT64" s="40">
        <f>SUMIFS('센터 자재 사용내역(04월)'!G:G,'센터 자재 사용내역(04월)'!E:E,'사급자재 사용내역'!C64,'센터 자재 사용내역(04월)'!F:F,"불량")</f>
        <v>0</v>
      </c>
      <c r="AU64" s="40">
        <f>SUMIFS('센터 자재 사용내역(05월)'!G:G,'센터 자재 사용내역(05월)'!E:E,'사급자재 사용내역'!C64,'센터 자재 사용내역(05월)'!F:F,"불량")</f>
        <v>0</v>
      </c>
      <c r="AV64" s="40">
        <f>SUMIFS('센터 자재 사용내역(06월)'!G:G,'센터 자재 사용내역(06월)'!E:E,'사급자재 사용내역'!C64,'센터 자재 사용내역(06월)'!F:F,"불량")</f>
        <v>0</v>
      </c>
      <c r="AW64" s="40">
        <f>SUMIFS('센터 자재 사용내역(07월)'!G:G,'센터 자재 사용내역(07월)'!E:E,'사급자재 사용내역'!C64,'센터 자재 사용내역(07월)'!F:F,"불량")</f>
        <v>0</v>
      </c>
      <c r="AX64" s="40">
        <f>SUMIFS('센터 자재 사용내역(08월)'!G:G,'센터 자재 사용내역(08월)'!E:E,'사급자재 사용내역'!C64,'센터 자재 사용내역(08월)'!F:F,"불량")</f>
        <v>0</v>
      </c>
      <c r="AY64" s="40">
        <f>SUMIFS('센터 자재 사용내역(09월)'!G:G,'센터 자재 사용내역(09월)'!E:E,'사급자재 사용내역'!C64,'센터 자재 사용내역(09월)'!F:F,"불량")</f>
        <v>0</v>
      </c>
      <c r="AZ64" s="40">
        <f>SUMIFS('센터 자재 사용내역(10월)'!G:G,'센터 자재 사용내역(10월)'!E:E,'사급자재 사용내역'!C64,'센터 자재 사용내역(10월)'!F:F,"불량")</f>
        <v>0</v>
      </c>
      <c r="BA64" s="40">
        <f>SUMIFS('센터 자재 사용내역(11월)'!G:G,'센터 자재 사용내역(11월)'!E:E,'사급자재 사용내역'!C64,'센터 자재 사용내역(11월)'!F:F,"불량")</f>
        <v>0</v>
      </c>
      <c r="BB64" s="40">
        <f>SUMIFS('센터 자재 사용내역(12월)'!G:G,'센터 자재 사용내역(12월)'!E:E,'사급자재 사용내역'!C64,'센터 자재 사용내역(12월)'!F:F,"불량")</f>
        <v>0</v>
      </c>
      <c r="BC64" s="40">
        <f t="shared" si="19"/>
        <v>0</v>
      </c>
      <c r="BD64" s="62"/>
    </row>
    <row r="65" spans="2:56" ht="19.5" customHeight="1">
      <c r="B65" s="107"/>
      <c r="C65" s="22" t="s">
        <v>44</v>
      </c>
      <c r="D65" s="64" t="s">
        <v>131</v>
      </c>
      <c r="E65" s="46">
        <v>3</v>
      </c>
      <c r="F65" s="47">
        <v>0</v>
      </c>
      <c r="G65" s="46"/>
      <c r="H65" s="78"/>
      <c r="I65" s="90">
        <f t="shared" si="4"/>
        <v>0</v>
      </c>
      <c r="J65" s="89">
        <f t="shared" si="20"/>
        <v>0</v>
      </c>
      <c r="K65" s="78">
        <f t="shared" si="7"/>
        <v>0</v>
      </c>
      <c r="L65" s="84">
        <f t="shared" si="15"/>
        <v>3</v>
      </c>
      <c r="M65" s="79">
        <f>SUMIFS('센터 자재 사용내역(01월)'!G:G,'센터 자재 사용내역(01월)'!E:E,'사급자재 사용내역'!C65,'센터 자재 사용내역(01월)'!F:F,"신규")+SUMIFS('센터 자재 사용내역(01월)'!G:G,'센터 자재 사용내역(01월)'!E:E,'사급자재 사용내역'!C65,'센터 자재 사용내역(01월)'!F:F,"교체")</f>
        <v>0</v>
      </c>
      <c r="N65" s="40">
        <f>SUMIFS('센터 자재 사용내역(02월)'!G:G,'센터 자재 사용내역(02월)'!E:E,'사급자재 사용내역'!C65,'센터 자재 사용내역(02월)'!F:F,"신규")+SUMIFS('센터 자재 사용내역(02월)'!G:G,'센터 자재 사용내역(02월)'!E:E,'사급자재 사용내역'!C65,'센터 자재 사용내역(02월)'!F:F,"교체")</f>
        <v>0</v>
      </c>
      <c r="O65" s="40">
        <f>SUMIFS('센터 자재 사용내역(03월)'!G:G,'센터 자재 사용내역(03월)'!E:E,'사급자재 사용내역'!C65,'센터 자재 사용내역(03월)'!F:F,"신규")+SUMIFS('센터 자재 사용내역(03월)'!G:G,'센터 자재 사용내역(03월)'!E:E,'사급자재 사용내역'!C65,'센터 자재 사용내역(03월)'!F:F,"교체")</f>
        <v>0</v>
      </c>
      <c r="P65" s="40">
        <f>SUMIFS('센터 자재 사용내역(04월)'!G:G,'센터 자재 사용내역(04월)'!E:E,'사급자재 사용내역'!C65,'센터 자재 사용내역(04월)'!F:F,"신규")+SUMIFS('센터 자재 사용내역(04월)'!G:G,'센터 자재 사용내역(04월)'!E:E,'사급자재 사용내역'!C65,'센터 자재 사용내역(04월)'!F:F,"교체")</f>
        <v>0</v>
      </c>
      <c r="Q65" s="40">
        <f>SUMIFS('센터 자재 사용내역(05월)'!G:G,'센터 자재 사용내역(05월)'!E:E,'사급자재 사용내역'!C65,'센터 자재 사용내역(05월)'!F:F,"신규")+SUMIFS('센터 자재 사용내역(05월)'!G:G,'센터 자재 사용내역(05월)'!E:E,'사급자재 사용내역'!C65,'센터 자재 사용내역(05월)'!F:F,"교체")</f>
        <v>0</v>
      </c>
      <c r="R65" s="40">
        <f>SUMIFS('센터 자재 사용내역(06월)'!G:G,'센터 자재 사용내역(06월)'!E:E,'사급자재 사용내역'!C65,'센터 자재 사용내역(06월)'!F:F,"신규")+SUMIFS('센터 자재 사용내역(06월)'!G:G,'센터 자재 사용내역(06월)'!E:E,'사급자재 사용내역'!C65,'센터 자재 사용내역(06월)'!F:F,"교체")</f>
        <v>0</v>
      </c>
      <c r="S65" s="40">
        <f>SUMIFS('센터 자재 사용내역(07월)'!G:G,'센터 자재 사용내역(07월)'!E:E,'사급자재 사용내역'!C65,'센터 자재 사용내역(07월)'!F:F,"신규")+SUMIFS('센터 자재 사용내역(07월)'!G:G,'센터 자재 사용내역(07월)'!E:E,'사급자재 사용내역'!C65,'센터 자재 사용내역(07월)'!F:F,"교체")</f>
        <v>0</v>
      </c>
      <c r="T65" s="40">
        <f>SUMIFS('센터 자재 사용내역(08월)'!G:G,'센터 자재 사용내역(08월)'!E:E,'사급자재 사용내역'!C65,'센터 자재 사용내역(08월)'!F:F,"신규")+SUMIFS('센터 자재 사용내역(08월)'!G:G,'센터 자재 사용내역(08월)'!E:E,'사급자재 사용내역'!C65,'센터 자재 사용내역(08월)'!F:F,"교체")</f>
        <v>0</v>
      </c>
      <c r="U65" s="40">
        <f>SUMIFS('센터 자재 사용내역(09월)'!G:G,'센터 자재 사용내역(09월)'!E:E,'사급자재 사용내역'!C65,'센터 자재 사용내역(09월)'!F:F,"신규")+SUMIFS('센터 자재 사용내역(09월)'!G:G,'센터 자재 사용내역(09월)'!E:E,'사급자재 사용내역'!C65,'센터 자재 사용내역(09월)'!F:F,"교체")</f>
        <v>0</v>
      </c>
      <c r="V65" s="40">
        <f>SUMIFS('센터 자재 사용내역(10월)'!G:G,'센터 자재 사용내역(10월)'!E:E,'사급자재 사용내역'!C65,'센터 자재 사용내역(10월)'!F:F,"신규")+SUMIFS('센터 자재 사용내역(10월)'!G:G,'센터 자재 사용내역(10월)'!E:E,'사급자재 사용내역'!C65,'센터 자재 사용내역(10월)'!F:F,"교체")</f>
        <v>0</v>
      </c>
      <c r="W65" s="40">
        <f>SUMIFS('센터 자재 사용내역(11월)'!G:G,'센터 자재 사용내역(11월)'!E:E,'사급자재 사용내역'!C65,'센터 자재 사용내역(11월)'!F:F,"신규")+SUMIFS('센터 자재 사용내역(11월)'!G:G,'센터 자재 사용내역(11월)'!E:E,'사급자재 사용내역'!C65,'센터 자재 사용내역(11월)'!F:F,"교체")</f>
        <v>0</v>
      </c>
      <c r="X65" s="40">
        <f>SUMIFS('센터 자재 사용내역(12월)'!G:G,'센터 자재 사용내역(12월)'!E:E,'사급자재 사용내역'!C65,'센터 자재 사용내역(12월)'!F:F,"신규")+SUMIFS('센터 자재 사용내역(12월)'!G:G,'센터 자재 사용내역(12월)'!E:E,'사급자재 사용내역'!C65,'센터 자재 사용내역(12월)'!F:F,"교체")</f>
        <v>0</v>
      </c>
      <c r="Y65" s="40">
        <f t="shared" si="16"/>
        <v>0</v>
      </c>
      <c r="Z65" s="53"/>
      <c r="AB65" s="56"/>
      <c r="AC65" s="29"/>
      <c r="AD65" s="29"/>
      <c r="AE65" s="29"/>
      <c r="AF65" s="29"/>
      <c r="AG65" s="29"/>
      <c r="AH65" s="29"/>
      <c r="AI65" s="29"/>
      <c r="AJ65" s="29"/>
      <c r="AK65" s="29"/>
      <c r="AL65" s="29"/>
      <c r="AM65" s="29"/>
      <c r="AN65" s="21">
        <f t="shared" si="17"/>
        <v>0</v>
      </c>
      <c r="AO65" s="57"/>
      <c r="AQ65" s="61">
        <f>SUMIFS('센터 자재 사용내역(01월)'!G:G,'센터 자재 사용내역(01월)'!E:E,'사급자재 사용내역'!C65,'센터 자재 사용내역(01월)'!F:F,"불량")</f>
        <v>0</v>
      </c>
      <c r="AR65" s="40">
        <f>SUMIFS('센터 자재 사용내역(02월)'!G:G,'센터 자재 사용내역(02월)'!E:E,'사급자재 사용내역'!C65,'센터 자재 사용내역(02월)'!F:F,"불량")</f>
        <v>0</v>
      </c>
      <c r="AS65" s="40">
        <f>SUMIFS('센터 자재 사용내역(03월)'!G:G,'센터 자재 사용내역(03월)'!E:E,'사급자재 사용내역'!C65,'센터 자재 사용내역(03월)'!F:F,"불량")</f>
        <v>0</v>
      </c>
      <c r="AT65" s="40">
        <f>SUMIFS('센터 자재 사용내역(04월)'!G:G,'센터 자재 사용내역(04월)'!E:E,'사급자재 사용내역'!C65,'센터 자재 사용내역(04월)'!F:F,"불량")</f>
        <v>0</v>
      </c>
      <c r="AU65" s="40">
        <f>SUMIFS('센터 자재 사용내역(05월)'!G:G,'센터 자재 사용내역(05월)'!E:E,'사급자재 사용내역'!C65,'센터 자재 사용내역(05월)'!F:F,"불량")</f>
        <v>0</v>
      </c>
      <c r="AV65" s="40">
        <f>SUMIFS('센터 자재 사용내역(06월)'!G:G,'센터 자재 사용내역(06월)'!E:E,'사급자재 사용내역'!C65,'센터 자재 사용내역(06월)'!F:F,"불량")</f>
        <v>0</v>
      </c>
      <c r="AW65" s="40">
        <f>SUMIFS('센터 자재 사용내역(07월)'!G:G,'센터 자재 사용내역(07월)'!E:E,'사급자재 사용내역'!C65,'센터 자재 사용내역(07월)'!F:F,"불량")</f>
        <v>0</v>
      </c>
      <c r="AX65" s="40">
        <f>SUMIFS('센터 자재 사용내역(08월)'!G:G,'센터 자재 사용내역(08월)'!E:E,'사급자재 사용내역'!C65,'센터 자재 사용내역(08월)'!F:F,"불량")</f>
        <v>0</v>
      </c>
      <c r="AY65" s="40">
        <f>SUMIFS('센터 자재 사용내역(09월)'!G:G,'센터 자재 사용내역(09월)'!E:E,'사급자재 사용내역'!C65,'센터 자재 사용내역(09월)'!F:F,"불량")</f>
        <v>0</v>
      </c>
      <c r="AZ65" s="40">
        <f>SUMIFS('센터 자재 사용내역(10월)'!G:G,'센터 자재 사용내역(10월)'!E:E,'사급자재 사용내역'!C65,'센터 자재 사용내역(10월)'!F:F,"불량")</f>
        <v>0</v>
      </c>
      <c r="BA65" s="40">
        <f>SUMIFS('센터 자재 사용내역(11월)'!G:G,'센터 자재 사용내역(11월)'!E:E,'사급자재 사용내역'!C65,'센터 자재 사용내역(11월)'!F:F,"불량")</f>
        <v>0</v>
      </c>
      <c r="BB65" s="40">
        <f>SUMIFS('센터 자재 사용내역(12월)'!G:G,'센터 자재 사용내역(12월)'!E:E,'사급자재 사용내역'!C65,'센터 자재 사용내역(12월)'!F:F,"불량")</f>
        <v>0</v>
      </c>
      <c r="BC65" s="40">
        <f t="shared" si="19"/>
        <v>0</v>
      </c>
      <c r="BD65" s="62"/>
    </row>
    <row r="66" spans="2:56" ht="19.5" customHeight="1">
      <c r="B66" s="107"/>
      <c r="C66" s="22" t="s">
        <v>45</v>
      </c>
      <c r="D66" s="64" t="s">
        <v>131</v>
      </c>
      <c r="E66" s="46">
        <v>0</v>
      </c>
      <c r="F66" s="47">
        <v>0</v>
      </c>
      <c r="G66" s="46"/>
      <c r="H66" s="78"/>
      <c r="I66" s="90">
        <f t="shared" si="4"/>
        <v>0</v>
      </c>
      <c r="J66" s="89">
        <f t="shared" ref="J66:J80" si="21">Y66</f>
        <v>0</v>
      </c>
      <c r="K66" s="78">
        <f t="shared" si="7"/>
        <v>0</v>
      </c>
      <c r="L66" s="84">
        <f t="shared" si="15"/>
        <v>0</v>
      </c>
      <c r="M66" s="79">
        <f>SUMIFS('센터 자재 사용내역(01월)'!G:G,'센터 자재 사용내역(01월)'!E:E,'사급자재 사용내역'!C66,'센터 자재 사용내역(01월)'!F:F,"신규")+SUMIFS('센터 자재 사용내역(01월)'!G:G,'센터 자재 사용내역(01월)'!E:E,'사급자재 사용내역'!C66,'센터 자재 사용내역(01월)'!F:F,"교체")</f>
        <v>0</v>
      </c>
      <c r="N66" s="40">
        <f>SUMIFS('센터 자재 사용내역(02월)'!G:G,'센터 자재 사용내역(02월)'!E:E,'사급자재 사용내역'!C66,'센터 자재 사용내역(02월)'!F:F,"신규")+SUMIFS('센터 자재 사용내역(02월)'!G:G,'센터 자재 사용내역(02월)'!E:E,'사급자재 사용내역'!C66,'센터 자재 사용내역(02월)'!F:F,"교체")</f>
        <v>0</v>
      </c>
      <c r="O66" s="40">
        <f>SUMIFS('센터 자재 사용내역(03월)'!G:G,'센터 자재 사용내역(03월)'!E:E,'사급자재 사용내역'!C66,'센터 자재 사용내역(03월)'!F:F,"신규")+SUMIFS('센터 자재 사용내역(03월)'!G:G,'센터 자재 사용내역(03월)'!E:E,'사급자재 사용내역'!C66,'센터 자재 사용내역(03월)'!F:F,"교체")</f>
        <v>0</v>
      </c>
      <c r="P66" s="40">
        <f>SUMIFS('센터 자재 사용내역(04월)'!G:G,'센터 자재 사용내역(04월)'!E:E,'사급자재 사용내역'!C66,'센터 자재 사용내역(04월)'!F:F,"신규")+SUMIFS('센터 자재 사용내역(04월)'!G:G,'센터 자재 사용내역(04월)'!E:E,'사급자재 사용내역'!C66,'센터 자재 사용내역(04월)'!F:F,"교체")</f>
        <v>0</v>
      </c>
      <c r="Q66" s="40">
        <f>SUMIFS('센터 자재 사용내역(05월)'!G:G,'센터 자재 사용내역(05월)'!E:E,'사급자재 사용내역'!C66,'센터 자재 사용내역(05월)'!F:F,"신규")+SUMIFS('센터 자재 사용내역(05월)'!G:G,'센터 자재 사용내역(05월)'!E:E,'사급자재 사용내역'!C66,'센터 자재 사용내역(05월)'!F:F,"교체")</f>
        <v>0</v>
      </c>
      <c r="R66" s="40">
        <f>SUMIFS('센터 자재 사용내역(06월)'!G:G,'센터 자재 사용내역(06월)'!E:E,'사급자재 사용내역'!C66,'센터 자재 사용내역(06월)'!F:F,"신규")+SUMIFS('센터 자재 사용내역(06월)'!G:G,'센터 자재 사용내역(06월)'!E:E,'사급자재 사용내역'!C66,'센터 자재 사용내역(06월)'!F:F,"교체")</f>
        <v>0</v>
      </c>
      <c r="S66" s="40">
        <f>SUMIFS('센터 자재 사용내역(07월)'!G:G,'센터 자재 사용내역(07월)'!E:E,'사급자재 사용내역'!C66,'센터 자재 사용내역(07월)'!F:F,"신규")+SUMIFS('센터 자재 사용내역(07월)'!G:G,'센터 자재 사용내역(07월)'!E:E,'사급자재 사용내역'!C66,'센터 자재 사용내역(07월)'!F:F,"교체")</f>
        <v>0</v>
      </c>
      <c r="T66" s="40">
        <f>SUMIFS('센터 자재 사용내역(08월)'!G:G,'센터 자재 사용내역(08월)'!E:E,'사급자재 사용내역'!C66,'센터 자재 사용내역(08월)'!F:F,"신규")+SUMIFS('센터 자재 사용내역(08월)'!G:G,'센터 자재 사용내역(08월)'!E:E,'사급자재 사용내역'!C66,'센터 자재 사용내역(08월)'!F:F,"교체")</f>
        <v>0</v>
      </c>
      <c r="U66" s="40">
        <f>SUMIFS('센터 자재 사용내역(09월)'!G:G,'센터 자재 사용내역(09월)'!E:E,'사급자재 사용내역'!C66,'센터 자재 사용내역(09월)'!F:F,"신규")+SUMIFS('센터 자재 사용내역(09월)'!G:G,'센터 자재 사용내역(09월)'!E:E,'사급자재 사용내역'!C66,'센터 자재 사용내역(09월)'!F:F,"교체")</f>
        <v>0</v>
      </c>
      <c r="V66" s="40">
        <f>SUMIFS('센터 자재 사용내역(10월)'!G:G,'센터 자재 사용내역(10월)'!E:E,'사급자재 사용내역'!C66,'센터 자재 사용내역(10월)'!F:F,"신규")+SUMIFS('센터 자재 사용내역(10월)'!G:G,'센터 자재 사용내역(10월)'!E:E,'사급자재 사용내역'!C66,'센터 자재 사용내역(10월)'!F:F,"교체")</f>
        <v>0</v>
      </c>
      <c r="W66" s="40">
        <f>SUMIFS('센터 자재 사용내역(11월)'!G:G,'센터 자재 사용내역(11월)'!E:E,'사급자재 사용내역'!C66,'센터 자재 사용내역(11월)'!F:F,"신규")+SUMIFS('센터 자재 사용내역(11월)'!G:G,'센터 자재 사용내역(11월)'!E:E,'사급자재 사용내역'!C66,'센터 자재 사용내역(11월)'!F:F,"교체")</f>
        <v>0</v>
      </c>
      <c r="X66" s="40">
        <f>SUMIFS('센터 자재 사용내역(12월)'!G:G,'센터 자재 사용내역(12월)'!E:E,'사급자재 사용내역'!C66,'센터 자재 사용내역(12월)'!F:F,"신규")+SUMIFS('센터 자재 사용내역(12월)'!G:G,'센터 자재 사용내역(12월)'!E:E,'사급자재 사용내역'!C66,'센터 자재 사용내역(12월)'!F:F,"교체")</f>
        <v>0</v>
      </c>
      <c r="Y66" s="40">
        <f t="shared" si="16"/>
        <v>0</v>
      </c>
      <c r="Z66" s="53"/>
      <c r="AB66" s="56"/>
      <c r="AC66" s="29"/>
      <c r="AD66" s="29"/>
      <c r="AE66" s="29"/>
      <c r="AF66" s="29"/>
      <c r="AG66" s="29"/>
      <c r="AH66" s="29"/>
      <c r="AI66" s="29"/>
      <c r="AJ66" s="29"/>
      <c r="AK66" s="29"/>
      <c r="AL66" s="29"/>
      <c r="AM66" s="29"/>
      <c r="AN66" s="21">
        <f t="shared" si="17"/>
        <v>0</v>
      </c>
      <c r="AO66" s="57"/>
      <c r="AQ66" s="61">
        <f>SUMIFS('센터 자재 사용내역(01월)'!G:G,'센터 자재 사용내역(01월)'!E:E,'사급자재 사용내역'!C66,'센터 자재 사용내역(01월)'!F:F,"불량")</f>
        <v>0</v>
      </c>
      <c r="AR66" s="40">
        <f>SUMIFS('센터 자재 사용내역(02월)'!G:G,'센터 자재 사용내역(02월)'!E:E,'사급자재 사용내역'!C66,'센터 자재 사용내역(02월)'!F:F,"불량")</f>
        <v>0</v>
      </c>
      <c r="AS66" s="40">
        <f>SUMIFS('센터 자재 사용내역(03월)'!G:G,'센터 자재 사용내역(03월)'!E:E,'사급자재 사용내역'!C66,'센터 자재 사용내역(03월)'!F:F,"불량")</f>
        <v>0</v>
      </c>
      <c r="AT66" s="40">
        <f>SUMIFS('센터 자재 사용내역(04월)'!G:G,'센터 자재 사용내역(04월)'!E:E,'사급자재 사용내역'!C66,'센터 자재 사용내역(04월)'!F:F,"불량")</f>
        <v>0</v>
      </c>
      <c r="AU66" s="40">
        <f>SUMIFS('센터 자재 사용내역(05월)'!G:G,'센터 자재 사용내역(05월)'!E:E,'사급자재 사용내역'!C66,'센터 자재 사용내역(05월)'!F:F,"불량")</f>
        <v>0</v>
      </c>
      <c r="AV66" s="40">
        <f>SUMIFS('센터 자재 사용내역(06월)'!G:G,'센터 자재 사용내역(06월)'!E:E,'사급자재 사용내역'!C66,'센터 자재 사용내역(06월)'!F:F,"불량")</f>
        <v>0</v>
      </c>
      <c r="AW66" s="40">
        <f>SUMIFS('센터 자재 사용내역(07월)'!G:G,'센터 자재 사용내역(07월)'!E:E,'사급자재 사용내역'!C66,'센터 자재 사용내역(07월)'!F:F,"불량")</f>
        <v>0</v>
      </c>
      <c r="AX66" s="40">
        <f>SUMIFS('센터 자재 사용내역(08월)'!G:G,'센터 자재 사용내역(08월)'!E:E,'사급자재 사용내역'!C66,'센터 자재 사용내역(08월)'!F:F,"불량")</f>
        <v>0</v>
      </c>
      <c r="AY66" s="40">
        <f>SUMIFS('센터 자재 사용내역(09월)'!G:G,'센터 자재 사용내역(09월)'!E:E,'사급자재 사용내역'!C66,'센터 자재 사용내역(09월)'!F:F,"불량")</f>
        <v>0</v>
      </c>
      <c r="AZ66" s="40">
        <f>SUMIFS('센터 자재 사용내역(10월)'!G:G,'센터 자재 사용내역(10월)'!E:E,'사급자재 사용내역'!C66,'센터 자재 사용내역(10월)'!F:F,"불량")</f>
        <v>0</v>
      </c>
      <c r="BA66" s="40">
        <f>SUMIFS('센터 자재 사용내역(11월)'!G:G,'센터 자재 사용내역(11월)'!E:E,'사급자재 사용내역'!C66,'센터 자재 사용내역(11월)'!F:F,"불량")</f>
        <v>0</v>
      </c>
      <c r="BB66" s="40">
        <f>SUMIFS('센터 자재 사용내역(12월)'!G:G,'센터 자재 사용내역(12월)'!E:E,'사급자재 사용내역'!C66,'센터 자재 사용내역(12월)'!F:F,"불량")</f>
        <v>0</v>
      </c>
      <c r="BC66" s="40">
        <f t="shared" si="19"/>
        <v>0</v>
      </c>
      <c r="BD66" s="62"/>
    </row>
    <row r="67" spans="2:56" ht="19.5" customHeight="1">
      <c r="B67" s="108"/>
      <c r="C67" s="22"/>
      <c r="D67" s="64" t="s">
        <v>131</v>
      </c>
      <c r="E67" s="46">
        <v>0</v>
      </c>
      <c r="F67" s="47">
        <v>0</v>
      </c>
      <c r="G67" s="46"/>
      <c r="H67" s="78"/>
      <c r="I67" s="90">
        <f t="shared" si="4"/>
        <v>0</v>
      </c>
      <c r="J67" s="89">
        <f t="shared" si="21"/>
        <v>0</v>
      </c>
      <c r="K67" s="78">
        <f t="shared" si="7"/>
        <v>0</v>
      </c>
      <c r="L67" s="84">
        <f t="shared" si="15"/>
        <v>0</v>
      </c>
      <c r="M67" s="79">
        <f>SUMIFS('센터 자재 사용내역(01월)'!G:G,'센터 자재 사용내역(01월)'!E:E,'사급자재 사용내역'!C67,'센터 자재 사용내역(01월)'!F:F,"신규")+SUMIFS('센터 자재 사용내역(01월)'!G:G,'센터 자재 사용내역(01월)'!E:E,'사급자재 사용내역'!C67,'센터 자재 사용내역(01월)'!F:F,"교체")</f>
        <v>0</v>
      </c>
      <c r="N67" s="40">
        <f>SUMIFS('센터 자재 사용내역(02월)'!G:G,'센터 자재 사용내역(02월)'!E:E,'사급자재 사용내역'!C67,'센터 자재 사용내역(02월)'!F:F,"신규")+SUMIFS('센터 자재 사용내역(02월)'!G:G,'센터 자재 사용내역(02월)'!E:E,'사급자재 사용내역'!C67,'센터 자재 사용내역(02월)'!F:F,"교체")</f>
        <v>0</v>
      </c>
      <c r="O67" s="40">
        <f>SUMIFS('센터 자재 사용내역(03월)'!G:G,'센터 자재 사용내역(03월)'!E:E,'사급자재 사용내역'!C67,'센터 자재 사용내역(03월)'!F:F,"신규")+SUMIFS('센터 자재 사용내역(03월)'!G:G,'센터 자재 사용내역(03월)'!E:E,'사급자재 사용내역'!C67,'센터 자재 사용내역(03월)'!F:F,"교체")</f>
        <v>0</v>
      </c>
      <c r="P67" s="40">
        <f>SUMIFS('센터 자재 사용내역(04월)'!G:G,'센터 자재 사용내역(04월)'!E:E,'사급자재 사용내역'!C67,'센터 자재 사용내역(04월)'!F:F,"신규")+SUMIFS('센터 자재 사용내역(04월)'!G:G,'센터 자재 사용내역(04월)'!E:E,'사급자재 사용내역'!C67,'센터 자재 사용내역(04월)'!F:F,"교체")</f>
        <v>0</v>
      </c>
      <c r="Q67" s="40">
        <f>SUMIFS('센터 자재 사용내역(05월)'!G:G,'센터 자재 사용내역(05월)'!E:E,'사급자재 사용내역'!C67,'센터 자재 사용내역(05월)'!F:F,"신규")+SUMIFS('센터 자재 사용내역(05월)'!G:G,'센터 자재 사용내역(05월)'!E:E,'사급자재 사용내역'!C67,'센터 자재 사용내역(05월)'!F:F,"교체")</f>
        <v>0</v>
      </c>
      <c r="R67" s="40">
        <f>SUMIFS('센터 자재 사용내역(06월)'!G:G,'센터 자재 사용내역(06월)'!E:E,'사급자재 사용내역'!C67,'센터 자재 사용내역(06월)'!F:F,"신규")+SUMIFS('센터 자재 사용내역(06월)'!G:G,'센터 자재 사용내역(06월)'!E:E,'사급자재 사용내역'!C67,'센터 자재 사용내역(06월)'!F:F,"교체")</f>
        <v>0</v>
      </c>
      <c r="S67" s="40">
        <f>SUMIFS('센터 자재 사용내역(07월)'!G:G,'센터 자재 사용내역(07월)'!E:E,'사급자재 사용내역'!C67,'센터 자재 사용내역(07월)'!F:F,"신규")+SUMIFS('센터 자재 사용내역(07월)'!G:G,'센터 자재 사용내역(07월)'!E:E,'사급자재 사용내역'!C67,'센터 자재 사용내역(07월)'!F:F,"교체")</f>
        <v>0</v>
      </c>
      <c r="T67" s="40">
        <f>SUMIFS('센터 자재 사용내역(08월)'!G:G,'센터 자재 사용내역(08월)'!E:E,'사급자재 사용내역'!C67,'센터 자재 사용내역(08월)'!F:F,"신규")+SUMIFS('센터 자재 사용내역(08월)'!G:G,'센터 자재 사용내역(08월)'!E:E,'사급자재 사용내역'!C67,'센터 자재 사용내역(08월)'!F:F,"교체")</f>
        <v>0</v>
      </c>
      <c r="U67" s="40">
        <f>SUMIFS('센터 자재 사용내역(09월)'!G:G,'센터 자재 사용내역(09월)'!E:E,'사급자재 사용내역'!C67,'센터 자재 사용내역(09월)'!F:F,"신규")+SUMIFS('센터 자재 사용내역(09월)'!G:G,'센터 자재 사용내역(09월)'!E:E,'사급자재 사용내역'!C67,'센터 자재 사용내역(09월)'!F:F,"교체")</f>
        <v>0</v>
      </c>
      <c r="V67" s="40">
        <f>SUMIFS('센터 자재 사용내역(10월)'!G:G,'센터 자재 사용내역(10월)'!E:E,'사급자재 사용내역'!C67,'센터 자재 사용내역(10월)'!F:F,"신규")+SUMIFS('센터 자재 사용내역(10월)'!G:G,'센터 자재 사용내역(10월)'!E:E,'사급자재 사용내역'!C67,'센터 자재 사용내역(10월)'!F:F,"교체")</f>
        <v>0</v>
      </c>
      <c r="W67" s="40">
        <f>SUMIFS('센터 자재 사용내역(11월)'!G:G,'센터 자재 사용내역(11월)'!E:E,'사급자재 사용내역'!C67,'센터 자재 사용내역(11월)'!F:F,"신규")+SUMIFS('센터 자재 사용내역(11월)'!G:G,'센터 자재 사용내역(11월)'!E:E,'사급자재 사용내역'!C67,'센터 자재 사용내역(11월)'!F:F,"교체")</f>
        <v>0</v>
      </c>
      <c r="X67" s="40">
        <f>SUMIFS('센터 자재 사용내역(12월)'!G:G,'센터 자재 사용내역(12월)'!E:E,'사급자재 사용내역'!C67,'센터 자재 사용내역(12월)'!F:F,"신규")+SUMIFS('센터 자재 사용내역(12월)'!G:G,'센터 자재 사용내역(12월)'!E:E,'사급자재 사용내역'!C67,'센터 자재 사용내역(12월)'!F:F,"교체")</f>
        <v>0</v>
      </c>
      <c r="Y67" s="40">
        <f t="shared" si="16"/>
        <v>0</v>
      </c>
      <c r="Z67" s="53"/>
      <c r="AB67" s="56"/>
      <c r="AC67" s="29"/>
      <c r="AD67" s="29"/>
      <c r="AE67" s="29"/>
      <c r="AF67" s="29"/>
      <c r="AG67" s="29"/>
      <c r="AH67" s="29"/>
      <c r="AI67" s="29"/>
      <c r="AJ67" s="29"/>
      <c r="AK67" s="29"/>
      <c r="AL67" s="29"/>
      <c r="AM67" s="29"/>
      <c r="AN67" s="21">
        <f t="shared" si="17"/>
        <v>0</v>
      </c>
      <c r="AO67" s="57"/>
      <c r="AQ67" s="61">
        <f>SUMIFS('센터 자재 사용내역(01월)'!G:G,'센터 자재 사용내역(01월)'!E:E,'사급자재 사용내역'!C67,'센터 자재 사용내역(01월)'!F:F,"불량")</f>
        <v>0</v>
      </c>
      <c r="AR67" s="40">
        <f>SUMIFS('센터 자재 사용내역(02월)'!G:G,'센터 자재 사용내역(02월)'!E:E,'사급자재 사용내역'!C67,'센터 자재 사용내역(02월)'!F:F,"불량")</f>
        <v>0</v>
      </c>
      <c r="AS67" s="40">
        <f>SUMIFS('센터 자재 사용내역(03월)'!G:G,'센터 자재 사용내역(03월)'!E:E,'사급자재 사용내역'!C67,'센터 자재 사용내역(03월)'!F:F,"불량")</f>
        <v>0</v>
      </c>
      <c r="AT67" s="40">
        <f>SUMIFS('센터 자재 사용내역(04월)'!G:G,'센터 자재 사용내역(04월)'!E:E,'사급자재 사용내역'!C67,'센터 자재 사용내역(04월)'!F:F,"불량")</f>
        <v>0</v>
      </c>
      <c r="AU67" s="40">
        <f>SUMIFS('센터 자재 사용내역(05월)'!G:G,'센터 자재 사용내역(05월)'!E:E,'사급자재 사용내역'!C67,'센터 자재 사용내역(05월)'!F:F,"불량")</f>
        <v>0</v>
      </c>
      <c r="AV67" s="40">
        <f>SUMIFS('센터 자재 사용내역(06월)'!G:G,'센터 자재 사용내역(06월)'!E:E,'사급자재 사용내역'!C67,'센터 자재 사용내역(06월)'!F:F,"불량")</f>
        <v>0</v>
      </c>
      <c r="AW67" s="40">
        <f>SUMIFS('센터 자재 사용내역(07월)'!G:G,'센터 자재 사용내역(07월)'!E:E,'사급자재 사용내역'!C67,'센터 자재 사용내역(07월)'!F:F,"불량")</f>
        <v>0</v>
      </c>
      <c r="AX67" s="40">
        <f>SUMIFS('센터 자재 사용내역(08월)'!G:G,'센터 자재 사용내역(08월)'!E:E,'사급자재 사용내역'!C67,'센터 자재 사용내역(08월)'!F:F,"불량")</f>
        <v>0</v>
      </c>
      <c r="AY67" s="40">
        <f>SUMIFS('센터 자재 사용내역(09월)'!G:G,'센터 자재 사용내역(09월)'!E:E,'사급자재 사용내역'!C67,'센터 자재 사용내역(09월)'!F:F,"불량")</f>
        <v>0</v>
      </c>
      <c r="AZ67" s="40">
        <f>SUMIFS('센터 자재 사용내역(10월)'!G:G,'센터 자재 사용내역(10월)'!E:E,'사급자재 사용내역'!C67,'센터 자재 사용내역(10월)'!F:F,"불량")</f>
        <v>0</v>
      </c>
      <c r="BA67" s="40">
        <f>SUMIFS('센터 자재 사용내역(11월)'!G:G,'센터 자재 사용내역(11월)'!E:E,'사급자재 사용내역'!C67,'센터 자재 사용내역(11월)'!F:F,"불량")</f>
        <v>0</v>
      </c>
      <c r="BB67" s="40">
        <f>SUMIFS('센터 자재 사용내역(12월)'!G:G,'센터 자재 사용내역(12월)'!E:E,'사급자재 사용내역'!C67,'센터 자재 사용내역(12월)'!F:F,"불량")</f>
        <v>0</v>
      </c>
      <c r="BC67" s="40">
        <f t="shared" si="19"/>
        <v>0</v>
      </c>
      <c r="BD67" s="62"/>
    </row>
    <row r="68" spans="2:56" ht="19.5" customHeight="1">
      <c r="B68" s="98" t="s">
        <v>60</v>
      </c>
      <c r="C68" s="22" t="s">
        <v>4</v>
      </c>
      <c r="D68" s="64" t="s">
        <v>129</v>
      </c>
      <c r="E68" s="46">
        <v>54</v>
      </c>
      <c r="F68" s="47">
        <v>0</v>
      </c>
      <c r="G68" s="46"/>
      <c r="H68" s="78"/>
      <c r="I68" s="90">
        <f t="shared" si="4"/>
        <v>0</v>
      </c>
      <c r="J68" s="89">
        <f t="shared" si="21"/>
        <v>57</v>
      </c>
      <c r="K68" s="78">
        <f t="shared" si="7"/>
        <v>40</v>
      </c>
      <c r="L68" s="84">
        <f t="shared" si="15"/>
        <v>37</v>
      </c>
      <c r="M68" s="79">
        <f>SUMIFS('센터 자재 사용내역(01월)'!G:G,'센터 자재 사용내역(01월)'!E:E,'사급자재 사용내역'!C68,'센터 자재 사용내역(01월)'!F:F,"신규")+SUMIFS('센터 자재 사용내역(01월)'!G:G,'센터 자재 사용내역(01월)'!E:E,'사급자재 사용내역'!C68,'센터 자재 사용내역(01월)'!F:F,"교체")</f>
        <v>1</v>
      </c>
      <c r="N68" s="40">
        <f>SUMIFS('센터 자재 사용내역(02월)'!G:G,'센터 자재 사용내역(02월)'!E:E,'사급자재 사용내역'!C68,'센터 자재 사용내역(02월)'!F:F,"신규")+SUMIFS('센터 자재 사용내역(02월)'!G:G,'센터 자재 사용내역(02월)'!E:E,'사급자재 사용내역'!C68,'센터 자재 사용내역(02월)'!F:F,"교체")</f>
        <v>5</v>
      </c>
      <c r="O68" s="40">
        <f>SUMIFS('센터 자재 사용내역(03월)'!G:G,'센터 자재 사용내역(03월)'!E:E,'사급자재 사용내역'!C68,'센터 자재 사용내역(03월)'!F:F,"신규")+SUMIFS('센터 자재 사용내역(03월)'!G:G,'센터 자재 사용내역(03월)'!E:E,'사급자재 사용내역'!C68,'센터 자재 사용내역(03월)'!F:F,"교체")</f>
        <v>2</v>
      </c>
      <c r="P68" s="40">
        <f>SUMIFS('센터 자재 사용내역(04월)'!G:G,'센터 자재 사용내역(04월)'!E:E,'사급자재 사용내역'!C68,'센터 자재 사용내역(04월)'!F:F,"신규")+SUMIFS('센터 자재 사용내역(04월)'!G:G,'센터 자재 사용내역(04월)'!E:E,'사급자재 사용내역'!C68,'센터 자재 사용내역(04월)'!F:F,"교체")</f>
        <v>2</v>
      </c>
      <c r="Q68" s="40">
        <f>SUMIFS('센터 자재 사용내역(05월)'!G:G,'센터 자재 사용내역(05월)'!E:E,'사급자재 사용내역'!C68,'센터 자재 사용내역(05월)'!F:F,"신규")+SUMIFS('센터 자재 사용내역(05월)'!G:G,'센터 자재 사용내역(05월)'!E:E,'사급자재 사용내역'!C68,'센터 자재 사용내역(05월)'!F:F,"교체")</f>
        <v>2</v>
      </c>
      <c r="R68" s="40">
        <f>SUMIFS('센터 자재 사용내역(06월)'!G:G,'센터 자재 사용내역(06월)'!E:E,'사급자재 사용내역'!C68,'센터 자재 사용내역(06월)'!F:F,"신규")+SUMIFS('센터 자재 사용내역(06월)'!G:G,'센터 자재 사용내역(06월)'!E:E,'사급자재 사용내역'!C68,'센터 자재 사용내역(06월)'!F:F,"교체")</f>
        <v>8</v>
      </c>
      <c r="S68" s="40">
        <f>SUMIFS('센터 자재 사용내역(07월)'!G:G,'센터 자재 사용내역(07월)'!E:E,'사급자재 사용내역'!C68,'센터 자재 사용내역(07월)'!F:F,"신규")+SUMIFS('센터 자재 사용내역(07월)'!G:G,'센터 자재 사용내역(07월)'!E:E,'사급자재 사용내역'!C68,'센터 자재 사용내역(07월)'!F:F,"교체")</f>
        <v>22</v>
      </c>
      <c r="T68" s="40">
        <f>SUMIFS('센터 자재 사용내역(08월)'!G:G,'센터 자재 사용내역(08월)'!E:E,'사급자재 사용내역'!C68,'센터 자재 사용내역(08월)'!F:F,"신규")+SUMIFS('센터 자재 사용내역(08월)'!G:G,'센터 자재 사용내역(08월)'!E:E,'사급자재 사용내역'!C68,'센터 자재 사용내역(08월)'!F:F,"교체")</f>
        <v>15</v>
      </c>
      <c r="U68" s="40">
        <f>SUMIFS('센터 자재 사용내역(09월)'!G:G,'센터 자재 사용내역(09월)'!E:E,'사급자재 사용내역'!C68,'센터 자재 사용내역(09월)'!F:F,"신규")+SUMIFS('센터 자재 사용내역(09월)'!G:G,'센터 자재 사용내역(09월)'!E:E,'사급자재 사용내역'!C68,'센터 자재 사용내역(09월)'!F:F,"교체")</f>
        <v>0</v>
      </c>
      <c r="V68" s="40">
        <f>SUMIFS('센터 자재 사용내역(10월)'!G:G,'센터 자재 사용내역(10월)'!E:E,'사급자재 사용내역'!C68,'센터 자재 사용내역(10월)'!F:F,"신규")+SUMIFS('센터 자재 사용내역(10월)'!G:G,'센터 자재 사용내역(10월)'!E:E,'사급자재 사용내역'!C68,'센터 자재 사용내역(10월)'!F:F,"교체")</f>
        <v>0</v>
      </c>
      <c r="W68" s="40">
        <f>SUMIFS('센터 자재 사용내역(11월)'!G:G,'센터 자재 사용내역(11월)'!E:E,'사급자재 사용내역'!C68,'센터 자재 사용내역(11월)'!F:F,"신규")+SUMIFS('센터 자재 사용내역(11월)'!G:G,'센터 자재 사용내역(11월)'!E:E,'사급자재 사용내역'!C68,'센터 자재 사용내역(11월)'!F:F,"교체")</f>
        <v>0</v>
      </c>
      <c r="X68" s="40">
        <f>SUMIFS('센터 자재 사용내역(12월)'!G:G,'센터 자재 사용내역(12월)'!E:E,'사급자재 사용내역'!C68,'센터 자재 사용내역(12월)'!F:F,"신규")+SUMIFS('센터 자재 사용내역(12월)'!G:G,'센터 자재 사용내역(12월)'!E:E,'사급자재 사용내역'!C68,'센터 자재 사용내역(12월)'!F:F,"교체")</f>
        <v>0</v>
      </c>
      <c r="Y68" s="40">
        <f t="shared" si="16"/>
        <v>57</v>
      </c>
      <c r="Z68" s="53"/>
      <c r="AB68" s="56"/>
      <c r="AC68" s="29"/>
      <c r="AD68" s="29"/>
      <c r="AE68" s="29"/>
      <c r="AF68" s="29"/>
      <c r="AG68" s="29"/>
      <c r="AH68" s="29">
        <v>20</v>
      </c>
      <c r="AI68" s="29">
        <v>20</v>
      </c>
      <c r="AJ68" s="29"/>
      <c r="AK68" s="29"/>
      <c r="AL68" s="29"/>
      <c r="AM68" s="29"/>
      <c r="AN68" s="21">
        <f t="shared" si="17"/>
        <v>40</v>
      </c>
      <c r="AO68" s="57"/>
      <c r="AQ68" s="61">
        <f>SUMIFS('센터 자재 사용내역(01월)'!G:G,'센터 자재 사용내역(01월)'!E:E,'사급자재 사용내역'!C68,'센터 자재 사용내역(01월)'!F:F,"불량")</f>
        <v>0</v>
      </c>
      <c r="AR68" s="40">
        <f>SUMIFS('센터 자재 사용내역(02월)'!G:G,'센터 자재 사용내역(02월)'!E:E,'사급자재 사용내역'!C68,'센터 자재 사용내역(02월)'!F:F,"불량")</f>
        <v>0</v>
      </c>
      <c r="AS68" s="40">
        <f>SUMIFS('센터 자재 사용내역(03월)'!G:G,'센터 자재 사용내역(03월)'!E:E,'사급자재 사용내역'!C68,'센터 자재 사용내역(03월)'!F:F,"불량")</f>
        <v>0</v>
      </c>
      <c r="AT68" s="40">
        <f>SUMIFS('센터 자재 사용내역(04월)'!G:G,'센터 자재 사용내역(04월)'!E:E,'사급자재 사용내역'!C68,'센터 자재 사용내역(04월)'!F:F,"불량")</f>
        <v>0</v>
      </c>
      <c r="AU68" s="40">
        <f>SUMIFS('센터 자재 사용내역(05월)'!G:G,'센터 자재 사용내역(05월)'!E:E,'사급자재 사용내역'!C68,'센터 자재 사용내역(05월)'!F:F,"불량")</f>
        <v>0</v>
      </c>
      <c r="AV68" s="40">
        <f>SUMIFS('센터 자재 사용내역(06월)'!G:G,'센터 자재 사용내역(06월)'!E:E,'사급자재 사용내역'!C68,'센터 자재 사용내역(06월)'!F:F,"불량")</f>
        <v>0</v>
      </c>
      <c r="AW68" s="40">
        <f>SUMIFS('센터 자재 사용내역(07월)'!G:G,'센터 자재 사용내역(07월)'!E:E,'사급자재 사용내역'!C68,'센터 자재 사용내역(07월)'!F:F,"불량")</f>
        <v>0</v>
      </c>
      <c r="AX68" s="40">
        <f>SUMIFS('센터 자재 사용내역(08월)'!G:G,'센터 자재 사용내역(08월)'!E:E,'사급자재 사용내역'!C68,'센터 자재 사용내역(08월)'!F:F,"불량")</f>
        <v>0</v>
      </c>
      <c r="AY68" s="40">
        <f>SUMIFS('센터 자재 사용내역(09월)'!G:G,'센터 자재 사용내역(09월)'!E:E,'사급자재 사용내역'!C68,'센터 자재 사용내역(09월)'!F:F,"불량")</f>
        <v>0</v>
      </c>
      <c r="AZ68" s="40">
        <f>SUMIFS('센터 자재 사용내역(10월)'!G:G,'센터 자재 사용내역(10월)'!E:E,'사급자재 사용내역'!C68,'센터 자재 사용내역(10월)'!F:F,"불량")</f>
        <v>0</v>
      </c>
      <c r="BA68" s="40">
        <f>SUMIFS('센터 자재 사용내역(11월)'!G:G,'센터 자재 사용내역(11월)'!E:E,'사급자재 사용내역'!C68,'센터 자재 사용내역(11월)'!F:F,"불량")</f>
        <v>0</v>
      </c>
      <c r="BB68" s="40">
        <f>SUMIFS('센터 자재 사용내역(12월)'!G:G,'센터 자재 사용내역(12월)'!E:E,'사급자재 사용내역'!C68,'센터 자재 사용내역(12월)'!F:F,"불량")</f>
        <v>0</v>
      </c>
      <c r="BC68" s="40">
        <f t="shared" si="19"/>
        <v>0</v>
      </c>
      <c r="BD68" s="62"/>
    </row>
    <row r="69" spans="2:56" ht="19.5" customHeight="1">
      <c r="B69" s="99"/>
      <c r="C69" s="22" t="s">
        <v>46</v>
      </c>
      <c r="D69" s="64" t="s">
        <v>129</v>
      </c>
      <c r="E69" s="46">
        <v>59</v>
      </c>
      <c r="F69" s="47">
        <v>0</v>
      </c>
      <c r="G69" s="46"/>
      <c r="H69" s="78"/>
      <c r="I69" s="90">
        <f t="shared" si="4"/>
        <v>0</v>
      </c>
      <c r="J69" s="89">
        <f t="shared" si="21"/>
        <v>15</v>
      </c>
      <c r="K69" s="78">
        <f t="shared" si="7"/>
        <v>0</v>
      </c>
      <c r="L69" s="84">
        <f t="shared" ref="L69:L100" si="22">E69-J69+K69</f>
        <v>44</v>
      </c>
      <c r="M69" s="79">
        <f>SUMIFS('센터 자재 사용내역(01월)'!G:G,'센터 자재 사용내역(01월)'!E:E,'사급자재 사용내역'!C69,'센터 자재 사용내역(01월)'!F:F,"신규")+SUMIFS('센터 자재 사용내역(01월)'!G:G,'센터 자재 사용내역(01월)'!E:E,'사급자재 사용내역'!C69,'센터 자재 사용내역(01월)'!F:F,"교체")</f>
        <v>1</v>
      </c>
      <c r="N69" s="40">
        <f>SUMIFS('센터 자재 사용내역(02월)'!G:G,'센터 자재 사용내역(02월)'!E:E,'사급자재 사용내역'!C69,'센터 자재 사용내역(02월)'!F:F,"신규")+SUMIFS('센터 자재 사용내역(02월)'!G:G,'센터 자재 사용내역(02월)'!E:E,'사급자재 사용내역'!C69,'센터 자재 사용내역(02월)'!F:F,"교체")</f>
        <v>1</v>
      </c>
      <c r="O69" s="40">
        <f>SUMIFS('센터 자재 사용내역(03월)'!G:G,'센터 자재 사용내역(03월)'!E:E,'사급자재 사용내역'!C69,'센터 자재 사용내역(03월)'!F:F,"신규")+SUMIFS('센터 자재 사용내역(03월)'!G:G,'센터 자재 사용내역(03월)'!E:E,'사급자재 사용내역'!C69,'센터 자재 사용내역(03월)'!F:F,"교체")</f>
        <v>1</v>
      </c>
      <c r="P69" s="40">
        <f>SUMIFS('센터 자재 사용내역(04월)'!G:G,'센터 자재 사용내역(04월)'!E:E,'사급자재 사용내역'!C69,'센터 자재 사용내역(04월)'!F:F,"신규")+SUMIFS('센터 자재 사용내역(04월)'!G:G,'센터 자재 사용내역(04월)'!E:E,'사급자재 사용내역'!C69,'센터 자재 사용내역(04월)'!F:F,"교체")</f>
        <v>0</v>
      </c>
      <c r="Q69" s="40">
        <f>SUMIFS('센터 자재 사용내역(05월)'!G:G,'센터 자재 사용내역(05월)'!E:E,'사급자재 사용내역'!C69,'센터 자재 사용내역(05월)'!F:F,"신규")+SUMIFS('센터 자재 사용내역(05월)'!G:G,'센터 자재 사용내역(05월)'!E:E,'사급자재 사용내역'!C69,'센터 자재 사용내역(05월)'!F:F,"교체")</f>
        <v>1</v>
      </c>
      <c r="R69" s="40">
        <f>SUMIFS('센터 자재 사용내역(06월)'!G:G,'센터 자재 사용내역(06월)'!E:E,'사급자재 사용내역'!C69,'센터 자재 사용내역(06월)'!F:F,"신규")+SUMIFS('센터 자재 사용내역(06월)'!G:G,'센터 자재 사용내역(06월)'!E:E,'사급자재 사용내역'!C69,'센터 자재 사용내역(06월)'!F:F,"교체")</f>
        <v>4</v>
      </c>
      <c r="S69" s="40">
        <f>SUMIFS('센터 자재 사용내역(07월)'!G:G,'센터 자재 사용내역(07월)'!E:E,'사급자재 사용내역'!C69,'센터 자재 사용내역(07월)'!F:F,"신규")+SUMIFS('센터 자재 사용내역(07월)'!G:G,'센터 자재 사용내역(07월)'!E:E,'사급자재 사용내역'!C69,'센터 자재 사용내역(07월)'!F:F,"교체")</f>
        <v>3</v>
      </c>
      <c r="T69" s="40">
        <f>SUMIFS('센터 자재 사용내역(08월)'!G:G,'센터 자재 사용내역(08월)'!E:E,'사급자재 사용내역'!C69,'센터 자재 사용내역(08월)'!F:F,"신규")+SUMIFS('센터 자재 사용내역(08월)'!G:G,'센터 자재 사용내역(08월)'!E:E,'사급자재 사용내역'!C69,'센터 자재 사용내역(08월)'!F:F,"교체")</f>
        <v>4</v>
      </c>
      <c r="U69" s="40">
        <f>SUMIFS('센터 자재 사용내역(09월)'!G:G,'센터 자재 사용내역(09월)'!E:E,'사급자재 사용내역'!C69,'센터 자재 사용내역(09월)'!F:F,"신규")+SUMIFS('센터 자재 사용내역(09월)'!G:G,'센터 자재 사용내역(09월)'!E:E,'사급자재 사용내역'!C69,'센터 자재 사용내역(09월)'!F:F,"교체")</f>
        <v>0</v>
      </c>
      <c r="V69" s="40">
        <f>SUMIFS('센터 자재 사용내역(10월)'!G:G,'센터 자재 사용내역(10월)'!E:E,'사급자재 사용내역'!C69,'센터 자재 사용내역(10월)'!F:F,"신규")+SUMIFS('센터 자재 사용내역(10월)'!G:G,'센터 자재 사용내역(10월)'!E:E,'사급자재 사용내역'!C69,'센터 자재 사용내역(10월)'!F:F,"교체")</f>
        <v>0</v>
      </c>
      <c r="W69" s="40">
        <f>SUMIFS('센터 자재 사용내역(11월)'!G:G,'센터 자재 사용내역(11월)'!E:E,'사급자재 사용내역'!C69,'센터 자재 사용내역(11월)'!F:F,"신규")+SUMIFS('센터 자재 사용내역(11월)'!G:G,'센터 자재 사용내역(11월)'!E:E,'사급자재 사용내역'!C69,'센터 자재 사용내역(11월)'!F:F,"교체")</f>
        <v>0</v>
      </c>
      <c r="X69" s="40">
        <f>SUMIFS('센터 자재 사용내역(12월)'!G:G,'센터 자재 사용내역(12월)'!E:E,'사급자재 사용내역'!C69,'센터 자재 사용내역(12월)'!F:F,"신규")+SUMIFS('센터 자재 사용내역(12월)'!G:G,'센터 자재 사용내역(12월)'!E:E,'사급자재 사용내역'!C69,'센터 자재 사용내역(12월)'!F:F,"교체")</f>
        <v>0</v>
      </c>
      <c r="Y69" s="40">
        <f t="shared" ref="Y69:Y100" si="23">SUM(M69:X69)</f>
        <v>15</v>
      </c>
      <c r="Z69" s="53"/>
      <c r="AB69" s="56"/>
      <c r="AC69" s="29"/>
      <c r="AD69" s="29"/>
      <c r="AE69" s="29"/>
      <c r="AF69" s="29"/>
      <c r="AG69" s="29"/>
      <c r="AH69" s="29"/>
      <c r="AI69" s="29"/>
      <c r="AJ69" s="29"/>
      <c r="AK69" s="29"/>
      <c r="AL69" s="29"/>
      <c r="AM69" s="29"/>
      <c r="AN69" s="21">
        <f t="shared" ref="AN69:AN100" si="24">SUM(AB69:AM69)</f>
        <v>0</v>
      </c>
      <c r="AO69" s="57"/>
      <c r="AQ69" s="61">
        <f>SUMIFS('센터 자재 사용내역(01월)'!G:G,'센터 자재 사용내역(01월)'!E:E,'사급자재 사용내역'!C69,'센터 자재 사용내역(01월)'!F:F,"불량")</f>
        <v>0</v>
      </c>
      <c r="AR69" s="40">
        <f>SUMIFS('센터 자재 사용내역(02월)'!G:G,'센터 자재 사용내역(02월)'!E:E,'사급자재 사용내역'!C69,'센터 자재 사용내역(02월)'!F:F,"불량")</f>
        <v>0</v>
      </c>
      <c r="AS69" s="40">
        <f>SUMIFS('센터 자재 사용내역(03월)'!G:G,'센터 자재 사용내역(03월)'!E:E,'사급자재 사용내역'!C69,'센터 자재 사용내역(03월)'!F:F,"불량")</f>
        <v>0</v>
      </c>
      <c r="AT69" s="40">
        <f>SUMIFS('센터 자재 사용내역(04월)'!G:G,'센터 자재 사용내역(04월)'!E:E,'사급자재 사용내역'!C69,'센터 자재 사용내역(04월)'!F:F,"불량")</f>
        <v>0</v>
      </c>
      <c r="AU69" s="40">
        <f>SUMIFS('센터 자재 사용내역(05월)'!G:G,'센터 자재 사용내역(05월)'!E:E,'사급자재 사용내역'!C69,'센터 자재 사용내역(05월)'!F:F,"불량")</f>
        <v>0</v>
      </c>
      <c r="AV69" s="40">
        <f>SUMIFS('센터 자재 사용내역(06월)'!G:G,'센터 자재 사용내역(06월)'!E:E,'사급자재 사용내역'!C69,'센터 자재 사용내역(06월)'!F:F,"불량")</f>
        <v>0</v>
      </c>
      <c r="AW69" s="40">
        <f>SUMIFS('센터 자재 사용내역(07월)'!G:G,'센터 자재 사용내역(07월)'!E:E,'사급자재 사용내역'!C69,'센터 자재 사용내역(07월)'!F:F,"불량")</f>
        <v>0</v>
      </c>
      <c r="AX69" s="40">
        <f>SUMIFS('센터 자재 사용내역(08월)'!G:G,'센터 자재 사용내역(08월)'!E:E,'사급자재 사용내역'!C69,'센터 자재 사용내역(08월)'!F:F,"불량")</f>
        <v>0</v>
      </c>
      <c r="AY69" s="40">
        <f>SUMIFS('센터 자재 사용내역(09월)'!G:G,'센터 자재 사용내역(09월)'!E:E,'사급자재 사용내역'!C69,'센터 자재 사용내역(09월)'!F:F,"불량")</f>
        <v>0</v>
      </c>
      <c r="AZ69" s="40">
        <f>SUMIFS('센터 자재 사용내역(10월)'!G:G,'센터 자재 사용내역(10월)'!E:E,'사급자재 사용내역'!C69,'센터 자재 사용내역(10월)'!F:F,"불량")</f>
        <v>0</v>
      </c>
      <c r="BA69" s="40">
        <f>SUMIFS('센터 자재 사용내역(11월)'!G:G,'센터 자재 사용내역(11월)'!E:E,'사급자재 사용내역'!C69,'센터 자재 사용내역(11월)'!F:F,"불량")</f>
        <v>0</v>
      </c>
      <c r="BB69" s="40">
        <f>SUMIFS('센터 자재 사용내역(12월)'!G:G,'센터 자재 사용내역(12월)'!E:E,'사급자재 사용내역'!C69,'센터 자재 사용내역(12월)'!F:F,"불량")</f>
        <v>0</v>
      </c>
      <c r="BC69" s="40">
        <f t="shared" si="19"/>
        <v>0</v>
      </c>
      <c r="BD69" s="62"/>
    </row>
    <row r="70" spans="2:56" ht="19.5" customHeight="1">
      <c r="B70" s="99"/>
      <c r="C70" s="22" t="s">
        <v>47</v>
      </c>
      <c r="D70" s="64" t="s">
        <v>130</v>
      </c>
      <c r="E70" s="46">
        <v>54</v>
      </c>
      <c r="F70" s="47">
        <v>0</v>
      </c>
      <c r="G70" s="46"/>
      <c r="H70" s="78"/>
      <c r="I70" s="90">
        <f t="shared" ref="I70:I133" si="25">(F70+BC70)-(G70+H70)</f>
        <v>0</v>
      </c>
      <c r="J70" s="89">
        <f t="shared" si="21"/>
        <v>0</v>
      </c>
      <c r="K70" s="78">
        <f t="shared" si="7"/>
        <v>0</v>
      </c>
      <c r="L70" s="84">
        <f t="shared" si="22"/>
        <v>54</v>
      </c>
      <c r="M70" s="79">
        <f>SUMIFS('센터 자재 사용내역(01월)'!G:G,'센터 자재 사용내역(01월)'!E:E,'사급자재 사용내역'!C70,'센터 자재 사용내역(01월)'!F:F,"신규")+SUMIFS('센터 자재 사용내역(01월)'!G:G,'센터 자재 사용내역(01월)'!E:E,'사급자재 사용내역'!C70,'센터 자재 사용내역(01월)'!F:F,"교체")</f>
        <v>0</v>
      </c>
      <c r="N70" s="40">
        <f>SUMIFS('센터 자재 사용내역(02월)'!G:G,'센터 자재 사용내역(02월)'!E:E,'사급자재 사용내역'!C70,'센터 자재 사용내역(02월)'!F:F,"신규")+SUMIFS('센터 자재 사용내역(02월)'!G:G,'센터 자재 사용내역(02월)'!E:E,'사급자재 사용내역'!C70,'센터 자재 사용내역(02월)'!F:F,"교체")</f>
        <v>0</v>
      </c>
      <c r="O70" s="40">
        <f>SUMIFS('센터 자재 사용내역(03월)'!G:G,'센터 자재 사용내역(03월)'!E:E,'사급자재 사용내역'!C70,'센터 자재 사용내역(03월)'!F:F,"신규")+SUMIFS('센터 자재 사용내역(03월)'!G:G,'센터 자재 사용내역(03월)'!E:E,'사급자재 사용내역'!C70,'센터 자재 사용내역(03월)'!F:F,"교체")</f>
        <v>0</v>
      </c>
      <c r="P70" s="40">
        <f>SUMIFS('센터 자재 사용내역(04월)'!G:G,'센터 자재 사용내역(04월)'!E:E,'사급자재 사용내역'!C70,'센터 자재 사용내역(04월)'!F:F,"신규")+SUMIFS('센터 자재 사용내역(04월)'!G:G,'센터 자재 사용내역(04월)'!E:E,'사급자재 사용내역'!C70,'센터 자재 사용내역(04월)'!F:F,"교체")</f>
        <v>0</v>
      </c>
      <c r="Q70" s="40">
        <f>SUMIFS('센터 자재 사용내역(05월)'!G:G,'센터 자재 사용내역(05월)'!E:E,'사급자재 사용내역'!C70,'센터 자재 사용내역(05월)'!F:F,"신규")+SUMIFS('센터 자재 사용내역(05월)'!G:G,'센터 자재 사용내역(05월)'!E:E,'사급자재 사용내역'!C70,'센터 자재 사용내역(05월)'!F:F,"교체")</f>
        <v>0</v>
      </c>
      <c r="R70" s="40">
        <f>SUMIFS('센터 자재 사용내역(06월)'!G:G,'센터 자재 사용내역(06월)'!E:E,'사급자재 사용내역'!C70,'센터 자재 사용내역(06월)'!F:F,"신규")+SUMIFS('센터 자재 사용내역(06월)'!G:G,'센터 자재 사용내역(06월)'!E:E,'사급자재 사용내역'!C70,'센터 자재 사용내역(06월)'!F:F,"교체")</f>
        <v>0</v>
      </c>
      <c r="S70" s="40">
        <f>SUMIFS('센터 자재 사용내역(07월)'!G:G,'센터 자재 사용내역(07월)'!E:E,'사급자재 사용내역'!C70,'센터 자재 사용내역(07월)'!F:F,"신규")+SUMIFS('센터 자재 사용내역(07월)'!G:G,'센터 자재 사용내역(07월)'!E:E,'사급자재 사용내역'!C70,'센터 자재 사용내역(07월)'!F:F,"교체")</f>
        <v>0</v>
      </c>
      <c r="T70" s="40">
        <f>SUMIFS('센터 자재 사용내역(08월)'!G:G,'센터 자재 사용내역(08월)'!E:E,'사급자재 사용내역'!C70,'센터 자재 사용내역(08월)'!F:F,"신규")+SUMIFS('센터 자재 사용내역(08월)'!G:G,'센터 자재 사용내역(08월)'!E:E,'사급자재 사용내역'!C70,'센터 자재 사용내역(08월)'!F:F,"교체")</f>
        <v>0</v>
      </c>
      <c r="U70" s="40">
        <f>SUMIFS('센터 자재 사용내역(09월)'!G:G,'센터 자재 사용내역(09월)'!E:E,'사급자재 사용내역'!C70,'센터 자재 사용내역(09월)'!F:F,"신규")+SUMIFS('센터 자재 사용내역(09월)'!G:G,'센터 자재 사용내역(09월)'!E:E,'사급자재 사용내역'!C70,'센터 자재 사용내역(09월)'!F:F,"교체")</f>
        <v>0</v>
      </c>
      <c r="V70" s="40">
        <f>SUMIFS('센터 자재 사용내역(10월)'!G:G,'센터 자재 사용내역(10월)'!E:E,'사급자재 사용내역'!C70,'센터 자재 사용내역(10월)'!F:F,"신규")+SUMIFS('센터 자재 사용내역(10월)'!G:G,'센터 자재 사용내역(10월)'!E:E,'사급자재 사용내역'!C70,'센터 자재 사용내역(10월)'!F:F,"교체")</f>
        <v>0</v>
      </c>
      <c r="W70" s="40">
        <f>SUMIFS('센터 자재 사용내역(11월)'!G:G,'센터 자재 사용내역(11월)'!E:E,'사급자재 사용내역'!C70,'센터 자재 사용내역(11월)'!F:F,"신규")+SUMIFS('센터 자재 사용내역(11월)'!G:G,'센터 자재 사용내역(11월)'!E:E,'사급자재 사용내역'!C70,'센터 자재 사용내역(11월)'!F:F,"교체")</f>
        <v>0</v>
      </c>
      <c r="X70" s="40">
        <f>SUMIFS('센터 자재 사용내역(12월)'!G:G,'센터 자재 사용내역(12월)'!E:E,'사급자재 사용내역'!C70,'센터 자재 사용내역(12월)'!F:F,"신규")+SUMIFS('센터 자재 사용내역(12월)'!G:G,'센터 자재 사용내역(12월)'!E:E,'사급자재 사용내역'!C70,'센터 자재 사용내역(12월)'!F:F,"교체")</f>
        <v>0</v>
      </c>
      <c r="Y70" s="40">
        <f t="shared" si="23"/>
        <v>0</v>
      </c>
      <c r="Z70" s="53"/>
      <c r="AB70" s="56"/>
      <c r="AC70" s="29"/>
      <c r="AD70" s="29"/>
      <c r="AE70" s="29"/>
      <c r="AF70" s="29"/>
      <c r="AG70" s="29"/>
      <c r="AH70" s="29"/>
      <c r="AI70" s="29"/>
      <c r="AJ70" s="29"/>
      <c r="AK70" s="29"/>
      <c r="AL70" s="29"/>
      <c r="AM70" s="29"/>
      <c r="AN70" s="21">
        <f t="shared" si="24"/>
        <v>0</v>
      </c>
      <c r="AO70" s="57"/>
      <c r="AQ70" s="61">
        <f>SUMIFS('센터 자재 사용내역(01월)'!G:G,'센터 자재 사용내역(01월)'!E:E,'사급자재 사용내역'!C70,'센터 자재 사용내역(01월)'!F:F,"불량")</f>
        <v>0</v>
      </c>
      <c r="AR70" s="40">
        <f>SUMIFS('센터 자재 사용내역(02월)'!G:G,'센터 자재 사용내역(02월)'!E:E,'사급자재 사용내역'!C70,'센터 자재 사용내역(02월)'!F:F,"불량")</f>
        <v>0</v>
      </c>
      <c r="AS70" s="40">
        <f>SUMIFS('센터 자재 사용내역(03월)'!G:G,'센터 자재 사용내역(03월)'!E:E,'사급자재 사용내역'!C70,'센터 자재 사용내역(03월)'!F:F,"불량")</f>
        <v>0</v>
      </c>
      <c r="AT70" s="40">
        <f>SUMIFS('센터 자재 사용내역(04월)'!G:G,'센터 자재 사용내역(04월)'!E:E,'사급자재 사용내역'!C70,'센터 자재 사용내역(04월)'!F:F,"불량")</f>
        <v>0</v>
      </c>
      <c r="AU70" s="40">
        <f>SUMIFS('센터 자재 사용내역(05월)'!G:G,'센터 자재 사용내역(05월)'!E:E,'사급자재 사용내역'!C70,'센터 자재 사용내역(05월)'!F:F,"불량")</f>
        <v>0</v>
      </c>
      <c r="AV70" s="40">
        <f>SUMIFS('센터 자재 사용내역(06월)'!G:G,'센터 자재 사용내역(06월)'!E:E,'사급자재 사용내역'!C70,'센터 자재 사용내역(06월)'!F:F,"불량")</f>
        <v>0</v>
      </c>
      <c r="AW70" s="40">
        <f>SUMIFS('센터 자재 사용내역(07월)'!G:G,'센터 자재 사용내역(07월)'!E:E,'사급자재 사용내역'!C70,'센터 자재 사용내역(07월)'!F:F,"불량")</f>
        <v>0</v>
      </c>
      <c r="AX70" s="40">
        <f>SUMIFS('센터 자재 사용내역(08월)'!G:G,'센터 자재 사용내역(08월)'!E:E,'사급자재 사용내역'!C70,'센터 자재 사용내역(08월)'!F:F,"불량")</f>
        <v>0</v>
      </c>
      <c r="AY70" s="40">
        <f>SUMIFS('센터 자재 사용내역(09월)'!G:G,'센터 자재 사용내역(09월)'!E:E,'사급자재 사용내역'!C70,'센터 자재 사용내역(09월)'!F:F,"불량")</f>
        <v>0</v>
      </c>
      <c r="AZ70" s="40">
        <f>SUMIFS('센터 자재 사용내역(10월)'!G:G,'센터 자재 사용내역(10월)'!E:E,'사급자재 사용내역'!C70,'센터 자재 사용내역(10월)'!F:F,"불량")</f>
        <v>0</v>
      </c>
      <c r="BA70" s="40">
        <f>SUMIFS('센터 자재 사용내역(11월)'!G:G,'센터 자재 사용내역(11월)'!E:E,'사급자재 사용내역'!C70,'센터 자재 사용내역(11월)'!F:F,"불량")</f>
        <v>0</v>
      </c>
      <c r="BB70" s="40">
        <f>SUMIFS('센터 자재 사용내역(12월)'!G:G,'센터 자재 사용내역(12월)'!E:E,'사급자재 사용내역'!C70,'센터 자재 사용내역(12월)'!F:F,"불량")</f>
        <v>0</v>
      </c>
      <c r="BC70" s="40">
        <f t="shared" si="19"/>
        <v>0</v>
      </c>
      <c r="BD70" s="62"/>
    </row>
    <row r="71" spans="2:56" ht="19.5" customHeight="1">
      <c r="B71" s="99"/>
      <c r="C71" s="22" t="s">
        <v>48</v>
      </c>
      <c r="D71" s="64" t="s">
        <v>129</v>
      </c>
      <c r="E71" s="46">
        <v>132</v>
      </c>
      <c r="F71" s="47">
        <v>0</v>
      </c>
      <c r="G71" s="46"/>
      <c r="H71" s="78"/>
      <c r="I71" s="90">
        <f t="shared" si="25"/>
        <v>0</v>
      </c>
      <c r="J71" s="89">
        <f t="shared" si="21"/>
        <v>36</v>
      </c>
      <c r="K71" s="78">
        <f t="shared" ref="K71:K134" si="26">AN71</f>
        <v>20</v>
      </c>
      <c r="L71" s="84">
        <f t="shared" si="22"/>
        <v>116</v>
      </c>
      <c r="M71" s="79">
        <f>SUMIFS('센터 자재 사용내역(01월)'!G:G,'센터 자재 사용내역(01월)'!E:E,'사급자재 사용내역'!C71,'센터 자재 사용내역(01월)'!F:F,"신규")+SUMIFS('센터 자재 사용내역(01월)'!G:G,'센터 자재 사용내역(01월)'!E:E,'사급자재 사용내역'!C71,'센터 자재 사용내역(01월)'!F:F,"교체")</f>
        <v>4</v>
      </c>
      <c r="N71" s="40">
        <f>SUMIFS('센터 자재 사용내역(02월)'!G:G,'센터 자재 사용내역(02월)'!E:E,'사급자재 사용내역'!C71,'센터 자재 사용내역(02월)'!F:F,"신규")+SUMIFS('센터 자재 사용내역(02월)'!G:G,'센터 자재 사용내역(02월)'!E:E,'사급자재 사용내역'!C71,'센터 자재 사용내역(02월)'!F:F,"교체")</f>
        <v>2</v>
      </c>
      <c r="O71" s="40">
        <f>SUMIFS('센터 자재 사용내역(03월)'!G:G,'센터 자재 사용내역(03월)'!E:E,'사급자재 사용내역'!C71,'센터 자재 사용내역(03월)'!F:F,"신규")+SUMIFS('센터 자재 사용내역(03월)'!G:G,'센터 자재 사용내역(03월)'!E:E,'사급자재 사용내역'!C71,'센터 자재 사용내역(03월)'!F:F,"교체")</f>
        <v>1</v>
      </c>
      <c r="P71" s="40">
        <f>SUMIFS('센터 자재 사용내역(04월)'!G:G,'센터 자재 사용내역(04월)'!E:E,'사급자재 사용내역'!C71,'센터 자재 사용내역(04월)'!F:F,"신규")+SUMIFS('센터 자재 사용내역(04월)'!G:G,'센터 자재 사용내역(04월)'!E:E,'사급자재 사용내역'!C71,'센터 자재 사용내역(04월)'!F:F,"교체")</f>
        <v>4</v>
      </c>
      <c r="Q71" s="40">
        <f>SUMIFS('센터 자재 사용내역(05월)'!G:G,'센터 자재 사용내역(05월)'!E:E,'사급자재 사용내역'!C71,'센터 자재 사용내역(05월)'!F:F,"신규")+SUMIFS('센터 자재 사용내역(05월)'!G:G,'센터 자재 사용내역(05월)'!E:E,'사급자재 사용내역'!C71,'센터 자재 사용내역(05월)'!F:F,"교체")</f>
        <v>9</v>
      </c>
      <c r="R71" s="40">
        <f>SUMIFS('센터 자재 사용내역(06월)'!G:G,'센터 자재 사용내역(06월)'!E:E,'사급자재 사용내역'!C71,'센터 자재 사용내역(06월)'!F:F,"신규")+SUMIFS('센터 자재 사용내역(06월)'!G:G,'센터 자재 사용내역(06월)'!E:E,'사급자재 사용내역'!C71,'센터 자재 사용내역(06월)'!F:F,"교체")</f>
        <v>8</v>
      </c>
      <c r="S71" s="40">
        <f>SUMIFS('센터 자재 사용내역(07월)'!G:G,'센터 자재 사용내역(07월)'!E:E,'사급자재 사용내역'!C71,'센터 자재 사용내역(07월)'!F:F,"신규")+SUMIFS('센터 자재 사용내역(07월)'!G:G,'센터 자재 사용내역(07월)'!E:E,'사급자재 사용내역'!C71,'센터 자재 사용내역(07월)'!F:F,"교체")</f>
        <v>3</v>
      </c>
      <c r="T71" s="40">
        <f>SUMIFS('센터 자재 사용내역(08월)'!G:G,'센터 자재 사용내역(08월)'!E:E,'사급자재 사용내역'!C71,'센터 자재 사용내역(08월)'!F:F,"신규")+SUMIFS('센터 자재 사용내역(08월)'!G:G,'센터 자재 사용내역(08월)'!E:E,'사급자재 사용내역'!C71,'센터 자재 사용내역(08월)'!F:F,"교체")</f>
        <v>5</v>
      </c>
      <c r="U71" s="40">
        <f>SUMIFS('센터 자재 사용내역(09월)'!G:G,'센터 자재 사용내역(09월)'!E:E,'사급자재 사용내역'!C71,'센터 자재 사용내역(09월)'!F:F,"신규")+SUMIFS('센터 자재 사용내역(09월)'!G:G,'센터 자재 사용내역(09월)'!E:E,'사급자재 사용내역'!C71,'센터 자재 사용내역(09월)'!F:F,"교체")</f>
        <v>0</v>
      </c>
      <c r="V71" s="40">
        <f>SUMIFS('센터 자재 사용내역(10월)'!G:G,'센터 자재 사용내역(10월)'!E:E,'사급자재 사용내역'!C71,'센터 자재 사용내역(10월)'!F:F,"신규")+SUMIFS('센터 자재 사용내역(10월)'!G:G,'센터 자재 사용내역(10월)'!E:E,'사급자재 사용내역'!C71,'센터 자재 사용내역(10월)'!F:F,"교체")</f>
        <v>0</v>
      </c>
      <c r="W71" s="40">
        <f>SUMIFS('센터 자재 사용내역(11월)'!G:G,'센터 자재 사용내역(11월)'!E:E,'사급자재 사용내역'!C71,'센터 자재 사용내역(11월)'!F:F,"신규")+SUMIFS('센터 자재 사용내역(11월)'!G:G,'센터 자재 사용내역(11월)'!E:E,'사급자재 사용내역'!C71,'센터 자재 사용내역(11월)'!F:F,"교체")</f>
        <v>0</v>
      </c>
      <c r="X71" s="40">
        <f>SUMIFS('센터 자재 사용내역(12월)'!G:G,'센터 자재 사용내역(12월)'!E:E,'사급자재 사용내역'!C71,'센터 자재 사용내역(12월)'!F:F,"신규")+SUMIFS('센터 자재 사용내역(12월)'!G:G,'센터 자재 사용내역(12월)'!E:E,'사급자재 사용내역'!C71,'센터 자재 사용내역(12월)'!F:F,"교체")</f>
        <v>0</v>
      </c>
      <c r="Y71" s="40">
        <f t="shared" si="23"/>
        <v>36</v>
      </c>
      <c r="Z71" s="53"/>
      <c r="AB71" s="56"/>
      <c r="AC71" s="29"/>
      <c r="AD71" s="29"/>
      <c r="AE71" s="29"/>
      <c r="AF71" s="29"/>
      <c r="AG71" s="29"/>
      <c r="AH71" s="29"/>
      <c r="AI71" s="29">
        <v>20</v>
      </c>
      <c r="AJ71" s="29"/>
      <c r="AK71" s="29"/>
      <c r="AL71" s="29"/>
      <c r="AM71" s="29"/>
      <c r="AN71" s="21">
        <f t="shared" si="24"/>
        <v>20</v>
      </c>
      <c r="AO71" s="57"/>
      <c r="AQ71" s="61">
        <f>SUMIFS('센터 자재 사용내역(01월)'!G:G,'센터 자재 사용내역(01월)'!E:E,'사급자재 사용내역'!C71,'센터 자재 사용내역(01월)'!F:F,"불량")</f>
        <v>0</v>
      </c>
      <c r="AR71" s="40">
        <f>SUMIFS('센터 자재 사용내역(02월)'!G:G,'센터 자재 사용내역(02월)'!E:E,'사급자재 사용내역'!C71,'센터 자재 사용내역(02월)'!F:F,"불량")</f>
        <v>0</v>
      </c>
      <c r="AS71" s="40">
        <f>SUMIFS('센터 자재 사용내역(03월)'!G:G,'센터 자재 사용내역(03월)'!E:E,'사급자재 사용내역'!C71,'센터 자재 사용내역(03월)'!F:F,"불량")</f>
        <v>0</v>
      </c>
      <c r="AT71" s="40">
        <f>SUMIFS('센터 자재 사용내역(04월)'!G:G,'센터 자재 사용내역(04월)'!E:E,'사급자재 사용내역'!C71,'센터 자재 사용내역(04월)'!F:F,"불량")</f>
        <v>0</v>
      </c>
      <c r="AU71" s="40">
        <f>SUMIFS('센터 자재 사용내역(05월)'!G:G,'센터 자재 사용내역(05월)'!E:E,'사급자재 사용내역'!C71,'센터 자재 사용내역(05월)'!F:F,"불량")</f>
        <v>0</v>
      </c>
      <c r="AV71" s="40">
        <f>SUMIFS('센터 자재 사용내역(06월)'!G:G,'센터 자재 사용내역(06월)'!E:E,'사급자재 사용내역'!C71,'센터 자재 사용내역(06월)'!F:F,"불량")</f>
        <v>0</v>
      </c>
      <c r="AW71" s="40">
        <f>SUMIFS('센터 자재 사용내역(07월)'!G:G,'센터 자재 사용내역(07월)'!E:E,'사급자재 사용내역'!C71,'센터 자재 사용내역(07월)'!F:F,"불량")</f>
        <v>0</v>
      </c>
      <c r="AX71" s="40">
        <f>SUMIFS('센터 자재 사용내역(08월)'!G:G,'센터 자재 사용내역(08월)'!E:E,'사급자재 사용내역'!C71,'센터 자재 사용내역(08월)'!F:F,"불량")</f>
        <v>0</v>
      </c>
      <c r="AY71" s="40">
        <f>SUMIFS('센터 자재 사용내역(09월)'!G:G,'센터 자재 사용내역(09월)'!E:E,'사급자재 사용내역'!C71,'센터 자재 사용내역(09월)'!F:F,"불량")</f>
        <v>0</v>
      </c>
      <c r="AZ71" s="40">
        <f>SUMIFS('센터 자재 사용내역(10월)'!G:G,'센터 자재 사용내역(10월)'!E:E,'사급자재 사용내역'!C71,'센터 자재 사용내역(10월)'!F:F,"불량")</f>
        <v>0</v>
      </c>
      <c r="BA71" s="40">
        <f>SUMIFS('센터 자재 사용내역(11월)'!G:G,'센터 자재 사용내역(11월)'!E:E,'사급자재 사용내역'!C71,'센터 자재 사용내역(11월)'!F:F,"불량")</f>
        <v>0</v>
      </c>
      <c r="BB71" s="40">
        <f>SUMIFS('센터 자재 사용내역(12월)'!G:G,'센터 자재 사용내역(12월)'!E:E,'사급자재 사용내역'!C71,'센터 자재 사용내역(12월)'!F:F,"불량")</f>
        <v>0</v>
      </c>
      <c r="BC71" s="40">
        <f t="shared" si="19"/>
        <v>0</v>
      </c>
      <c r="BD71" s="62"/>
    </row>
    <row r="72" spans="2:56" ht="19.5" customHeight="1">
      <c r="B72" s="99"/>
      <c r="C72" s="22" t="s">
        <v>3</v>
      </c>
      <c r="D72" s="64" t="s">
        <v>129</v>
      </c>
      <c r="E72" s="46">
        <v>104</v>
      </c>
      <c r="F72" s="47">
        <v>0</v>
      </c>
      <c r="G72" s="46"/>
      <c r="H72" s="78"/>
      <c r="I72" s="90">
        <f t="shared" si="25"/>
        <v>0</v>
      </c>
      <c r="J72" s="89">
        <f t="shared" si="21"/>
        <v>23</v>
      </c>
      <c r="K72" s="78">
        <f t="shared" si="26"/>
        <v>20</v>
      </c>
      <c r="L72" s="84">
        <f t="shared" si="22"/>
        <v>101</v>
      </c>
      <c r="M72" s="79">
        <f>SUMIFS('센터 자재 사용내역(01월)'!G:G,'센터 자재 사용내역(01월)'!E:E,'사급자재 사용내역'!C72,'센터 자재 사용내역(01월)'!F:F,"신규")+SUMIFS('센터 자재 사용내역(01월)'!G:G,'센터 자재 사용내역(01월)'!E:E,'사급자재 사용내역'!C72,'센터 자재 사용내역(01월)'!F:F,"교체")</f>
        <v>1</v>
      </c>
      <c r="N72" s="40">
        <f>SUMIFS('센터 자재 사용내역(02월)'!G:G,'센터 자재 사용내역(02월)'!E:E,'사급자재 사용내역'!C72,'센터 자재 사용내역(02월)'!F:F,"신규")+SUMIFS('센터 자재 사용내역(02월)'!G:G,'센터 자재 사용내역(02월)'!E:E,'사급자재 사용내역'!C72,'센터 자재 사용내역(02월)'!F:F,"교체")</f>
        <v>2</v>
      </c>
      <c r="O72" s="40">
        <f>SUMIFS('센터 자재 사용내역(03월)'!G:G,'센터 자재 사용내역(03월)'!E:E,'사급자재 사용내역'!C72,'센터 자재 사용내역(03월)'!F:F,"신규")+SUMIFS('센터 자재 사용내역(03월)'!G:G,'센터 자재 사용내역(03월)'!E:E,'사급자재 사용내역'!C72,'센터 자재 사용내역(03월)'!F:F,"교체")</f>
        <v>2</v>
      </c>
      <c r="P72" s="40">
        <f>SUMIFS('센터 자재 사용내역(04월)'!G:G,'센터 자재 사용내역(04월)'!E:E,'사급자재 사용내역'!C72,'센터 자재 사용내역(04월)'!F:F,"신규")+SUMIFS('센터 자재 사용내역(04월)'!G:G,'센터 자재 사용내역(04월)'!E:E,'사급자재 사용내역'!C72,'센터 자재 사용내역(04월)'!F:F,"교체")</f>
        <v>4</v>
      </c>
      <c r="Q72" s="40">
        <f>SUMIFS('센터 자재 사용내역(05월)'!G:G,'센터 자재 사용내역(05월)'!E:E,'사급자재 사용내역'!C72,'센터 자재 사용내역(05월)'!F:F,"신규")+SUMIFS('센터 자재 사용내역(05월)'!G:G,'센터 자재 사용내역(05월)'!E:E,'사급자재 사용내역'!C72,'센터 자재 사용내역(05월)'!F:F,"교체")</f>
        <v>1</v>
      </c>
      <c r="R72" s="40">
        <f>SUMIFS('센터 자재 사용내역(06월)'!G:G,'센터 자재 사용내역(06월)'!E:E,'사급자재 사용내역'!C72,'센터 자재 사용내역(06월)'!F:F,"신규")+SUMIFS('센터 자재 사용내역(06월)'!G:G,'센터 자재 사용내역(06월)'!E:E,'사급자재 사용내역'!C72,'센터 자재 사용내역(06월)'!F:F,"교체")</f>
        <v>4</v>
      </c>
      <c r="S72" s="40">
        <f>SUMIFS('센터 자재 사용내역(07월)'!G:G,'센터 자재 사용내역(07월)'!E:E,'사급자재 사용내역'!C72,'센터 자재 사용내역(07월)'!F:F,"신규")+SUMIFS('센터 자재 사용내역(07월)'!G:G,'센터 자재 사용내역(07월)'!E:E,'사급자재 사용내역'!C72,'센터 자재 사용내역(07월)'!F:F,"교체")</f>
        <v>5</v>
      </c>
      <c r="T72" s="40">
        <f>SUMIFS('센터 자재 사용내역(08월)'!G:G,'센터 자재 사용내역(08월)'!E:E,'사급자재 사용내역'!C72,'센터 자재 사용내역(08월)'!F:F,"신규")+SUMIFS('센터 자재 사용내역(08월)'!G:G,'센터 자재 사용내역(08월)'!E:E,'사급자재 사용내역'!C72,'센터 자재 사용내역(08월)'!F:F,"교체")</f>
        <v>4</v>
      </c>
      <c r="U72" s="40">
        <f>SUMIFS('센터 자재 사용내역(09월)'!G:G,'센터 자재 사용내역(09월)'!E:E,'사급자재 사용내역'!C72,'센터 자재 사용내역(09월)'!F:F,"신규")+SUMIFS('센터 자재 사용내역(09월)'!G:G,'센터 자재 사용내역(09월)'!E:E,'사급자재 사용내역'!C72,'센터 자재 사용내역(09월)'!F:F,"교체")</f>
        <v>0</v>
      </c>
      <c r="V72" s="40">
        <f>SUMIFS('센터 자재 사용내역(10월)'!G:G,'센터 자재 사용내역(10월)'!E:E,'사급자재 사용내역'!C72,'센터 자재 사용내역(10월)'!F:F,"신규")+SUMIFS('센터 자재 사용내역(10월)'!G:G,'센터 자재 사용내역(10월)'!E:E,'사급자재 사용내역'!C72,'센터 자재 사용내역(10월)'!F:F,"교체")</f>
        <v>0</v>
      </c>
      <c r="W72" s="40">
        <f>SUMIFS('센터 자재 사용내역(11월)'!G:G,'센터 자재 사용내역(11월)'!E:E,'사급자재 사용내역'!C72,'센터 자재 사용내역(11월)'!F:F,"신규")+SUMIFS('센터 자재 사용내역(11월)'!G:G,'센터 자재 사용내역(11월)'!E:E,'사급자재 사용내역'!C72,'센터 자재 사용내역(11월)'!F:F,"교체")</f>
        <v>0</v>
      </c>
      <c r="X72" s="40">
        <f>SUMIFS('센터 자재 사용내역(12월)'!G:G,'센터 자재 사용내역(12월)'!E:E,'사급자재 사용내역'!C72,'센터 자재 사용내역(12월)'!F:F,"신규")+SUMIFS('센터 자재 사용내역(12월)'!G:G,'센터 자재 사용내역(12월)'!E:E,'사급자재 사용내역'!C72,'센터 자재 사용내역(12월)'!F:F,"교체")</f>
        <v>0</v>
      </c>
      <c r="Y72" s="40">
        <f t="shared" si="23"/>
        <v>23</v>
      </c>
      <c r="Z72" s="53"/>
      <c r="AB72" s="56"/>
      <c r="AC72" s="29"/>
      <c r="AD72" s="29"/>
      <c r="AE72" s="29"/>
      <c r="AF72" s="29"/>
      <c r="AG72" s="29"/>
      <c r="AH72" s="29"/>
      <c r="AI72" s="29">
        <v>20</v>
      </c>
      <c r="AJ72" s="29"/>
      <c r="AK72" s="29"/>
      <c r="AL72" s="29"/>
      <c r="AM72" s="29"/>
      <c r="AN72" s="21">
        <f t="shared" si="24"/>
        <v>20</v>
      </c>
      <c r="AO72" s="57"/>
      <c r="AQ72" s="61">
        <f>SUMIFS('센터 자재 사용내역(01월)'!G:G,'센터 자재 사용내역(01월)'!E:E,'사급자재 사용내역'!C72,'센터 자재 사용내역(01월)'!F:F,"불량")</f>
        <v>0</v>
      </c>
      <c r="AR72" s="40">
        <f>SUMIFS('센터 자재 사용내역(02월)'!G:G,'센터 자재 사용내역(02월)'!E:E,'사급자재 사용내역'!C72,'센터 자재 사용내역(02월)'!F:F,"불량")</f>
        <v>0</v>
      </c>
      <c r="AS72" s="40">
        <f>SUMIFS('센터 자재 사용내역(03월)'!G:G,'센터 자재 사용내역(03월)'!E:E,'사급자재 사용내역'!C72,'센터 자재 사용내역(03월)'!F:F,"불량")</f>
        <v>0</v>
      </c>
      <c r="AT72" s="40">
        <f>SUMIFS('센터 자재 사용내역(04월)'!G:G,'센터 자재 사용내역(04월)'!E:E,'사급자재 사용내역'!C72,'센터 자재 사용내역(04월)'!F:F,"불량")</f>
        <v>0</v>
      </c>
      <c r="AU72" s="40">
        <f>SUMIFS('센터 자재 사용내역(05월)'!G:G,'센터 자재 사용내역(05월)'!E:E,'사급자재 사용내역'!C72,'센터 자재 사용내역(05월)'!F:F,"불량")</f>
        <v>0</v>
      </c>
      <c r="AV72" s="40">
        <f>SUMIFS('센터 자재 사용내역(06월)'!G:G,'센터 자재 사용내역(06월)'!E:E,'사급자재 사용내역'!C72,'센터 자재 사용내역(06월)'!F:F,"불량")</f>
        <v>0</v>
      </c>
      <c r="AW72" s="40">
        <f>SUMIFS('센터 자재 사용내역(07월)'!G:G,'센터 자재 사용내역(07월)'!E:E,'사급자재 사용내역'!C72,'센터 자재 사용내역(07월)'!F:F,"불량")</f>
        <v>0</v>
      </c>
      <c r="AX72" s="40">
        <f>SUMIFS('센터 자재 사용내역(08월)'!G:G,'센터 자재 사용내역(08월)'!E:E,'사급자재 사용내역'!C72,'센터 자재 사용내역(08월)'!F:F,"불량")</f>
        <v>0</v>
      </c>
      <c r="AY72" s="40">
        <f>SUMIFS('센터 자재 사용내역(09월)'!G:G,'센터 자재 사용내역(09월)'!E:E,'사급자재 사용내역'!C72,'센터 자재 사용내역(09월)'!F:F,"불량")</f>
        <v>0</v>
      </c>
      <c r="AZ72" s="40">
        <f>SUMIFS('센터 자재 사용내역(10월)'!G:G,'센터 자재 사용내역(10월)'!E:E,'사급자재 사용내역'!C72,'센터 자재 사용내역(10월)'!F:F,"불량")</f>
        <v>0</v>
      </c>
      <c r="BA72" s="40">
        <f>SUMIFS('센터 자재 사용내역(11월)'!G:G,'센터 자재 사용내역(11월)'!E:E,'사급자재 사용내역'!C72,'센터 자재 사용내역(11월)'!F:F,"불량")</f>
        <v>0</v>
      </c>
      <c r="BB72" s="40">
        <f>SUMIFS('센터 자재 사용내역(12월)'!G:G,'센터 자재 사용내역(12월)'!E:E,'사급자재 사용내역'!C72,'센터 자재 사용내역(12월)'!F:F,"불량")</f>
        <v>0</v>
      </c>
      <c r="BC72" s="40">
        <f t="shared" si="19"/>
        <v>0</v>
      </c>
      <c r="BD72" s="62"/>
    </row>
    <row r="73" spans="2:56" ht="19.5" customHeight="1">
      <c r="B73" s="99"/>
      <c r="C73" s="22" t="s">
        <v>49</v>
      </c>
      <c r="D73" s="64" t="s">
        <v>131</v>
      </c>
      <c r="E73" s="46">
        <v>22</v>
      </c>
      <c r="F73" s="47">
        <v>0</v>
      </c>
      <c r="G73" s="46"/>
      <c r="H73" s="78"/>
      <c r="I73" s="90">
        <f t="shared" si="25"/>
        <v>0</v>
      </c>
      <c r="J73" s="89">
        <f t="shared" si="21"/>
        <v>0</v>
      </c>
      <c r="K73" s="78">
        <f t="shared" si="26"/>
        <v>0</v>
      </c>
      <c r="L73" s="84">
        <f t="shared" si="22"/>
        <v>22</v>
      </c>
      <c r="M73" s="79">
        <f>SUMIFS('센터 자재 사용내역(01월)'!G:G,'센터 자재 사용내역(01월)'!E:E,'사급자재 사용내역'!C73,'센터 자재 사용내역(01월)'!F:F,"신규")+SUMIFS('센터 자재 사용내역(01월)'!G:G,'센터 자재 사용내역(01월)'!E:E,'사급자재 사용내역'!C73,'센터 자재 사용내역(01월)'!F:F,"교체")</f>
        <v>0</v>
      </c>
      <c r="N73" s="40">
        <f>SUMIFS('센터 자재 사용내역(02월)'!G:G,'센터 자재 사용내역(02월)'!E:E,'사급자재 사용내역'!C73,'센터 자재 사용내역(02월)'!F:F,"신규")+SUMIFS('센터 자재 사용내역(02월)'!G:G,'센터 자재 사용내역(02월)'!E:E,'사급자재 사용내역'!C73,'센터 자재 사용내역(02월)'!F:F,"교체")</f>
        <v>0</v>
      </c>
      <c r="O73" s="40">
        <f>SUMIFS('센터 자재 사용내역(03월)'!G:G,'센터 자재 사용내역(03월)'!E:E,'사급자재 사용내역'!C73,'센터 자재 사용내역(03월)'!F:F,"신규")+SUMIFS('센터 자재 사용내역(03월)'!G:G,'센터 자재 사용내역(03월)'!E:E,'사급자재 사용내역'!C73,'센터 자재 사용내역(03월)'!F:F,"교체")</f>
        <v>0</v>
      </c>
      <c r="P73" s="40">
        <f>SUMIFS('센터 자재 사용내역(04월)'!G:G,'센터 자재 사용내역(04월)'!E:E,'사급자재 사용내역'!C73,'센터 자재 사용내역(04월)'!F:F,"신규")+SUMIFS('센터 자재 사용내역(04월)'!G:G,'센터 자재 사용내역(04월)'!E:E,'사급자재 사용내역'!C73,'센터 자재 사용내역(04월)'!F:F,"교체")</f>
        <v>0</v>
      </c>
      <c r="Q73" s="40">
        <f>SUMIFS('센터 자재 사용내역(05월)'!G:G,'센터 자재 사용내역(05월)'!E:E,'사급자재 사용내역'!C73,'센터 자재 사용내역(05월)'!F:F,"신규")+SUMIFS('센터 자재 사용내역(05월)'!G:G,'센터 자재 사용내역(05월)'!E:E,'사급자재 사용내역'!C73,'센터 자재 사용내역(05월)'!F:F,"교체")</f>
        <v>0</v>
      </c>
      <c r="R73" s="40">
        <f>SUMIFS('센터 자재 사용내역(06월)'!G:G,'센터 자재 사용내역(06월)'!E:E,'사급자재 사용내역'!C73,'센터 자재 사용내역(06월)'!F:F,"신규")+SUMIFS('센터 자재 사용내역(06월)'!G:G,'센터 자재 사용내역(06월)'!E:E,'사급자재 사용내역'!C73,'센터 자재 사용내역(06월)'!F:F,"교체")</f>
        <v>0</v>
      </c>
      <c r="S73" s="40">
        <f>SUMIFS('센터 자재 사용내역(07월)'!G:G,'센터 자재 사용내역(07월)'!E:E,'사급자재 사용내역'!C73,'센터 자재 사용내역(07월)'!F:F,"신규")+SUMIFS('센터 자재 사용내역(07월)'!G:G,'센터 자재 사용내역(07월)'!E:E,'사급자재 사용내역'!C73,'센터 자재 사용내역(07월)'!F:F,"교체")</f>
        <v>0</v>
      </c>
      <c r="T73" s="40">
        <f>SUMIFS('센터 자재 사용내역(08월)'!G:G,'센터 자재 사용내역(08월)'!E:E,'사급자재 사용내역'!C73,'센터 자재 사용내역(08월)'!F:F,"신규")+SUMIFS('센터 자재 사용내역(08월)'!G:G,'센터 자재 사용내역(08월)'!E:E,'사급자재 사용내역'!C73,'센터 자재 사용내역(08월)'!F:F,"교체")</f>
        <v>0</v>
      </c>
      <c r="U73" s="40">
        <f>SUMIFS('센터 자재 사용내역(09월)'!G:G,'센터 자재 사용내역(09월)'!E:E,'사급자재 사용내역'!C73,'센터 자재 사용내역(09월)'!F:F,"신규")+SUMIFS('센터 자재 사용내역(09월)'!G:G,'센터 자재 사용내역(09월)'!E:E,'사급자재 사용내역'!C73,'센터 자재 사용내역(09월)'!F:F,"교체")</f>
        <v>0</v>
      </c>
      <c r="V73" s="40">
        <f>SUMIFS('센터 자재 사용내역(10월)'!G:G,'센터 자재 사용내역(10월)'!E:E,'사급자재 사용내역'!C73,'센터 자재 사용내역(10월)'!F:F,"신규")+SUMIFS('센터 자재 사용내역(10월)'!G:G,'센터 자재 사용내역(10월)'!E:E,'사급자재 사용내역'!C73,'센터 자재 사용내역(10월)'!F:F,"교체")</f>
        <v>0</v>
      </c>
      <c r="W73" s="40">
        <f>SUMIFS('센터 자재 사용내역(11월)'!G:G,'센터 자재 사용내역(11월)'!E:E,'사급자재 사용내역'!C73,'센터 자재 사용내역(11월)'!F:F,"신규")+SUMIFS('센터 자재 사용내역(11월)'!G:G,'센터 자재 사용내역(11월)'!E:E,'사급자재 사용내역'!C73,'센터 자재 사용내역(11월)'!F:F,"교체")</f>
        <v>0</v>
      </c>
      <c r="X73" s="40">
        <f>SUMIFS('센터 자재 사용내역(12월)'!G:G,'센터 자재 사용내역(12월)'!E:E,'사급자재 사용내역'!C73,'센터 자재 사용내역(12월)'!F:F,"신규")+SUMIFS('센터 자재 사용내역(12월)'!G:G,'센터 자재 사용내역(12월)'!E:E,'사급자재 사용내역'!C73,'센터 자재 사용내역(12월)'!F:F,"교체")</f>
        <v>0</v>
      </c>
      <c r="Y73" s="40">
        <f t="shared" si="23"/>
        <v>0</v>
      </c>
      <c r="Z73" s="53"/>
      <c r="AB73" s="56"/>
      <c r="AC73" s="29"/>
      <c r="AD73" s="29"/>
      <c r="AE73" s="29"/>
      <c r="AF73" s="29"/>
      <c r="AG73" s="29"/>
      <c r="AH73" s="29"/>
      <c r="AI73" s="29"/>
      <c r="AJ73" s="29"/>
      <c r="AK73" s="29"/>
      <c r="AL73" s="29"/>
      <c r="AM73" s="29"/>
      <c r="AN73" s="21">
        <f t="shared" si="24"/>
        <v>0</v>
      </c>
      <c r="AO73" s="57"/>
      <c r="AQ73" s="61">
        <f>SUMIFS('센터 자재 사용내역(01월)'!G:G,'센터 자재 사용내역(01월)'!E:E,'사급자재 사용내역'!C73,'센터 자재 사용내역(01월)'!F:F,"불량")</f>
        <v>0</v>
      </c>
      <c r="AR73" s="40">
        <f>SUMIFS('센터 자재 사용내역(02월)'!G:G,'센터 자재 사용내역(02월)'!E:E,'사급자재 사용내역'!C73,'센터 자재 사용내역(02월)'!F:F,"불량")</f>
        <v>0</v>
      </c>
      <c r="AS73" s="40">
        <f>SUMIFS('센터 자재 사용내역(03월)'!G:G,'센터 자재 사용내역(03월)'!E:E,'사급자재 사용내역'!C73,'센터 자재 사용내역(03월)'!F:F,"불량")</f>
        <v>0</v>
      </c>
      <c r="AT73" s="40">
        <f>SUMIFS('센터 자재 사용내역(04월)'!G:G,'센터 자재 사용내역(04월)'!E:E,'사급자재 사용내역'!C73,'센터 자재 사용내역(04월)'!F:F,"불량")</f>
        <v>0</v>
      </c>
      <c r="AU73" s="40">
        <f>SUMIFS('센터 자재 사용내역(05월)'!G:G,'센터 자재 사용내역(05월)'!E:E,'사급자재 사용내역'!C73,'센터 자재 사용내역(05월)'!F:F,"불량")</f>
        <v>0</v>
      </c>
      <c r="AV73" s="40">
        <f>SUMIFS('센터 자재 사용내역(06월)'!G:G,'센터 자재 사용내역(06월)'!E:E,'사급자재 사용내역'!C73,'센터 자재 사용내역(06월)'!F:F,"불량")</f>
        <v>0</v>
      </c>
      <c r="AW73" s="40">
        <f>SUMIFS('센터 자재 사용내역(07월)'!G:G,'센터 자재 사용내역(07월)'!E:E,'사급자재 사용내역'!C73,'센터 자재 사용내역(07월)'!F:F,"불량")</f>
        <v>0</v>
      </c>
      <c r="AX73" s="40">
        <f>SUMIFS('센터 자재 사용내역(08월)'!G:G,'센터 자재 사용내역(08월)'!E:E,'사급자재 사용내역'!C73,'센터 자재 사용내역(08월)'!F:F,"불량")</f>
        <v>0</v>
      </c>
      <c r="AY73" s="40">
        <f>SUMIFS('센터 자재 사용내역(09월)'!G:G,'센터 자재 사용내역(09월)'!E:E,'사급자재 사용내역'!C73,'센터 자재 사용내역(09월)'!F:F,"불량")</f>
        <v>0</v>
      </c>
      <c r="AZ73" s="40">
        <f>SUMIFS('센터 자재 사용내역(10월)'!G:G,'센터 자재 사용내역(10월)'!E:E,'사급자재 사용내역'!C73,'센터 자재 사용내역(10월)'!F:F,"불량")</f>
        <v>0</v>
      </c>
      <c r="BA73" s="40">
        <f>SUMIFS('센터 자재 사용내역(11월)'!G:G,'센터 자재 사용내역(11월)'!E:E,'사급자재 사용내역'!C73,'센터 자재 사용내역(11월)'!F:F,"불량")</f>
        <v>0</v>
      </c>
      <c r="BB73" s="40">
        <f>SUMIFS('센터 자재 사용내역(12월)'!G:G,'센터 자재 사용내역(12월)'!E:E,'사급자재 사용내역'!C73,'센터 자재 사용내역(12월)'!F:F,"불량")</f>
        <v>0</v>
      </c>
      <c r="BC73" s="40">
        <f t="shared" si="19"/>
        <v>0</v>
      </c>
      <c r="BD73" s="62"/>
    </row>
    <row r="74" spans="2:56" ht="19.5" customHeight="1">
      <c r="B74" s="99"/>
      <c r="C74" s="22" t="s">
        <v>50</v>
      </c>
      <c r="D74" s="64" t="s">
        <v>131</v>
      </c>
      <c r="E74" s="46">
        <v>42</v>
      </c>
      <c r="F74" s="47">
        <v>0</v>
      </c>
      <c r="G74" s="46"/>
      <c r="H74" s="78"/>
      <c r="I74" s="90">
        <f t="shared" si="25"/>
        <v>0</v>
      </c>
      <c r="J74" s="89">
        <f t="shared" si="21"/>
        <v>19</v>
      </c>
      <c r="K74" s="78">
        <f t="shared" si="26"/>
        <v>20</v>
      </c>
      <c r="L74" s="84">
        <f t="shared" si="22"/>
        <v>43</v>
      </c>
      <c r="M74" s="79">
        <f>SUMIFS('센터 자재 사용내역(01월)'!G:G,'센터 자재 사용내역(01월)'!E:E,'사급자재 사용내역'!C74,'센터 자재 사용내역(01월)'!F:F,"신규")+SUMIFS('센터 자재 사용내역(01월)'!G:G,'센터 자재 사용내역(01월)'!E:E,'사급자재 사용내역'!C74,'센터 자재 사용내역(01월)'!F:F,"교체")</f>
        <v>3</v>
      </c>
      <c r="N74" s="40">
        <f>SUMIFS('센터 자재 사용내역(02월)'!G:G,'센터 자재 사용내역(02월)'!E:E,'사급자재 사용내역'!C74,'센터 자재 사용내역(02월)'!F:F,"신규")+SUMIFS('센터 자재 사용내역(02월)'!G:G,'센터 자재 사용내역(02월)'!E:E,'사급자재 사용내역'!C74,'센터 자재 사용내역(02월)'!F:F,"교체")</f>
        <v>2</v>
      </c>
      <c r="O74" s="40">
        <f>SUMIFS('센터 자재 사용내역(03월)'!G:G,'센터 자재 사용내역(03월)'!E:E,'사급자재 사용내역'!C74,'센터 자재 사용내역(03월)'!F:F,"신규")+SUMIFS('센터 자재 사용내역(03월)'!G:G,'센터 자재 사용내역(03월)'!E:E,'사급자재 사용내역'!C74,'센터 자재 사용내역(03월)'!F:F,"교체")</f>
        <v>2</v>
      </c>
      <c r="P74" s="40">
        <f>SUMIFS('센터 자재 사용내역(04월)'!G:G,'센터 자재 사용내역(04월)'!E:E,'사급자재 사용내역'!C74,'센터 자재 사용내역(04월)'!F:F,"신규")+SUMIFS('센터 자재 사용내역(04월)'!G:G,'센터 자재 사용내역(04월)'!E:E,'사급자재 사용내역'!C74,'센터 자재 사용내역(04월)'!F:F,"교체")</f>
        <v>1</v>
      </c>
      <c r="Q74" s="40">
        <f>SUMIFS('센터 자재 사용내역(05월)'!G:G,'센터 자재 사용내역(05월)'!E:E,'사급자재 사용내역'!C74,'센터 자재 사용내역(05월)'!F:F,"신규")+SUMIFS('센터 자재 사용내역(05월)'!G:G,'센터 자재 사용내역(05월)'!E:E,'사급자재 사용내역'!C74,'센터 자재 사용내역(05월)'!F:F,"교체")</f>
        <v>0</v>
      </c>
      <c r="R74" s="40">
        <f>SUMIFS('센터 자재 사용내역(06월)'!G:G,'센터 자재 사용내역(06월)'!E:E,'사급자재 사용내역'!C74,'센터 자재 사용내역(06월)'!F:F,"신규")+SUMIFS('센터 자재 사용내역(06월)'!G:G,'센터 자재 사용내역(06월)'!E:E,'사급자재 사용내역'!C74,'센터 자재 사용내역(06월)'!F:F,"교체")</f>
        <v>4</v>
      </c>
      <c r="S74" s="40">
        <f>SUMIFS('센터 자재 사용내역(07월)'!G:G,'센터 자재 사용내역(07월)'!E:E,'사급자재 사용내역'!C74,'센터 자재 사용내역(07월)'!F:F,"신규")+SUMIFS('센터 자재 사용내역(07월)'!G:G,'센터 자재 사용내역(07월)'!E:E,'사급자재 사용내역'!C74,'센터 자재 사용내역(07월)'!F:F,"교체")</f>
        <v>4</v>
      </c>
      <c r="T74" s="40">
        <f>SUMIFS('센터 자재 사용내역(08월)'!G:G,'센터 자재 사용내역(08월)'!E:E,'사급자재 사용내역'!C74,'센터 자재 사용내역(08월)'!F:F,"신규")+SUMIFS('센터 자재 사용내역(08월)'!G:G,'센터 자재 사용내역(08월)'!E:E,'사급자재 사용내역'!C74,'센터 자재 사용내역(08월)'!F:F,"교체")</f>
        <v>3</v>
      </c>
      <c r="U74" s="40">
        <f>SUMIFS('센터 자재 사용내역(09월)'!G:G,'센터 자재 사용내역(09월)'!E:E,'사급자재 사용내역'!C74,'센터 자재 사용내역(09월)'!F:F,"신규")+SUMIFS('센터 자재 사용내역(09월)'!G:G,'센터 자재 사용내역(09월)'!E:E,'사급자재 사용내역'!C74,'센터 자재 사용내역(09월)'!F:F,"교체")</f>
        <v>0</v>
      </c>
      <c r="V74" s="40">
        <f>SUMIFS('센터 자재 사용내역(10월)'!G:G,'센터 자재 사용내역(10월)'!E:E,'사급자재 사용내역'!C74,'센터 자재 사용내역(10월)'!F:F,"신규")+SUMIFS('센터 자재 사용내역(10월)'!G:G,'센터 자재 사용내역(10월)'!E:E,'사급자재 사용내역'!C74,'센터 자재 사용내역(10월)'!F:F,"교체")</f>
        <v>0</v>
      </c>
      <c r="W74" s="40">
        <f>SUMIFS('센터 자재 사용내역(11월)'!G:G,'센터 자재 사용내역(11월)'!E:E,'사급자재 사용내역'!C74,'센터 자재 사용내역(11월)'!F:F,"신규")+SUMIFS('센터 자재 사용내역(11월)'!G:G,'센터 자재 사용내역(11월)'!E:E,'사급자재 사용내역'!C74,'센터 자재 사용내역(11월)'!F:F,"교체")</f>
        <v>0</v>
      </c>
      <c r="X74" s="40">
        <f>SUMIFS('센터 자재 사용내역(12월)'!G:G,'센터 자재 사용내역(12월)'!E:E,'사급자재 사용내역'!C74,'센터 자재 사용내역(12월)'!F:F,"신규")+SUMIFS('센터 자재 사용내역(12월)'!G:G,'센터 자재 사용내역(12월)'!E:E,'사급자재 사용내역'!C74,'센터 자재 사용내역(12월)'!F:F,"교체")</f>
        <v>0</v>
      </c>
      <c r="Y74" s="40">
        <f t="shared" si="23"/>
        <v>19</v>
      </c>
      <c r="Z74" s="53"/>
      <c r="AB74" s="56">
        <v>20</v>
      </c>
      <c r="AC74" s="29"/>
      <c r="AD74" s="29"/>
      <c r="AE74" s="29"/>
      <c r="AF74" s="29"/>
      <c r="AG74" s="29"/>
      <c r="AH74" s="29"/>
      <c r="AI74" s="29"/>
      <c r="AJ74" s="29"/>
      <c r="AK74" s="29"/>
      <c r="AL74" s="29"/>
      <c r="AM74" s="29"/>
      <c r="AN74" s="21">
        <f t="shared" si="24"/>
        <v>20</v>
      </c>
      <c r="AO74" s="57"/>
      <c r="AQ74" s="61">
        <f>SUMIFS('센터 자재 사용내역(01월)'!G:G,'센터 자재 사용내역(01월)'!E:E,'사급자재 사용내역'!C74,'센터 자재 사용내역(01월)'!F:F,"불량")</f>
        <v>0</v>
      </c>
      <c r="AR74" s="40">
        <f>SUMIFS('센터 자재 사용내역(02월)'!G:G,'센터 자재 사용내역(02월)'!E:E,'사급자재 사용내역'!C74,'센터 자재 사용내역(02월)'!F:F,"불량")</f>
        <v>0</v>
      </c>
      <c r="AS74" s="40">
        <f>SUMIFS('센터 자재 사용내역(03월)'!G:G,'센터 자재 사용내역(03월)'!E:E,'사급자재 사용내역'!C74,'센터 자재 사용내역(03월)'!F:F,"불량")</f>
        <v>0</v>
      </c>
      <c r="AT74" s="40">
        <f>SUMIFS('센터 자재 사용내역(04월)'!G:G,'센터 자재 사용내역(04월)'!E:E,'사급자재 사용내역'!C74,'센터 자재 사용내역(04월)'!F:F,"불량")</f>
        <v>0</v>
      </c>
      <c r="AU74" s="40">
        <f>SUMIFS('센터 자재 사용내역(05월)'!G:G,'센터 자재 사용내역(05월)'!E:E,'사급자재 사용내역'!C74,'센터 자재 사용내역(05월)'!F:F,"불량")</f>
        <v>0</v>
      </c>
      <c r="AV74" s="40">
        <f>SUMIFS('센터 자재 사용내역(06월)'!G:G,'센터 자재 사용내역(06월)'!E:E,'사급자재 사용내역'!C74,'센터 자재 사용내역(06월)'!F:F,"불량")</f>
        <v>0</v>
      </c>
      <c r="AW74" s="40">
        <f>SUMIFS('센터 자재 사용내역(07월)'!G:G,'센터 자재 사용내역(07월)'!E:E,'사급자재 사용내역'!C74,'센터 자재 사용내역(07월)'!F:F,"불량")</f>
        <v>0</v>
      </c>
      <c r="AX74" s="40">
        <f>SUMIFS('센터 자재 사용내역(08월)'!G:G,'센터 자재 사용내역(08월)'!E:E,'사급자재 사용내역'!C74,'센터 자재 사용내역(08월)'!F:F,"불량")</f>
        <v>0</v>
      </c>
      <c r="AY74" s="40">
        <f>SUMIFS('센터 자재 사용내역(09월)'!G:G,'센터 자재 사용내역(09월)'!E:E,'사급자재 사용내역'!C74,'센터 자재 사용내역(09월)'!F:F,"불량")</f>
        <v>0</v>
      </c>
      <c r="AZ74" s="40">
        <f>SUMIFS('센터 자재 사용내역(10월)'!G:G,'센터 자재 사용내역(10월)'!E:E,'사급자재 사용내역'!C74,'센터 자재 사용내역(10월)'!F:F,"불량")</f>
        <v>0</v>
      </c>
      <c r="BA74" s="40">
        <f>SUMIFS('센터 자재 사용내역(11월)'!G:G,'센터 자재 사용내역(11월)'!E:E,'사급자재 사용내역'!C74,'센터 자재 사용내역(11월)'!F:F,"불량")</f>
        <v>0</v>
      </c>
      <c r="BB74" s="40">
        <f>SUMIFS('센터 자재 사용내역(12월)'!G:G,'센터 자재 사용내역(12월)'!E:E,'사급자재 사용내역'!C74,'센터 자재 사용내역(12월)'!F:F,"불량")</f>
        <v>0</v>
      </c>
      <c r="BC74" s="40">
        <f t="shared" si="19"/>
        <v>0</v>
      </c>
      <c r="BD74" s="62"/>
    </row>
    <row r="75" spans="2:56" ht="19.5" customHeight="1">
      <c r="B75" s="99"/>
      <c r="C75" s="22" t="s">
        <v>51</v>
      </c>
      <c r="D75" s="64" t="s">
        <v>129</v>
      </c>
      <c r="E75" s="46">
        <v>60</v>
      </c>
      <c r="F75" s="47">
        <v>0</v>
      </c>
      <c r="G75" s="46"/>
      <c r="H75" s="78"/>
      <c r="I75" s="90">
        <f t="shared" si="25"/>
        <v>0</v>
      </c>
      <c r="J75" s="89">
        <f t="shared" si="21"/>
        <v>43</v>
      </c>
      <c r="K75" s="78">
        <f t="shared" si="26"/>
        <v>20</v>
      </c>
      <c r="L75" s="84">
        <f t="shared" si="22"/>
        <v>37</v>
      </c>
      <c r="M75" s="79">
        <f>SUMIFS('센터 자재 사용내역(01월)'!G:G,'센터 자재 사용내역(01월)'!E:E,'사급자재 사용내역'!C75,'센터 자재 사용내역(01월)'!F:F,"신규")+SUMIFS('센터 자재 사용내역(01월)'!G:G,'센터 자재 사용내역(01월)'!E:E,'사급자재 사용내역'!C75,'센터 자재 사용내역(01월)'!F:F,"교체")</f>
        <v>2</v>
      </c>
      <c r="N75" s="40">
        <f>SUMIFS('센터 자재 사용내역(02월)'!G:G,'센터 자재 사용내역(02월)'!E:E,'사급자재 사용내역'!C75,'센터 자재 사용내역(02월)'!F:F,"신규")+SUMIFS('센터 자재 사용내역(02월)'!G:G,'센터 자재 사용내역(02월)'!E:E,'사급자재 사용내역'!C75,'센터 자재 사용내역(02월)'!F:F,"교체")</f>
        <v>6</v>
      </c>
      <c r="O75" s="40">
        <f>SUMIFS('센터 자재 사용내역(03월)'!G:G,'센터 자재 사용내역(03월)'!E:E,'사급자재 사용내역'!C75,'센터 자재 사용내역(03월)'!F:F,"신규")+SUMIFS('센터 자재 사용내역(03월)'!G:G,'센터 자재 사용내역(03월)'!E:E,'사급자재 사용내역'!C75,'센터 자재 사용내역(03월)'!F:F,"교체")</f>
        <v>4</v>
      </c>
      <c r="P75" s="40">
        <f>SUMIFS('센터 자재 사용내역(04월)'!G:G,'센터 자재 사용내역(04월)'!E:E,'사급자재 사용내역'!C75,'센터 자재 사용내역(04월)'!F:F,"신규")+SUMIFS('센터 자재 사용내역(04월)'!G:G,'센터 자재 사용내역(04월)'!E:E,'사급자재 사용내역'!C75,'센터 자재 사용내역(04월)'!F:F,"교체")</f>
        <v>2</v>
      </c>
      <c r="Q75" s="40">
        <f>SUMIFS('센터 자재 사용내역(05월)'!G:G,'센터 자재 사용내역(05월)'!E:E,'사급자재 사용내역'!C75,'센터 자재 사용내역(05월)'!F:F,"신규")+SUMIFS('센터 자재 사용내역(05월)'!G:G,'센터 자재 사용내역(05월)'!E:E,'사급자재 사용내역'!C75,'센터 자재 사용내역(05월)'!F:F,"교체")</f>
        <v>10</v>
      </c>
      <c r="R75" s="40">
        <f>SUMIFS('센터 자재 사용내역(06월)'!G:G,'센터 자재 사용내역(06월)'!E:E,'사급자재 사용내역'!C75,'센터 자재 사용내역(06월)'!F:F,"신규")+SUMIFS('센터 자재 사용내역(06월)'!G:G,'센터 자재 사용내역(06월)'!E:E,'사급자재 사용내역'!C75,'센터 자재 사용내역(06월)'!F:F,"교체")</f>
        <v>6</v>
      </c>
      <c r="S75" s="40">
        <f>SUMIFS('센터 자재 사용내역(07월)'!G:G,'센터 자재 사용내역(07월)'!E:E,'사급자재 사용내역'!C75,'센터 자재 사용내역(07월)'!F:F,"신규")+SUMIFS('센터 자재 사용내역(07월)'!G:G,'센터 자재 사용내역(07월)'!E:E,'사급자재 사용내역'!C75,'센터 자재 사용내역(07월)'!F:F,"교체")</f>
        <v>10</v>
      </c>
      <c r="T75" s="40">
        <f>SUMIFS('센터 자재 사용내역(08월)'!G:G,'센터 자재 사용내역(08월)'!E:E,'사급자재 사용내역'!C75,'센터 자재 사용내역(08월)'!F:F,"신규")+SUMIFS('센터 자재 사용내역(08월)'!G:G,'센터 자재 사용내역(08월)'!E:E,'사급자재 사용내역'!C75,'센터 자재 사용내역(08월)'!F:F,"교체")</f>
        <v>3</v>
      </c>
      <c r="U75" s="40">
        <f>SUMIFS('센터 자재 사용내역(09월)'!G:G,'센터 자재 사용내역(09월)'!E:E,'사급자재 사용내역'!C75,'센터 자재 사용내역(09월)'!F:F,"신규")+SUMIFS('센터 자재 사용내역(09월)'!G:G,'센터 자재 사용내역(09월)'!E:E,'사급자재 사용내역'!C75,'센터 자재 사용내역(09월)'!F:F,"교체")</f>
        <v>0</v>
      </c>
      <c r="V75" s="40">
        <f>SUMIFS('센터 자재 사용내역(10월)'!G:G,'센터 자재 사용내역(10월)'!E:E,'사급자재 사용내역'!C75,'센터 자재 사용내역(10월)'!F:F,"신규")+SUMIFS('센터 자재 사용내역(10월)'!G:G,'센터 자재 사용내역(10월)'!E:E,'사급자재 사용내역'!C75,'센터 자재 사용내역(10월)'!F:F,"교체")</f>
        <v>0</v>
      </c>
      <c r="W75" s="40">
        <f>SUMIFS('센터 자재 사용내역(11월)'!G:G,'센터 자재 사용내역(11월)'!E:E,'사급자재 사용내역'!C75,'센터 자재 사용내역(11월)'!F:F,"신규")+SUMIFS('센터 자재 사용내역(11월)'!G:G,'센터 자재 사용내역(11월)'!E:E,'사급자재 사용내역'!C75,'센터 자재 사용내역(11월)'!F:F,"교체")</f>
        <v>0</v>
      </c>
      <c r="X75" s="40">
        <f>SUMIFS('센터 자재 사용내역(12월)'!G:G,'센터 자재 사용내역(12월)'!E:E,'사급자재 사용내역'!C75,'센터 자재 사용내역(12월)'!F:F,"신규")+SUMIFS('센터 자재 사용내역(12월)'!G:G,'센터 자재 사용내역(12월)'!E:E,'사급자재 사용내역'!C75,'센터 자재 사용내역(12월)'!F:F,"교체")</f>
        <v>0</v>
      </c>
      <c r="Y75" s="40">
        <f t="shared" si="23"/>
        <v>43</v>
      </c>
      <c r="Z75" s="53"/>
      <c r="AB75" s="56"/>
      <c r="AC75" s="29"/>
      <c r="AD75" s="29"/>
      <c r="AE75" s="29"/>
      <c r="AF75" s="29"/>
      <c r="AG75" s="29">
        <v>20</v>
      </c>
      <c r="AH75" s="29"/>
      <c r="AI75" s="29"/>
      <c r="AJ75" s="29"/>
      <c r="AK75" s="29"/>
      <c r="AL75" s="29"/>
      <c r="AM75" s="29"/>
      <c r="AN75" s="21">
        <f t="shared" si="24"/>
        <v>20</v>
      </c>
      <c r="AO75" s="57"/>
      <c r="AQ75" s="61">
        <f>SUMIFS('센터 자재 사용내역(01월)'!G:G,'센터 자재 사용내역(01월)'!E:E,'사급자재 사용내역'!C75,'센터 자재 사용내역(01월)'!F:F,"불량")</f>
        <v>0</v>
      </c>
      <c r="AR75" s="40">
        <f>SUMIFS('센터 자재 사용내역(02월)'!G:G,'센터 자재 사용내역(02월)'!E:E,'사급자재 사용내역'!C75,'센터 자재 사용내역(02월)'!F:F,"불량")</f>
        <v>0</v>
      </c>
      <c r="AS75" s="40">
        <f>SUMIFS('센터 자재 사용내역(03월)'!G:G,'센터 자재 사용내역(03월)'!E:E,'사급자재 사용내역'!C75,'센터 자재 사용내역(03월)'!F:F,"불량")</f>
        <v>0</v>
      </c>
      <c r="AT75" s="40">
        <f>SUMIFS('센터 자재 사용내역(04월)'!G:G,'센터 자재 사용내역(04월)'!E:E,'사급자재 사용내역'!C75,'센터 자재 사용내역(04월)'!F:F,"불량")</f>
        <v>0</v>
      </c>
      <c r="AU75" s="40">
        <f>SUMIFS('센터 자재 사용내역(05월)'!G:G,'센터 자재 사용내역(05월)'!E:E,'사급자재 사용내역'!C75,'센터 자재 사용내역(05월)'!F:F,"불량")</f>
        <v>0</v>
      </c>
      <c r="AV75" s="40">
        <f>SUMIFS('센터 자재 사용내역(06월)'!G:G,'센터 자재 사용내역(06월)'!E:E,'사급자재 사용내역'!C75,'센터 자재 사용내역(06월)'!F:F,"불량")</f>
        <v>0</v>
      </c>
      <c r="AW75" s="40">
        <f>SUMIFS('센터 자재 사용내역(07월)'!G:G,'센터 자재 사용내역(07월)'!E:E,'사급자재 사용내역'!C75,'센터 자재 사용내역(07월)'!F:F,"불량")</f>
        <v>0</v>
      </c>
      <c r="AX75" s="40">
        <f>SUMIFS('센터 자재 사용내역(08월)'!G:G,'센터 자재 사용내역(08월)'!E:E,'사급자재 사용내역'!C75,'센터 자재 사용내역(08월)'!F:F,"불량")</f>
        <v>0</v>
      </c>
      <c r="AY75" s="40">
        <f>SUMIFS('센터 자재 사용내역(09월)'!G:G,'센터 자재 사용내역(09월)'!E:E,'사급자재 사용내역'!C75,'센터 자재 사용내역(09월)'!F:F,"불량")</f>
        <v>0</v>
      </c>
      <c r="AZ75" s="40">
        <f>SUMIFS('센터 자재 사용내역(10월)'!G:G,'센터 자재 사용내역(10월)'!E:E,'사급자재 사용내역'!C75,'센터 자재 사용내역(10월)'!F:F,"불량")</f>
        <v>0</v>
      </c>
      <c r="BA75" s="40">
        <f>SUMIFS('센터 자재 사용내역(11월)'!G:G,'센터 자재 사용내역(11월)'!E:E,'사급자재 사용내역'!C75,'센터 자재 사용내역(11월)'!F:F,"불량")</f>
        <v>0</v>
      </c>
      <c r="BB75" s="40">
        <f>SUMIFS('센터 자재 사용내역(12월)'!G:G,'센터 자재 사용내역(12월)'!E:E,'사급자재 사용내역'!C75,'센터 자재 사용내역(12월)'!F:F,"불량")</f>
        <v>0</v>
      </c>
      <c r="BC75" s="40">
        <f t="shared" si="19"/>
        <v>0</v>
      </c>
      <c r="BD75" s="62"/>
    </row>
    <row r="76" spans="2:56" ht="19.5" customHeight="1">
      <c r="B76" s="99"/>
      <c r="C76" s="22" t="s">
        <v>52</v>
      </c>
      <c r="D76" s="64" t="s">
        <v>129</v>
      </c>
      <c r="E76" s="46">
        <v>55</v>
      </c>
      <c r="F76" s="47">
        <v>0</v>
      </c>
      <c r="G76" s="46"/>
      <c r="H76" s="78"/>
      <c r="I76" s="90">
        <f t="shared" si="25"/>
        <v>0</v>
      </c>
      <c r="J76" s="89">
        <f t="shared" si="21"/>
        <v>50</v>
      </c>
      <c r="K76" s="78">
        <f t="shared" si="26"/>
        <v>40</v>
      </c>
      <c r="L76" s="84">
        <f t="shared" si="22"/>
        <v>45</v>
      </c>
      <c r="M76" s="79">
        <f>SUMIFS('센터 자재 사용내역(01월)'!G:G,'센터 자재 사용내역(01월)'!E:E,'사급자재 사용내역'!C76,'센터 자재 사용내역(01월)'!F:F,"신규")+SUMIFS('센터 자재 사용내역(01월)'!G:G,'센터 자재 사용내역(01월)'!E:E,'사급자재 사용내역'!C76,'센터 자재 사용내역(01월)'!F:F,"교체")</f>
        <v>4</v>
      </c>
      <c r="N76" s="40">
        <f>SUMIFS('센터 자재 사용내역(02월)'!G:G,'센터 자재 사용내역(02월)'!E:E,'사급자재 사용내역'!C76,'센터 자재 사용내역(02월)'!F:F,"신규")+SUMIFS('센터 자재 사용내역(02월)'!G:G,'센터 자재 사용내역(02월)'!E:E,'사급자재 사용내역'!C76,'센터 자재 사용내역(02월)'!F:F,"교체")</f>
        <v>4</v>
      </c>
      <c r="O76" s="40">
        <f>SUMIFS('센터 자재 사용내역(03월)'!G:G,'센터 자재 사용내역(03월)'!E:E,'사급자재 사용내역'!C76,'센터 자재 사용내역(03월)'!F:F,"신규")+SUMIFS('센터 자재 사용내역(03월)'!G:G,'센터 자재 사용내역(03월)'!E:E,'사급자재 사용내역'!C76,'센터 자재 사용내역(03월)'!F:F,"교체")</f>
        <v>8</v>
      </c>
      <c r="P76" s="40">
        <f>SUMIFS('센터 자재 사용내역(04월)'!G:G,'센터 자재 사용내역(04월)'!E:E,'사급자재 사용내역'!C76,'센터 자재 사용내역(04월)'!F:F,"신규")+SUMIFS('센터 자재 사용내역(04월)'!G:G,'센터 자재 사용내역(04월)'!E:E,'사급자재 사용내역'!C76,'센터 자재 사용내역(04월)'!F:F,"교체")</f>
        <v>6</v>
      </c>
      <c r="Q76" s="40">
        <f>SUMIFS('센터 자재 사용내역(05월)'!G:G,'센터 자재 사용내역(05월)'!E:E,'사급자재 사용내역'!C76,'센터 자재 사용내역(05월)'!F:F,"신규")+SUMIFS('센터 자재 사용내역(05월)'!G:G,'센터 자재 사용내역(05월)'!E:E,'사급자재 사용내역'!C76,'센터 자재 사용내역(05월)'!F:F,"교체")</f>
        <v>8</v>
      </c>
      <c r="R76" s="40">
        <f>SUMIFS('센터 자재 사용내역(06월)'!G:G,'센터 자재 사용내역(06월)'!E:E,'사급자재 사용내역'!C76,'센터 자재 사용내역(06월)'!F:F,"신규")+SUMIFS('센터 자재 사용내역(06월)'!G:G,'센터 자재 사용내역(06월)'!E:E,'사급자재 사용내역'!C76,'센터 자재 사용내역(06월)'!F:F,"교체")</f>
        <v>7</v>
      </c>
      <c r="S76" s="40">
        <f>SUMIFS('센터 자재 사용내역(07월)'!G:G,'센터 자재 사용내역(07월)'!E:E,'사급자재 사용내역'!C76,'센터 자재 사용내역(07월)'!F:F,"신규")+SUMIFS('센터 자재 사용내역(07월)'!G:G,'센터 자재 사용내역(07월)'!E:E,'사급자재 사용내역'!C76,'센터 자재 사용내역(07월)'!F:F,"교체")</f>
        <v>7</v>
      </c>
      <c r="T76" s="40">
        <f>SUMIFS('센터 자재 사용내역(08월)'!G:G,'센터 자재 사용내역(08월)'!E:E,'사급자재 사용내역'!C76,'센터 자재 사용내역(08월)'!F:F,"신규")+SUMIFS('센터 자재 사용내역(08월)'!G:G,'센터 자재 사용내역(08월)'!E:E,'사급자재 사용내역'!C76,'센터 자재 사용내역(08월)'!F:F,"교체")</f>
        <v>6</v>
      </c>
      <c r="U76" s="40">
        <f>SUMIFS('센터 자재 사용내역(09월)'!G:G,'센터 자재 사용내역(09월)'!E:E,'사급자재 사용내역'!C76,'센터 자재 사용내역(09월)'!F:F,"신규")+SUMIFS('센터 자재 사용내역(09월)'!G:G,'센터 자재 사용내역(09월)'!E:E,'사급자재 사용내역'!C76,'센터 자재 사용내역(09월)'!F:F,"교체")</f>
        <v>0</v>
      </c>
      <c r="V76" s="40">
        <f>SUMIFS('센터 자재 사용내역(10월)'!G:G,'센터 자재 사용내역(10월)'!E:E,'사급자재 사용내역'!C76,'센터 자재 사용내역(10월)'!F:F,"신규")+SUMIFS('센터 자재 사용내역(10월)'!G:G,'센터 자재 사용내역(10월)'!E:E,'사급자재 사용내역'!C76,'센터 자재 사용내역(10월)'!F:F,"교체")</f>
        <v>0</v>
      </c>
      <c r="W76" s="40">
        <f>SUMIFS('센터 자재 사용내역(11월)'!G:G,'센터 자재 사용내역(11월)'!E:E,'사급자재 사용내역'!C76,'센터 자재 사용내역(11월)'!F:F,"신규")+SUMIFS('센터 자재 사용내역(11월)'!G:G,'센터 자재 사용내역(11월)'!E:E,'사급자재 사용내역'!C76,'센터 자재 사용내역(11월)'!F:F,"교체")</f>
        <v>0</v>
      </c>
      <c r="X76" s="40">
        <f>SUMIFS('센터 자재 사용내역(12월)'!G:G,'센터 자재 사용내역(12월)'!E:E,'사급자재 사용내역'!C76,'센터 자재 사용내역(12월)'!F:F,"신규")+SUMIFS('센터 자재 사용내역(12월)'!G:G,'센터 자재 사용내역(12월)'!E:E,'사급자재 사용내역'!C76,'센터 자재 사용내역(12월)'!F:F,"교체")</f>
        <v>0</v>
      </c>
      <c r="Y76" s="40">
        <f t="shared" si="23"/>
        <v>50</v>
      </c>
      <c r="Z76" s="53"/>
      <c r="AB76" s="56"/>
      <c r="AC76" s="29"/>
      <c r="AD76" s="29"/>
      <c r="AE76" s="29"/>
      <c r="AF76" s="29">
        <v>20</v>
      </c>
      <c r="AG76" s="29">
        <v>20</v>
      </c>
      <c r="AH76" s="29"/>
      <c r="AI76" s="29"/>
      <c r="AJ76" s="29"/>
      <c r="AK76" s="29"/>
      <c r="AL76" s="29"/>
      <c r="AM76" s="29"/>
      <c r="AN76" s="21">
        <f t="shared" si="24"/>
        <v>40</v>
      </c>
      <c r="AO76" s="57"/>
      <c r="AQ76" s="61">
        <f>SUMIFS('센터 자재 사용내역(01월)'!G:G,'센터 자재 사용내역(01월)'!E:E,'사급자재 사용내역'!C76,'센터 자재 사용내역(01월)'!F:F,"불량")</f>
        <v>0</v>
      </c>
      <c r="AR76" s="40">
        <f>SUMIFS('센터 자재 사용내역(02월)'!G:G,'센터 자재 사용내역(02월)'!E:E,'사급자재 사용내역'!C76,'센터 자재 사용내역(02월)'!F:F,"불량")</f>
        <v>0</v>
      </c>
      <c r="AS76" s="40">
        <f>SUMIFS('센터 자재 사용내역(03월)'!G:G,'센터 자재 사용내역(03월)'!E:E,'사급자재 사용내역'!C76,'센터 자재 사용내역(03월)'!F:F,"불량")</f>
        <v>0</v>
      </c>
      <c r="AT76" s="40">
        <f>SUMIFS('센터 자재 사용내역(04월)'!G:G,'센터 자재 사용내역(04월)'!E:E,'사급자재 사용내역'!C76,'센터 자재 사용내역(04월)'!F:F,"불량")</f>
        <v>0</v>
      </c>
      <c r="AU76" s="40">
        <f>SUMIFS('센터 자재 사용내역(05월)'!G:G,'센터 자재 사용내역(05월)'!E:E,'사급자재 사용내역'!C76,'센터 자재 사용내역(05월)'!F:F,"불량")</f>
        <v>0</v>
      </c>
      <c r="AV76" s="40">
        <f>SUMIFS('센터 자재 사용내역(06월)'!G:G,'센터 자재 사용내역(06월)'!E:E,'사급자재 사용내역'!C76,'센터 자재 사용내역(06월)'!F:F,"불량")</f>
        <v>0</v>
      </c>
      <c r="AW76" s="40">
        <f>SUMIFS('센터 자재 사용내역(07월)'!G:G,'센터 자재 사용내역(07월)'!E:E,'사급자재 사용내역'!C76,'센터 자재 사용내역(07월)'!F:F,"불량")</f>
        <v>0</v>
      </c>
      <c r="AX76" s="40">
        <f>SUMIFS('센터 자재 사용내역(08월)'!G:G,'센터 자재 사용내역(08월)'!E:E,'사급자재 사용내역'!C76,'센터 자재 사용내역(08월)'!F:F,"불량")</f>
        <v>0</v>
      </c>
      <c r="AY76" s="40">
        <f>SUMIFS('센터 자재 사용내역(09월)'!G:G,'센터 자재 사용내역(09월)'!E:E,'사급자재 사용내역'!C76,'센터 자재 사용내역(09월)'!F:F,"불량")</f>
        <v>0</v>
      </c>
      <c r="AZ76" s="40">
        <f>SUMIFS('센터 자재 사용내역(10월)'!G:G,'센터 자재 사용내역(10월)'!E:E,'사급자재 사용내역'!C76,'센터 자재 사용내역(10월)'!F:F,"불량")</f>
        <v>0</v>
      </c>
      <c r="BA76" s="40">
        <f>SUMIFS('센터 자재 사용내역(11월)'!G:G,'센터 자재 사용내역(11월)'!E:E,'사급자재 사용내역'!C76,'센터 자재 사용내역(11월)'!F:F,"불량")</f>
        <v>0</v>
      </c>
      <c r="BB76" s="40">
        <f>SUMIFS('센터 자재 사용내역(12월)'!G:G,'센터 자재 사용내역(12월)'!E:E,'사급자재 사용내역'!C76,'센터 자재 사용내역(12월)'!F:F,"불량")</f>
        <v>0</v>
      </c>
      <c r="BC76" s="40">
        <f t="shared" si="19"/>
        <v>0</v>
      </c>
      <c r="BD76" s="62"/>
    </row>
    <row r="77" spans="2:56" ht="19.5" customHeight="1">
      <c r="B77" s="99"/>
      <c r="C77" s="22" t="s">
        <v>53</v>
      </c>
      <c r="D77" s="64" t="s">
        <v>132</v>
      </c>
      <c r="E77" s="46">
        <v>60</v>
      </c>
      <c r="F77" s="47">
        <v>0</v>
      </c>
      <c r="G77" s="46"/>
      <c r="H77" s="78"/>
      <c r="I77" s="90">
        <f t="shared" si="25"/>
        <v>0</v>
      </c>
      <c r="J77" s="89">
        <f t="shared" si="21"/>
        <v>73</v>
      </c>
      <c r="K77" s="78">
        <f t="shared" si="26"/>
        <v>20</v>
      </c>
      <c r="L77" s="84">
        <f t="shared" si="22"/>
        <v>7</v>
      </c>
      <c r="M77" s="79">
        <f>SUMIFS('센터 자재 사용내역(01월)'!G:G,'센터 자재 사용내역(01월)'!E:E,'사급자재 사용내역'!C77,'센터 자재 사용내역(01월)'!F:F,"신규")+SUMIFS('센터 자재 사용내역(01월)'!G:G,'센터 자재 사용내역(01월)'!E:E,'사급자재 사용내역'!C77,'센터 자재 사용내역(01월)'!F:F,"교체")</f>
        <v>6</v>
      </c>
      <c r="N77" s="40">
        <f>SUMIFS('센터 자재 사용내역(02월)'!G:G,'센터 자재 사용내역(02월)'!E:E,'사급자재 사용내역'!C77,'센터 자재 사용내역(02월)'!F:F,"신규")+SUMIFS('센터 자재 사용내역(02월)'!G:G,'센터 자재 사용내역(02월)'!E:E,'사급자재 사용내역'!C77,'센터 자재 사용내역(02월)'!F:F,"교체")</f>
        <v>5</v>
      </c>
      <c r="O77" s="40">
        <f>SUMIFS('센터 자재 사용내역(03월)'!G:G,'센터 자재 사용내역(03월)'!E:E,'사급자재 사용내역'!C77,'센터 자재 사용내역(03월)'!F:F,"신규")+SUMIFS('센터 자재 사용내역(03월)'!G:G,'센터 자재 사용내역(03월)'!E:E,'사급자재 사용내역'!C77,'센터 자재 사용내역(03월)'!F:F,"교체")</f>
        <v>6</v>
      </c>
      <c r="P77" s="40">
        <f>SUMIFS('센터 자재 사용내역(04월)'!G:G,'센터 자재 사용내역(04월)'!E:E,'사급자재 사용내역'!C77,'센터 자재 사용내역(04월)'!F:F,"신규")+SUMIFS('센터 자재 사용내역(04월)'!G:G,'센터 자재 사용내역(04월)'!E:E,'사급자재 사용내역'!C77,'센터 자재 사용내역(04월)'!F:F,"교체")</f>
        <v>5</v>
      </c>
      <c r="Q77" s="40">
        <f>SUMIFS('센터 자재 사용내역(05월)'!G:G,'센터 자재 사용내역(05월)'!E:E,'사급자재 사용내역'!C77,'센터 자재 사용내역(05월)'!F:F,"신규")+SUMIFS('센터 자재 사용내역(05월)'!G:G,'센터 자재 사용내역(05월)'!E:E,'사급자재 사용내역'!C77,'센터 자재 사용내역(05월)'!F:F,"교체")</f>
        <v>11</v>
      </c>
      <c r="R77" s="40">
        <f>SUMIFS('센터 자재 사용내역(06월)'!G:G,'센터 자재 사용내역(06월)'!E:E,'사급자재 사용내역'!C77,'센터 자재 사용내역(06월)'!F:F,"신규")+SUMIFS('센터 자재 사용내역(06월)'!G:G,'센터 자재 사용내역(06월)'!E:E,'사급자재 사용내역'!C77,'센터 자재 사용내역(06월)'!F:F,"교체")</f>
        <v>10</v>
      </c>
      <c r="S77" s="40">
        <f>SUMIFS('센터 자재 사용내역(07월)'!G:G,'센터 자재 사용내역(07월)'!E:E,'사급자재 사용내역'!C77,'센터 자재 사용내역(07월)'!F:F,"신규")+SUMIFS('센터 자재 사용내역(07월)'!G:G,'센터 자재 사용내역(07월)'!E:E,'사급자재 사용내역'!C77,'센터 자재 사용내역(07월)'!F:F,"교체")</f>
        <v>22</v>
      </c>
      <c r="T77" s="40">
        <f>SUMIFS('센터 자재 사용내역(08월)'!G:G,'센터 자재 사용내역(08월)'!E:E,'사급자재 사용내역'!C77,'센터 자재 사용내역(08월)'!F:F,"신규")+SUMIFS('센터 자재 사용내역(08월)'!G:G,'센터 자재 사용내역(08월)'!E:E,'사급자재 사용내역'!C77,'센터 자재 사용내역(08월)'!F:F,"교체")</f>
        <v>8</v>
      </c>
      <c r="U77" s="40">
        <f>SUMIFS('센터 자재 사용내역(09월)'!G:G,'센터 자재 사용내역(09월)'!E:E,'사급자재 사용내역'!C77,'센터 자재 사용내역(09월)'!F:F,"신규")+SUMIFS('센터 자재 사용내역(09월)'!G:G,'센터 자재 사용내역(09월)'!E:E,'사급자재 사용내역'!C77,'센터 자재 사용내역(09월)'!F:F,"교체")</f>
        <v>0</v>
      </c>
      <c r="V77" s="40">
        <f>SUMIFS('센터 자재 사용내역(10월)'!G:G,'센터 자재 사용내역(10월)'!E:E,'사급자재 사용내역'!C77,'센터 자재 사용내역(10월)'!F:F,"신규")+SUMIFS('센터 자재 사용내역(10월)'!G:G,'센터 자재 사용내역(10월)'!E:E,'사급자재 사용내역'!C77,'센터 자재 사용내역(10월)'!F:F,"교체")</f>
        <v>0</v>
      </c>
      <c r="W77" s="40">
        <f>SUMIFS('센터 자재 사용내역(11월)'!G:G,'센터 자재 사용내역(11월)'!E:E,'사급자재 사용내역'!C77,'센터 자재 사용내역(11월)'!F:F,"신규")+SUMIFS('센터 자재 사용내역(11월)'!G:G,'센터 자재 사용내역(11월)'!E:E,'사급자재 사용내역'!C77,'센터 자재 사용내역(11월)'!F:F,"교체")</f>
        <v>0</v>
      </c>
      <c r="X77" s="40">
        <f>SUMIFS('센터 자재 사용내역(12월)'!G:G,'센터 자재 사용내역(12월)'!E:E,'사급자재 사용내역'!C77,'센터 자재 사용내역(12월)'!F:F,"신규")+SUMIFS('센터 자재 사용내역(12월)'!G:G,'센터 자재 사용내역(12월)'!E:E,'사급자재 사용내역'!C77,'센터 자재 사용내역(12월)'!F:F,"교체")</f>
        <v>0</v>
      </c>
      <c r="Y77" s="40">
        <f t="shared" si="23"/>
        <v>73</v>
      </c>
      <c r="Z77" s="53"/>
      <c r="AB77" s="56"/>
      <c r="AC77" s="29"/>
      <c r="AD77" s="29"/>
      <c r="AE77" s="29"/>
      <c r="AF77" s="29">
        <v>20</v>
      </c>
      <c r="AG77" s="29"/>
      <c r="AH77" s="29"/>
      <c r="AI77" s="29"/>
      <c r="AJ77" s="29"/>
      <c r="AK77" s="29"/>
      <c r="AL77" s="29"/>
      <c r="AM77" s="29"/>
      <c r="AN77" s="21">
        <f t="shared" si="24"/>
        <v>20</v>
      </c>
      <c r="AO77" s="57"/>
      <c r="AQ77" s="61">
        <f>SUMIFS('센터 자재 사용내역(01월)'!G:G,'센터 자재 사용내역(01월)'!E:E,'사급자재 사용내역'!C77,'센터 자재 사용내역(01월)'!F:F,"불량")</f>
        <v>0</v>
      </c>
      <c r="AR77" s="40">
        <f>SUMIFS('센터 자재 사용내역(02월)'!G:G,'센터 자재 사용내역(02월)'!E:E,'사급자재 사용내역'!C77,'센터 자재 사용내역(02월)'!F:F,"불량")</f>
        <v>0</v>
      </c>
      <c r="AS77" s="40">
        <f>SUMIFS('센터 자재 사용내역(03월)'!G:G,'센터 자재 사용내역(03월)'!E:E,'사급자재 사용내역'!C77,'센터 자재 사용내역(03월)'!F:F,"불량")</f>
        <v>0</v>
      </c>
      <c r="AT77" s="40">
        <f>SUMIFS('센터 자재 사용내역(04월)'!G:G,'센터 자재 사용내역(04월)'!E:E,'사급자재 사용내역'!C77,'센터 자재 사용내역(04월)'!F:F,"불량")</f>
        <v>0</v>
      </c>
      <c r="AU77" s="40">
        <f>SUMIFS('센터 자재 사용내역(05월)'!G:G,'센터 자재 사용내역(05월)'!E:E,'사급자재 사용내역'!C77,'센터 자재 사용내역(05월)'!F:F,"불량")</f>
        <v>0</v>
      </c>
      <c r="AV77" s="40">
        <f>SUMIFS('센터 자재 사용내역(06월)'!G:G,'센터 자재 사용내역(06월)'!E:E,'사급자재 사용내역'!C77,'센터 자재 사용내역(06월)'!F:F,"불량")</f>
        <v>0</v>
      </c>
      <c r="AW77" s="40">
        <f>SUMIFS('센터 자재 사용내역(07월)'!G:G,'센터 자재 사용내역(07월)'!E:E,'사급자재 사용내역'!C77,'센터 자재 사용내역(07월)'!F:F,"불량")</f>
        <v>0</v>
      </c>
      <c r="AX77" s="40">
        <f>SUMIFS('센터 자재 사용내역(08월)'!G:G,'센터 자재 사용내역(08월)'!E:E,'사급자재 사용내역'!C77,'센터 자재 사용내역(08월)'!F:F,"불량")</f>
        <v>0</v>
      </c>
      <c r="AY77" s="40">
        <f>SUMIFS('센터 자재 사용내역(09월)'!G:G,'센터 자재 사용내역(09월)'!E:E,'사급자재 사용내역'!C77,'센터 자재 사용내역(09월)'!F:F,"불량")</f>
        <v>0</v>
      </c>
      <c r="AZ77" s="40">
        <f>SUMIFS('센터 자재 사용내역(10월)'!G:G,'센터 자재 사용내역(10월)'!E:E,'사급자재 사용내역'!C77,'센터 자재 사용내역(10월)'!F:F,"불량")</f>
        <v>0</v>
      </c>
      <c r="BA77" s="40">
        <f>SUMIFS('센터 자재 사용내역(11월)'!G:G,'센터 자재 사용내역(11월)'!E:E,'사급자재 사용내역'!C77,'센터 자재 사용내역(11월)'!F:F,"불량")</f>
        <v>0</v>
      </c>
      <c r="BB77" s="40">
        <f>SUMIFS('센터 자재 사용내역(12월)'!G:G,'센터 자재 사용내역(12월)'!E:E,'사급자재 사용내역'!C77,'센터 자재 사용내역(12월)'!F:F,"불량")</f>
        <v>0</v>
      </c>
      <c r="BC77" s="40">
        <f t="shared" si="19"/>
        <v>0</v>
      </c>
      <c r="BD77" s="62"/>
    </row>
    <row r="78" spans="2:56" ht="19.5" customHeight="1">
      <c r="B78" s="99"/>
      <c r="C78" s="22" t="s">
        <v>54</v>
      </c>
      <c r="D78" s="64" t="s">
        <v>129</v>
      </c>
      <c r="E78" s="46">
        <v>34</v>
      </c>
      <c r="F78" s="47">
        <v>0</v>
      </c>
      <c r="G78" s="46"/>
      <c r="H78" s="78"/>
      <c r="I78" s="90">
        <f t="shared" si="25"/>
        <v>0</v>
      </c>
      <c r="J78" s="89">
        <f t="shared" si="21"/>
        <v>55</v>
      </c>
      <c r="K78" s="78">
        <f t="shared" si="26"/>
        <v>80</v>
      </c>
      <c r="L78" s="84">
        <f t="shared" si="22"/>
        <v>59</v>
      </c>
      <c r="M78" s="79">
        <f>SUMIFS('센터 자재 사용내역(01월)'!G:G,'센터 자재 사용내역(01월)'!E:E,'사급자재 사용내역'!C78,'센터 자재 사용내역(01월)'!F:F,"신규")+SUMIFS('센터 자재 사용내역(01월)'!G:G,'센터 자재 사용내역(01월)'!E:E,'사급자재 사용내역'!C78,'센터 자재 사용내역(01월)'!F:F,"교체")</f>
        <v>4</v>
      </c>
      <c r="N78" s="40">
        <f>SUMIFS('센터 자재 사용내역(02월)'!G:G,'센터 자재 사용내역(02월)'!E:E,'사급자재 사용내역'!C78,'센터 자재 사용내역(02월)'!F:F,"신규")+SUMIFS('센터 자재 사용내역(02월)'!G:G,'센터 자재 사용내역(02월)'!E:E,'사급자재 사용내역'!C78,'센터 자재 사용내역(02월)'!F:F,"교체")</f>
        <v>6</v>
      </c>
      <c r="O78" s="40">
        <f>SUMIFS('센터 자재 사용내역(03월)'!G:G,'센터 자재 사용내역(03월)'!E:E,'사급자재 사용내역'!C78,'센터 자재 사용내역(03월)'!F:F,"신규")+SUMIFS('센터 자재 사용내역(03월)'!G:G,'센터 자재 사용내역(03월)'!E:E,'사급자재 사용내역'!C78,'센터 자재 사용내역(03월)'!F:F,"교체")</f>
        <v>7</v>
      </c>
      <c r="P78" s="40">
        <f>SUMIFS('센터 자재 사용내역(04월)'!G:G,'센터 자재 사용내역(04월)'!E:E,'사급자재 사용내역'!C78,'센터 자재 사용내역(04월)'!F:F,"신규")+SUMIFS('센터 자재 사용내역(04월)'!G:G,'센터 자재 사용내역(04월)'!E:E,'사급자재 사용내역'!C78,'센터 자재 사용내역(04월)'!F:F,"교체")</f>
        <v>5</v>
      </c>
      <c r="Q78" s="40">
        <f>SUMIFS('센터 자재 사용내역(05월)'!G:G,'센터 자재 사용내역(05월)'!E:E,'사급자재 사용내역'!C78,'센터 자재 사용내역(05월)'!F:F,"신규")+SUMIFS('센터 자재 사용내역(05월)'!G:G,'센터 자재 사용내역(05월)'!E:E,'사급자재 사용내역'!C78,'센터 자재 사용내역(05월)'!F:F,"교체")</f>
        <v>8</v>
      </c>
      <c r="R78" s="40">
        <f>SUMIFS('센터 자재 사용내역(06월)'!G:G,'센터 자재 사용내역(06월)'!E:E,'사급자재 사용내역'!C78,'센터 자재 사용내역(06월)'!F:F,"신규")+SUMIFS('센터 자재 사용내역(06월)'!G:G,'센터 자재 사용내역(06월)'!E:E,'사급자재 사용내역'!C78,'센터 자재 사용내역(06월)'!F:F,"교체")</f>
        <v>10</v>
      </c>
      <c r="S78" s="40">
        <f>SUMIFS('센터 자재 사용내역(07월)'!G:G,'센터 자재 사용내역(07월)'!E:E,'사급자재 사용내역'!C78,'센터 자재 사용내역(07월)'!F:F,"신규")+SUMIFS('센터 자재 사용내역(07월)'!G:G,'센터 자재 사용내역(07월)'!E:E,'사급자재 사용내역'!C78,'센터 자재 사용내역(07월)'!F:F,"교체")</f>
        <v>6</v>
      </c>
      <c r="T78" s="40">
        <f>SUMIFS('센터 자재 사용내역(08월)'!G:G,'센터 자재 사용내역(08월)'!E:E,'사급자재 사용내역'!C78,'센터 자재 사용내역(08월)'!F:F,"신규")+SUMIFS('센터 자재 사용내역(08월)'!G:G,'센터 자재 사용내역(08월)'!E:E,'사급자재 사용내역'!C78,'센터 자재 사용내역(08월)'!F:F,"교체")</f>
        <v>9</v>
      </c>
      <c r="U78" s="40">
        <f>SUMIFS('센터 자재 사용내역(09월)'!G:G,'센터 자재 사용내역(09월)'!E:E,'사급자재 사용내역'!C78,'센터 자재 사용내역(09월)'!F:F,"신규")+SUMIFS('센터 자재 사용내역(09월)'!G:G,'센터 자재 사용내역(09월)'!E:E,'사급자재 사용내역'!C78,'센터 자재 사용내역(09월)'!F:F,"교체")</f>
        <v>0</v>
      </c>
      <c r="V78" s="40">
        <f>SUMIFS('센터 자재 사용내역(10월)'!G:G,'센터 자재 사용내역(10월)'!E:E,'사급자재 사용내역'!C78,'센터 자재 사용내역(10월)'!F:F,"신규")+SUMIFS('센터 자재 사용내역(10월)'!G:G,'센터 자재 사용내역(10월)'!E:E,'사급자재 사용내역'!C78,'센터 자재 사용내역(10월)'!F:F,"교체")</f>
        <v>0</v>
      </c>
      <c r="W78" s="40">
        <f>SUMIFS('센터 자재 사용내역(11월)'!G:G,'센터 자재 사용내역(11월)'!E:E,'사급자재 사용내역'!C78,'센터 자재 사용내역(11월)'!F:F,"신규")+SUMIFS('센터 자재 사용내역(11월)'!G:G,'센터 자재 사용내역(11월)'!E:E,'사급자재 사용내역'!C78,'센터 자재 사용내역(11월)'!F:F,"교체")</f>
        <v>0</v>
      </c>
      <c r="X78" s="40">
        <f>SUMIFS('센터 자재 사용내역(12월)'!G:G,'센터 자재 사용내역(12월)'!E:E,'사급자재 사용내역'!C78,'센터 자재 사용내역(12월)'!F:F,"신규")+SUMIFS('센터 자재 사용내역(12월)'!G:G,'센터 자재 사용내역(12월)'!E:E,'사급자재 사용내역'!C78,'센터 자재 사용내역(12월)'!F:F,"교체")</f>
        <v>0</v>
      </c>
      <c r="Y78" s="40">
        <f t="shared" si="23"/>
        <v>55</v>
      </c>
      <c r="Z78" s="53"/>
      <c r="AB78" s="56">
        <v>20</v>
      </c>
      <c r="AC78" s="29"/>
      <c r="AD78" s="29"/>
      <c r="AE78" s="29"/>
      <c r="AF78" s="29">
        <v>20</v>
      </c>
      <c r="AG78" s="29">
        <v>20</v>
      </c>
      <c r="AH78" s="29"/>
      <c r="AI78" s="29">
        <v>20</v>
      </c>
      <c r="AJ78" s="29"/>
      <c r="AK78" s="29"/>
      <c r="AL78" s="29"/>
      <c r="AM78" s="29"/>
      <c r="AN78" s="21">
        <f t="shared" si="24"/>
        <v>80</v>
      </c>
      <c r="AO78" s="57"/>
      <c r="AQ78" s="61">
        <f>SUMIFS('센터 자재 사용내역(01월)'!G:G,'센터 자재 사용내역(01월)'!E:E,'사급자재 사용내역'!C78,'센터 자재 사용내역(01월)'!F:F,"불량")</f>
        <v>0</v>
      </c>
      <c r="AR78" s="40">
        <f>SUMIFS('센터 자재 사용내역(02월)'!G:G,'센터 자재 사용내역(02월)'!E:E,'사급자재 사용내역'!C78,'센터 자재 사용내역(02월)'!F:F,"불량")</f>
        <v>0</v>
      </c>
      <c r="AS78" s="40">
        <f>SUMIFS('센터 자재 사용내역(03월)'!G:G,'센터 자재 사용내역(03월)'!E:E,'사급자재 사용내역'!C78,'센터 자재 사용내역(03월)'!F:F,"불량")</f>
        <v>0</v>
      </c>
      <c r="AT78" s="40">
        <f>SUMIFS('센터 자재 사용내역(04월)'!G:G,'센터 자재 사용내역(04월)'!E:E,'사급자재 사용내역'!C78,'센터 자재 사용내역(04월)'!F:F,"불량")</f>
        <v>0</v>
      </c>
      <c r="AU78" s="40">
        <f>SUMIFS('센터 자재 사용내역(05월)'!G:G,'센터 자재 사용내역(05월)'!E:E,'사급자재 사용내역'!C78,'센터 자재 사용내역(05월)'!F:F,"불량")</f>
        <v>0</v>
      </c>
      <c r="AV78" s="40">
        <f>SUMIFS('센터 자재 사용내역(06월)'!G:G,'센터 자재 사용내역(06월)'!E:E,'사급자재 사용내역'!C78,'센터 자재 사용내역(06월)'!F:F,"불량")</f>
        <v>0</v>
      </c>
      <c r="AW78" s="40">
        <f>SUMIFS('센터 자재 사용내역(07월)'!G:G,'센터 자재 사용내역(07월)'!E:E,'사급자재 사용내역'!C78,'센터 자재 사용내역(07월)'!F:F,"불량")</f>
        <v>0</v>
      </c>
      <c r="AX78" s="40">
        <f>SUMIFS('센터 자재 사용내역(08월)'!G:G,'센터 자재 사용내역(08월)'!E:E,'사급자재 사용내역'!C78,'센터 자재 사용내역(08월)'!F:F,"불량")</f>
        <v>0</v>
      </c>
      <c r="AY78" s="40">
        <f>SUMIFS('센터 자재 사용내역(09월)'!G:G,'센터 자재 사용내역(09월)'!E:E,'사급자재 사용내역'!C78,'센터 자재 사용내역(09월)'!F:F,"불량")</f>
        <v>0</v>
      </c>
      <c r="AZ78" s="40">
        <f>SUMIFS('센터 자재 사용내역(10월)'!G:G,'센터 자재 사용내역(10월)'!E:E,'사급자재 사용내역'!C78,'센터 자재 사용내역(10월)'!F:F,"불량")</f>
        <v>0</v>
      </c>
      <c r="BA78" s="40">
        <f>SUMIFS('센터 자재 사용내역(11월)'!G:G,'센터 자재 사용내역(11월)'!E:E,'사급자재 사용내역'!C78,'센터 자재 사용내역(11월)'!F:F,"불량")</f>
        <v>0</v>
      </c>
      <c r="BB78" s="40">
        <f>SUMIFS('센터 자재 사용내역(12월)'!G:G,'센터 자재 사용내역(12월)'!E:E,'사급자재 사용내역'!C78,'센터 자재 사용내역(12월)'!F:F,"불량")</f>
        <v>0</v>
      </c>
      <c r="BC78" s="40">
        <f t="shared" si="19"/>
        <v>0</v>
      </c>
      <c r="BD78" s="62"/>
    </row>
    <row r="79" spans="2:56" ht="19.5" customHeight="1">
      <c r="B79" s="99"/>
      <c r="C79" s="23" t="s">
        <v>55</v>
      </c>
      <c r="D79" s="64" t="s">
        <v>129</v>
      </c>
      <c r="E79" s="66">
        <v>0</v>
      </c>
      <c r="F79" s="47">
        <v>0</v>
      </c>
      <c r="G79" s="46"/>
      <c r="H79" s="78"/>
      <c r="I79" s="90">
        <f t="shared" si="25"/>
        <v>0</v>
      </c>
      <c r="J79" s="89">
        <f t="shared" si="21"/>
        <v>0</v>
      </c>
      <c r="K79" s="78">
        <f t="shared" si="26"/>
        <v>0</v>
      </c>
      <c r="L79" s="84">
        <f t="shared" si="22"/>
        <v>0</v>
      </c>
      <c r="M79" s="79">
        <f>SUMIFS('센터 자재 사용내역(01월)'!G:G,'센터 자재 사용내역(01월)'!E:E,'사급자재 사용내역'!C79,'센터 자재 사용내역(01월)'!F:F,"신규")+SUMIFS('센터 자재 사용내역(01월)'!G:G,'센터 자재 사용내역(01월)'!E:E,'사급자재 사용내역'!C79,'센터 자재 사용내역(01월)'!F:F,"교체")</f>
        <v>0</v>
      </c>
      <c r="N79" s="40">
        <f>SUMIFS('센터 자재 사용내역(02월)'!G:G,'센터 자재 사용내역(02월)'!E:E,'사급자재 사용내역'!C79,'센터 자재 사용내역(02월)'!F:F,"신규")+SUMIFS('센터 자재 사용내역(02월)'!G:G,'센터 자재 사용내역(02월)'!E:E,'사급자재 사용내역'!C79,'센터 자재 사용내역(02월)'!F:F,"교체")</f>
        <v>0</v>
      </c>
      <c r="O79" s="40">
        <f>SUMIFS('센터 자재 사용내역(03월)'!G:G,'센터 자재 사용내역(03월)'!E:E,'사급자재 사용내역'!C79,'센터 자재 사용내역(03월)'!F:F,"신규")+SUMIFS('센터 자재 사용내역(03월)'!G:G,'센터 자재 사용내역(03월)'!E:E,'사급자재 사용내역'!C79,'센터 자재 사용내역(03월)'!F:F,"교체")</f>
        <v>0</v>
      </c>
      <c r="P79" s="40">
        <f>SUMIFS('센터 자재 사용내역(04월)'!G:G,'센터 자재 사용내역(04월)'!E:E,'사급자재 사용내역'!C79,'센터 자재 사용내역(04월)'!F:F,"신규")+SUMIFS('센터 자재 사용내역(04월)'!G:G,'센터 자재 사용내역(04월)'!E:E,'사급자재 사용내역'!C79,'센터 자재 사용내역(04월)'!F:F,"교체")</f>
        <v>0</v>
      </c>
      <c r="Q79" s="40">
        <f>SUMIFS('센터 자재 사용내역(05월)'!G:G,'센터 자재 사용내역(05월)'!E:E,'사급자재 사용내역'!C79,'센터 자재 사용내역(05월)'!F:F,"신규")+SUMIFS('센터 자재 사용내역(05월)'!G:G,'센터 자재 사용내역(05월)'!E:E,'사급자재 사용내역'!C79,'센터 자재 사용내역(05월)'!F:F,"교체")</f>
        <v>0</v>
      </c>
      <c r="R79" s="40">
        <f>SUMIFS('센터 자재 사용내역(06월)'!G:G,'센터 자재 사용내역(06월)'!E:E,'사급자재 사용내역'!C79,'센터 자재 사용내역(06월)'!F:F,"신규")+SUMIFS('센터 자재 사용내역(06월)'!G:G,'센터 자재 사용내역(06월)'!E:E,'사급자재 사용내역'!C79,'센터 자재 사용내역(06월)'!F:F,"교체")</f>
        <v>0</v>
      </c>
      <c r="S79" s="40">
        <f>SUMIFS('센터 자재 사용내역(07월)'!G:G,'센터 자재 사용내역(07월)'!E:E,'사급자재 사용내역'!C79,'센터 자재 사용내역(07월)'!F:F,"신규")+SUMIFS('센터 자재 사용내역(07월)'!G:G,'센터 자재 사용내역(07월)'!E:E,'사급자재 사용내역'!C79,'센터 자재 사용내역(07월)'!F:F,"교체")</f>
        <v>0</v>
      </c>
      <c r="T79" s="40">
        <f>SUMIFS('센터 자재 사용내역(08월)'!G:G,'센터 자재 사용내역(08월)'!E:E,'사급자재 사용내역'!C79,'센터 자재 사용내역(08월)'!F:F,"신규")+SUMIFS('센터 자재 사용내역(08월)'!G:G,'센터 자재 사용내역(08월)'!E:E,'사급자재 사용내역'!C79,'센터 자재 사용내역(08월)'!F:F,"교체")</f>
        <v>0</v>
      </c>
      <c r="U79" s="40">
        <f>SUMIFS('센터 자재 사용내역(09월)'!G:G,'센터 자재 사용내역(09월)'!E:E,'사급자재 사용내역'!C79,'센터 자재 사용내역(09월)'!F:F,"신규")+SUMIFS('센터 자재 사용내역(09월)'!G:G,'센터 자재 사용내역(09월)'!E:E,'사급자재 사용내역'!C79,'센터 자재 사용내역(09월)'!F:F,"교체")</f>
        <v>0</v>
      </c>
      <c r="V79" s="40">
        <f>SUMIFS('센터 자재 사용내역(10월)'!G:G,'센터 자재 사용내역(10월)'!E:E,'사급자재 사용내역'!C79,'센터 자재 사용내역(10월)'!F:F,"신규")+SUMIFS('센터 자재 사용내역(10월)'!G:G,'센터 자재 사용내역(10월)'!E:E,'사급자재 사용내역'!C79,'센터 자재 사용내역(10월)'!F:F,"교체")</f>
        <v>0</v>
      </c>
      <c r="W79" s="40">
        <f>SUMIFS('센터 자재 사용내역(11월)'!G:G,'센터 자재 사용내역(11월)'!E:E,'사급자재 사용내역'!C79,'센터 자재 사용내역(11월)'!F:F,"신규")+SUMIFS('센터 자재 사용내역(11월)'!G:G,'센터 자재 사용내역(11월)'!E:E,'사급자재 사용내역'!C79,'센터 자재 사용내역(11월)'!F:F,"교체")</f>
        <v>0</v>
      </c>
      <c r="X79" s="40">
        <f>SUMIFS('센터 자재 사용내역(12월)'!G:G,'센터 자재 사용내역(12월)'!E:E,'사급자재 사용내역'!C79,'센터 자재 사용내역(12월)'!F:F,"신규")+SUMIFS('센터 자재 사용내역(12월)'!G:G,'센터 자재 사용내역(12월)'!E:E,'사급자재 사용내역'!C79,'센터 자재 사용내역(12월)'!F:F,"교체")</f>
        <v>0</v>
      </c>
      <c r="Y79" s="40">
        <f t="shared" si="23"/>
        <v>0</v>
      </c>
      <c r="Z79" s="53"/>
      <c r="AB79" s="56"/>
      <c r="AC79" s="29"/>
      <c r="AD79" s="29"/>
      <c r="AE79" s="29"/>
      <c r="AF79" s="29"/>
      <c r="AG79" s="29"/>
      <c r="AH79" s="29"/>
      <c r="AI79" s="29"/>
      <c r="AJ79" s="29"/>
      <c r="AK79" s="29"/>
      <c r="AL79" s="29"/>
      <c r="AM79" s="29"/>
      <c r="AN79" s="21">
        <f t="shared" si="24"/>
        <v>0</v>
      </c>
      <c r="AO79" s="57"/>
      <c r="AQ79" s="61">
        <f>SUMIFS('센터 자재 사용내역(01월)'!G:G,'센터 자재 사용내역(01월)'!E:E,'사급자재 사용내역'!C79,'센터 자재 사용내역(01월)'!F:F,"불량")</f>
        <v>0</v>
      </c>
      <c r="AR79" s="40">
        <f>SUMIFS('센터 자재 사용내역(02월)'!G:G,'센터 자재 사용내역(02월)'!E:E,'사급자재 사용내역'!C79,'센터 자재 사용내역(02월)'!F:F,"불량")</f>
        <v>0</v>
      </c>
      <c r="AS79" s="40">
        <f>SUMIFS('센터 자재 사용내역(03월)'!G:G,'센터 자재 사용내역(03월)'!E:E,'사급자재 사용내역'!C79,'센터 자재 사용내역(03월)'!F:F,"불량")</f>
        <v>0</v>
      </c>
      <c r="AT79" s="40">
        <f>SUMIFS('센터 자재 사용내역(04월)'!G:G,'센터 자재 사용내역(04월)'!E:E,'사급자재 사용내역'!C79,'센터 자재 사용내역(04월)'!F:F,"불량")</f>
        <v>0</v>
      </c>
      <c r="AU79" s="40">
        <f>SUMIFS('센터 자재 사용내역(05월)'!G:G,'센터 자재 사용내역(05월)'!E:E,'사급자재 사용내역'!C79,'센터 자재 사용내역(05월)'!F:F,"불량")</f>
        <v>0</v>
      </c>
      <c r="AV79" s="40">
        <f>SUMIFS('센터 자재 사용내역(06월)'!G:G,'센터 자재 사용내역(06월)'!E:E,'사급자재 사용내역'!C79,'센터 자재 사용내역(06월)'!F:F,"불량")</f>
        <v>0</v>
      </c>
      <c r="AW79" s="40">
        <f>SUMIFS('센터 자재 사용내역(07월)'!G:G,'센터 자재 사용내역(07월)'!E:E,'사급자재 사용내역'!C79,'센터 자재 사용내역(07월)'!F:F,"불량")</f>
        <v>0</v>
      </c>
      <c r="AX79" s="40">
        <f>SUMIFS('센터 자재 사용내역(08월)'!G:G,'센터 자재 사용내역(08월)'!E:E,'사급자재 사용내역'!C79,'센터 자재 사용내역(08월)'!F:F,"불량")</f>
        <v>0</v>
      </c>
      <c r="AY79" s="40">
        <f>SUMIFS('센터 자재 사용내역(09월)'!G:G,'센터 자재 사용내역(09월)'!E:E,'사급자재 사용내역'!C79,'센터 자재 사용내역(09월)'!F:F,"불량")</f>
        <v>0</v>
      </c>
      <c r="AZ79" s="40">
        <f>SUMIFS('센터 자재 사용내역(10월)'!G:G,'센터 자재 사용내역(10월)'!E:E,'사급자재 사용내역'!C79,'센터 자재 사용내역(10월)'!F:F,"불량")</f>
        <v>0</v>
      </c>
      <c r="BA79" s="40">
        <f>SUMIFS('센터 자재 사용내역(11월)'!G:G,'센터 자재 사용내역(11월)'!E:E,'사급자재 사용내역'!C79,'센터 자재 사용내역(11월)'!F:F,"불량")</f>
        <v>0</v>
      </c>
      <c r="BB79" s="40">
        <f>SUMIFS('센터 자재 사용내역(12월)'!G:G,'센터 자재 사용내역(12월)'!E:E,'사급자재 사용내역'!C79,'센터 자재 사용내역(12월)'!F:F,"불량")</f>
        <v>0</v>
      </c>
      <c r="BC79" s="40">
        <f t="shared" si="19"/>
        <v>0</v>
      </c>
      <c r="BD79" s="62"/>
    </row>
    <row r="80" spans="2:56" ht="19.5" customHeight="1">
      <c r="B80" s="99"/>
      <c r="C80" s="23" t="s">
        <v>56</v>
      </c>
      <c r="D80" s="64" t="s">
        <v>131</v>
      </c>
      <c r="E80" s="67">
        <v>88</v>
      </c>
      <c r="F80" s="47">
        <v>0</v>
      </c>
      <c r="G80" s="46"/>
      <c r="H80" s="78"/>
      <c r="I80" s="90">
        <f t="shared" si="25"/>
        <v>0</v>
      </c>
      <c r="J80" s="89">
        <f t="shared" si="21"/>
        <v>2</v>
      </c>
      <c r="K80" s="78">
        <f t="shared" si="26"/>
        <v>0</v>
      </c>
      <c r="L80" s="84">
        <f t="shared" si="22"/>
        <v>86</v>
      </c>
      <c r="M80" s="79">
        <f>SUMIFS('센터 자재 사용내역(01월)'!G:G,'센터 자재 사용내역(01월)'!E:E,'사급자재 사용내역'!C80,'센터 자재 사용내역(01월)'!F:F,"신규")+SUMIFS('센터 자재 사용내역(01월)'!G:G,'센터 자재 사용내역(01월)'!E:E,'사급자재 사용내역'!C80,'센터 자재 사용내역(01월)'!F:F,"교체")</f>
        <v>1</v>
      </c>
      <c r="N80" s="40">
        <f>SUMIFS('센터 자재 사용내역(02월)'!G:G,'센터 자재 사용내역(02월)'!E:E,'사급자재 사용내역'!C80,'센터 자재 사용내역(02월)'!F:F,"신규")+SUMIFS('센터 자재 사용내역(02월)'!G:G,'센터 자재 사용내역(02월)'!E:E,'사급자재 사용내역'!C80,'센터 자재 사용내역(02월)'!F:F,"교체")</f>
        <v>1</v>
      </c>
      <c r="O80" s="40">
        <f>SUMIFS('센터 자재 사용내역(03월)'!G:G,'센터 자재 사용내역(03월)'!E:E,'사급자재 사용내역'!C80,'센터 자재 사용내역(03월)'!F:F,"신규")+SUMIFS('센터 자재 사용내역(03월)'!G:G,'센터 자재 사용내역(03월)'!E:E,'사급자재 사용내역'!C80,'센터 자재 사용내역(03월)'!F:F,"교체")</f>
        <v>0</v>
      </c>
      <c r="P80" s="40">
        <f>SUMIFS('센터 자재 사용내역(04월)'!G:G,'센터 자재 사용내역(04월)'!E:E,'사급자재 사용내역'!C80,'센터 자재 사용내역(04월)'!F:F,"신규")+SUMIFS('센터 자재 사용내역(04월)'!G:G,'센터 자재 사용내역(04월)'!E:E,'사급자재 사용내역'!C80,'센터 자재 사용내역(04월)'!F:F,"교체")</f>
        <v>0</v>
      </c>
      <c r="Q80" s="40">
        <f>SUMIFS('센터 자재 사용내역(05월)'!G:G,'센터 자재 사용내역(05월)'!E:E,'사급자재 사용내역'!C80,'센터 자재 사용내역(05월)'!F:F,"신규")+SUMIFS('센터 자재 사용내역(05월)'!G:G,'센터 자재 사용내역(05월)'!E:E,'사급자재 사용내역'!C80,'센터 자재 사용내역(05월)'!F:F,"교체")</f>
        <v>0</v>
      </c>
      <c r="R80" s="40">
        <f>SUMIFS('센터 자재 사용내역(06월)'!G:G,'센터 자재 사용내역(06월)'!E:E,'사급자재 사용내역'!C80,'센터 자재 사용내역(06월)'!F:F,"신규")+SUMIFS('센터 자재 사용내역(06월)'!G:G,'센터 자재 사용내역(06월)'!E:E,'사급자재 사용내역'!C80,'센터 자재 사용내역(06월)'!F:F,"교체")</f>
        <v>0</v>
      </c>
      <c r="S80" s="40">
        <f>SUMIFS('센터 자재 사용내역(07월)'!G:G,'센터 자재 사용내역(07월)'!E:E,'사급자재 사용내역'!C80,'센터 자재 사용내역(07월)'!F:F,"신규")+SUMIFS('센터 자재 사용내역(07월)'!G:G,'센터 자재 사용내역(07월)'!E:E,'사급자재 사용내역'!C80,'센터 자재 사용내역(07월)'!F:F,"교체")</f>
        <v>0</v>
      </c>
      <c r="T80" s="40">
        <f>SUMIFS('센터 자재 사용내역(08월)'!G:G,'센터 자재 사용내역(08월)'!E:E,'사급자재 사용내역'!C80,'센터 자재 사용내역(08월)'!F:F,"신규")+SUMIFS('센터 자재 사용내역(08월)'!G:G,'센터 자재 사용내역(08월)'!E:E,'사급자재 사용내역'!C80,'센터 자재 사용내역(08월)'!F:F,"교체")</f>
        <v>0</v>
      </c>
      <c r="U80" s="40">
        <f>SUMIFS('센터 자재 사용내역(09월)'!G:G,'센터 자재 사용내역(09월)'!E:E,'사급자재 사용내역'!C80,'센터 자재 사용내역(09월)'!F:F,"신규")+SUMIFS('센터 자재 사용내역(09월)'!G:G,'센터 자재 사용내역(09월)'!E:E,'사급자재 사용내역'!C80,'센터 자재 사용내역(09월)'!F:F,"교체")</f>
        <v>0</v>
      </c>
      <c r="V80" s="40">
        <f>SUMIFS('센터 자재 사용내역(10월)'!G:G,'센터 자재 사용내역(10월)'!E:E,'사급자재 사용내역'!C80,'센터 자재 사용내역(10월)'!F:F,"신규")+SUMIFS('센터 자재 사용내역(10월)'!G:G,'센터 자재 사용내역(10월)'!E:E,'사급자재 사용내역'!C80,'센터 자재 사용내역(10월)'!F:F,"교체")</f>
        <v>0</v>
      </c>
      <c r="W80" s="40">
        <f>SUMIFS('센터 자재 사용내역(11월)'!G:G,'센터 자재 사용내역(11월)'!E:E,'사급자재 사용내역'!C80,'센터 자재 사용내역(11월)'!F:F,"신규")+SUMIFS('센터 자재 사용내역(11월)'!G:G,'센터 자재 사용내역(11월)'!E:E,'사급자재 사용내역'!C80,'센터 자재 사용내역(11월)'!F:F,"교체")</f>
        <v>0</v>
      </c>
      <c r="X80" s="40">
        <f>SUMIFS('센터 자재 사용내역(12월)'!G:G,'센터 자재 사용내역(12월)'!E:E,'사급자재 사용내역'!C80,'센터 자재 사용내역(12월)'!F:F,"신규")+SUMIFS('센터 자재 사용내역(12월)'!G:G,'센터 자재 사용내역(12월)'!E:E,'사급자재 사용내역'!C80,'센터 자재 사용내역(12월)'!F:F,"교체")</f>
        <v>0</v>
      </c>
      <c r="Y80" s="40">
        <f t="shared" si="23"/>
        <v>2</v>
      </c>
      <c r="Z80" s="53"/>
      <c r="AB80" s="56"/>
      <c r="AC80" s="29"/>
      <c r="AD80" s="29"/>
      <c r="AE80" s="29"/>
      <c r="AF80" s="29"/>
      <c r="AG80" s="29"/>
      <c r="AH80" s="29"/>
      <c r="AI80" s="29"/>
      <c r="AJ80" s="29"/>
      <c r="AK80" s="29"/>
      <c r="AL80" s="29"/>
      <c r="AM80" s="29"/>
      <c r="AN80" s="21">
        <f t="shared" si="24"/>
        <v>0</v>
      </c>
      <c r="AO80" s="57"/>
      <c r="AQ80" s="61">
        <f>SUMIFS('센터 자재 사용내역(01월)'!G:G,'센터 자재 사용내역(01월)'!E:E,'사급자재 사용내역'!C80,'센터 자재 사용내역(01월)'!F:F,"불량")</f>
        <v>0</v>
      </c>
      <c r="AR80" s="40">
        <f>SUMIFS('센터 자재 사용내역(02월)'!G:G,'센터 자재 사용내역(02월)'!E:E,'사급자재 사용내역'!C80,'센터 자재 사용내역(02월)'!F:F,"불량")</f>
        <v>0</v>
      </c>
      <c r="AS80" s="40">
        <f>SUMIFS('센터 자재 사용내역(03월)'!G:G,'센터 자재 사용내역(03월)'!E:E,'사급자재 사용내역'!C80,'센터 자재 사용내역(03월)'!F:F,"불량")</f>
        <v>0</v>
      </c>
      <c r="AT80" s="40">
        <f>SUMIFS('센터 자재 사용내역(04월)'!G:G,'센터 자재 사용내역(04월)'!E:E,'사급자재 사용내역'!C80,'센터 자재 사용내역(04월)'!F:F,"불량")</f>
        <v>0</v>
      </c>
      <c r="AU80" s="40">
        <f>SUMIFS('센터 자재 사용내역(05월)'!G:G,'센터 자재 사용내역(05월)'!E:E,'사급자재 사용내역'!C80,'센터 자재 사용내역(05월)'!F:F,"불량")</f>
        <v>0</v>
      </c>
      <c r="AV80" s="40">
        <f>SUMIFS('센터 자재 사용내역(06월)'!G:G,'센터 자재 사용내역(06월)'!E:E,'사급자재 사용내역'!C80,'센터 자재 사용내역(06월)'!F:F,"불량")</f>
        <v>0</v>
      </c>
      <c r="AW80" s="40">
        <f>SUMIFS('센터 자재 사용내역(07월)'!G:G,'센터 자재 사용내역(07월)'!E:E,'사급자재 사용내역'!C80,'센터 자재 사용내역(07월)'!F:F,"불량")</f>
        <v>0</v>
      </c>
      <c r="AX80" s="40">
        <f>SUMIFS('센터 자재 사용내역(08월)'!G:G,'센터 자재 사용내역(08월)'!E:E,'사급자재 사용내역'!C80,'센터 자재 사용내역(08월)'!F:F,"불량")</f>
        <v>0</v>
      </c>
      <c r="AY80" s="40">
        <f>SUMIFS('센터 자재 사용내역(09월)'!G:G,'센터 자재 사용내역(09월)'!E:E,'사급자재 사용내역'!C80,'센터 자재 사용내역(09월)'!F:F,"불량")</f>
        <v>0</v>
      </c>
      <c r="AZ80" s="40">
        <f>SUMIFS('센터 자재 사용내역(10월)'!G:G,'센터 자재 사용내역(10월)'!E:E,'사급자재 사용내역'!C80,'센터 자재 사용내역(10월)'!F:F,"불량")</f>
        <v>0</v>
      </c>
      <c r="BA80" s="40">
        <f>SUMIFS('센터 자재 사용내역(11월)'!G:G,'센터 자재 사용내역(11월)'!E:E,'사급자재 사용내역'!C80,'센터 자재 사용내역(11월)'!F:F,"불량")</f>
        <v>0</v>
      </c>
      <c r="BB80" s="40">
        <f>SUMIFS('센터 자재 사용내역(12월)'!G:G,'센터 자재 사용내역(12월)'!E:E,'사급자재 사용내역'!C80,'센터 자재 사용내역(12월)'!F:F,"불량")</f>
        <v>0</v>
      </c>
      <c r="BC80" s="40">
        <f t="shared" si="19"/>
        <v>0</v>
      </c>
      <c r="BD80" s="62"/>
    </row>
    <row r="81" spans="2:56" ht="19.5" customHeight="1">
      <c r="B81" s="99"/>
      <c r="C81" s="23" t="s">
        <v>57</v>
      </c>
      <c r="D81" s="64" t="s">
        <v>131</v>
      </c>
      <c r="E81" s="67">
        <v>78</v>
      </c>
      <c r="F81" s="47">
        <v>0</v>
      </c>
      <c r="G81" s="46"/>
      <c r="H81" s="78"/>
      <c r="I81" s="90">
        <f t="shared" si="25"/>
        <v>0</v>
      </c>
      <c r="J81" s="89">
        <f t="shared" ref="J81:J144" si="27">Y81</f>
        <v>5</v>
      </c>
      <c r="K81" s="78">
        <f t="shared" si="26"/>
        <v>0</v>
      </c>
      <c r="L81" s="84">
        <f t="shared" si="22"/>
        <v>73</v>
      </c>
      <c r="M81" s="79">
        <f>SUMIFS('센터 자재 사용내역(01월)'!G:G,'센터 자재 사용내역(01월)'!E:E,'사급자재 사용내역'!C81,'센터 자재 사용내역(01월)'!F:F,"신규")+SUMIFS('센터 자재 사용내역(01월)'!G:G,'센터 자재 사용내역(01월)'!E:E,'사급자재 사용내역'!C81,'센터 자재 사용내역(01월)'!F:F,"교체")</f>
        <v>0</v>
      </c>
      <c r="N81" s="40">
        <f>SUMIFS('센터 자재 사용내역(02월)'!G:G,'센터 자재 사용내역(02월)'!E:E,'사급자재 사용내역'!C81,'센터 자재 사용내역(02월)'!F:F,"신규")+SUMIFS('센터 자재 사용내역(02월)'!G:G,'센터 자재 사용내역(02월)'!E:E,'사급자재 사용내역'!C81,'센터 자재 사용내역(02월)'!F:F,"교체")</f>
        <v>0</v>
      </c>
      <c r="O81" s="40">
        <f>SUMIFS('센터 자재 사용내역(03월)'!G:G,'센터 자재 사용내역(03월)'!E:E,'사급자재 사용내역'!C81,'센터 자재 사용내역(03월)'!F:F,"신규")+SUMIFS('센터 자재 사용내역(03월)'!G:G,'센터 자재 사용내역(03월)'!E:E,'사급자재 사용내역'!C81,'센터 자재 사용내역(03월)'!F:F,"교체")</f>
        <v>2</v>
      </c>
      <c r="P81" s="40">
        <f>SUMIFS('센터 자재 사용내역(04월)'!G:G,'센터 자재 사용내역(04월)'!E:E,'사급자재 사용내역'!C81,'센터 자재 사용내역(04월)'!F:F,"신규")+SUMIFS('센터 자재 사용내역(04월)'!G:G,'센터 자재 사용내역(04월)'!E:E,'사급자재 사용내역'!C81,'센터 자재 사용내역(04월)'!F:F,"교체")</f>
        <v>1</v>
      </c>
      <c r="Q81" s="40">
        <f>SUMIFS('센터 자재 사용내역(05월)'!G:G,'센터 자재 사용내역(05월)'!E:E,'사급자재 사용내역'!C81,'센터 자재 사용내역(05월)'!F:F,"신규")+SUMIFS('센터 자재 사용내역(05월)'!G:G,'센터 자재 사용내역(05월)'!E:E,'사급자재 사용내역'!C81,'센터 자재 사용내역(05월)'!F:F,"교체")</f>
        <v>1</v>
      </c>
      <c r="R81" s="40">
        <f>SUMIFS('센터 자재 사용내역(06월)'!G:G,'센터 자재 사용내역(06월)'!E:E,'사급자재 사용내역'!C81,'센터 자재 사용내역(06월)'!F:F,"신규")+SUMIFS('센터 자재 사용내역(06월)'!G:G,'센터 자재 사용내역(06월)'!E:E,'사급자재 사용내역'!C81,'센터 자재 사용내역(06월)'!F:F,"교체")</f>
        <v>1</v>
      </c>
      <c r="S81" s="40">
        <f>SUMIFS('센터 자재 사용내역(07월)'!G:G,'센터 자재 사용내역(07월)'!E:E,'사급자재 사용내역'!C81,'센터 자재 사용내역(07월)'!F:F,"신규")+SUMIFS('센터 자재 사용내역(07월)'!G:G,'센터 자재 사용내역(07월)'!E:E,'사급자재 사용내역'!C81,'센터 자재 사용내역(07월)'!F:F,"교체")</f>
        <v>0</v>
      </c>
      <c r="T81" s="40">
        <f>SUMIFS('센터 자재 사용내역(08월)'!G:G,'센터 자재 사용내역(08월)'!E:E,'사급자재 사용내역'!C81,'센터 자재 사용내역(08월)'!F:F,"신규")+SUMIFS('센터 자재 사용내역(08월)'!G:G,'센터 자재 사용내역(08월)'!E:E,'사급자재 사용내역'!C81,'센터 자재 사용내역(08월)'!F:F,"교체")</f>
        <v>0</v>
      </c>
      <c r="U81" s="40">
        <f>SUMIFS('센터 자재 사용내역(09월)'!G:G,'센터 자재 사용내역(09월)'!E:E,'사급자재 사용내역'!C81,'센터 자재 사용내역(09월)'!F:F,"신규")+SUMIFS('센터 자재 사용내역(09월)'!G:G,'센터 자재 사용내역(09월)'!E:E,'사급자재 사용내역'!C81,'센터 자재 사용내역(09월)'!F:F,"교체")</f>
        <v>0</v>
      </c>
      <c r="V81" s="40">
        <f>SUMIFS('센터 자재 사용내역(10월)'!G:G,'센터 자재 사용내역(10월)'!E:E,'사급자재 사용내역'!C81,'센터 자재 사용내역(10월)'!F:F,"신규")+SUMIFS('센터 자재 사용내역(10월)'!G:G,'센터 자재 사용내역(10월)'!E:E,'사급자재 사용내역'!C81,'센터 자재 사용내역(10월)'!F:F,"교체")</f>
        <v>0</v>
      </c>
      <c r="W81" s="40">
        <f>SUMIFS('센터 자재 사용내역(11월)'!G:G,'센터 자재 사용내역(11월)'!E:E,'사급자재 사용내역'!C81,'센터 자재 사용내역(11월)'!F:F,"신규")+SUMIFS('센터 자재 사용내역(11월)'!G:G,'센터 자재 사용내역(11월)'!E:E,'사급자재 사용내역'!C81,'센터 자재 사용내역(11월)'!F:F,"교체")</f>
        <v>0</v>
      </c>
      <c r="X81" s="40">
        <f>SUMIFS('센터 자재 사용내역(12월)'!G:G,'센터 자재 사용내역(12월)'!E:E,'사급자재 사용내역'!C81,'센터 자재 사용내역(12월)'!F:F,"신규")+SUMIFS('센터 자재 사용내역(12월)'!G:G,'센터 자재 사용내역(12월)'!E:E,'사급자재 사용내역'!C81,'센터 자재 사용내역(12월)'!F:F,"교체")</f>
        <v>0</v>
      </c>
      <c r="Y81" s="40">
        <f t="shared" si="23"/>
        <v>5</v>
      </c>
      <c r="Z81" s="53"/>
      <c r="AB81" s="56"/>
      <c r="AC81" s="29"/>
      <c r="AD81" s="29"/>
      <c r="AE81" s="29"/>
      <c r="AF81" s="29"/>
      <c r="AG81" s="29"/>
      <c r="AH81" s="29"/>
      <c r="AI81" s="29"/>
      <c r="AJ81" s="29"/>
      <c r="AK81" s="29"/>
      <c r="AL81" s="29"/>
      <c r="AM81" s="29"/>
      <c r="AN81" s="21">
        <f t="shared" si="24"/>
        <v>0</v>
      </c>
      <c r="AO81" s="57"/>
      <c r="AQ81" s="61">
        <f>SUMIFS('센터 자재 사용내역(01월)'!G:G,'센터 자재 사용내역(01월)'!E:E,'사급자재 사용내역'!C81,'센터 자재 사용내역(01월)'!F:F,"불량")</f>
        <v>0</v>
      </c>
      <c r="AR81" s="40">
        <f>SUMIFS('센터 자재 사용내역(02월)'!G:G,'센터 자재 사용내역(02월)'!E:E,'사급자재 사용내역'!C81,'센터 자재 사용내역(02월)'!F:F,"불량")</f>
        <v>0</v>
      </c>
      <c r="AS81" s="40">
        <f>SUMIFS('센터 자재 사용내역(03월)'!G:G,'센터 자재 사용내역(03월)'!E:E,'사급자재 사용내역'!C81,'센터 자재 사용내역(03월)'!F:F,"불량")</f>
        <v>0</v>
      </c>
      <c r="AT81" s="40">
        <f>SUMIFS('센터 자재 사용내역(04월)'!G:G,'센터 자재 사용내역(04월)'!E:E,'사급자재 사용내역'!C81,'센터 자재 사용내역(04월)'!F:F,"불량")</f>
        <v>0</v>
      </c>
      <c r="AU81" s="40">
        <f>SUMIFS('센터 자재 사용내역(05월)'!G:G,'센터 자재 사용내역(05월)'!E:E,'사급자재 사용내역'!C81,'센터 자재 사용내역(05월)'!F:F,"불량")</f>
        <v>0</v>
      </c>
      <c r="AV81" s="40">
        <f>SUMIFS('센터 자재 사용내역(06월)'!G:G,'센터 자재 사용내역(06월)'!E:E,'사급자재 사용내역'!C81,'센터 자재 사용내역(06월)'!F:F,"불량")</f>
        <v>0</v>
      </c>
      <c r="AW81" s="40">
        <f>SUMIFS('센터 자재 사용내역(07월)'!G:G,'센터 자재 사용내역(07월)'!E:E,'사급자재 사용내역'!C81,'센터 자재 사용내역(07월)'!F:F,"불량")</f>
        <v>0</v>
      </c>
      <c r="AX81" s="40">
        <f>SUMIFS('센터 자재 사용내역(08월)'!G:G,'센터 자재 사용내역(08월)'!E:E,'사급자재 사용내역'!C81,'센터 자재 사용내역(08월)'!F:F,"불량")</f>
        <v>0</v>
      </c>
      <c r="AY81" s="40">
        <f>SUMIFS('센터 자재 사용내역(09월)'!G:G,'센터 자재 사용내역(09월)'!E:E,'사급자재 사용내역'!C81,'센터 자재 사용내역(09월)'!F:F,"불량")</f>
        <v>0</v>
      </c>
      <c r="AZ81" s="40">
        <f>SUMIFS('센터 자재 사용내역(10월)'!G:G,'센터 자재 사용내역(10월)'!E:E,'사급자재 사용내역'!C81,'센터 자재 사용내역(10월)'!F:F,"불량")</f>
        <v>0</v>
      </c>
      <c r="BA81" s="40">
        <f>SUMIFS('센터 자재 사용내역(11월)'!G:G,'센터 자재 사용내역(11월)'!E:E,'사급자재 사용내역'!C81,'센터 자재 사용내역(11월)'!F:F,"불량")</f>
        <v>0</v>
      </c>
      <c r="BB81" s="40">
        <f>SUMIFS('센터 자재 사용내역(12월)'!G:G,'센터 자재 사용내역(12월)'!E:E,'사급자재 사용내역'!C81,'센터 자재 사용내역(12월)'!F:F,"불량")</f>
        <v>0</v>
      </c>
      <c r="BC81" s="40">
        <f t="shared" si="19"/>
        <v>0</v>
      </c>
      <c r="BD81" s="62"/>
    </row>
    <row r="82" spans="2:56" ht="19.5" customHeight="1">
      <c r="B82" s="99"/>
      <c r="C82" s="23" t="s">
        <v>58</v>
      </c>
      <c r="D82" s="64" t="s">
        <v>132</v>
      </c>
      <c r="E82" s="67">
        <v>88</v>
      </c>
      <c r="F82" s="47">
        <v>0</v>
      </c>
      <c r="G82" s="46"/>
      <c r="H82" s="78"/>
      <c r="I82" s="90">
        <f t="shared" si="25"/>
        <v>0</v>
      </c>
      <c r="J82" s="89">
        <f t="shared" si="27"/>
        <v>0</v>
      </c>
      <c r="K82" s="78">
        <f t="shared" si="26"/>
        <v>0</v>
      </c>
      <c r="L82" s="84">
        <f t="shared" si="22"/>
        <v>88</v>
      </c>
      <c r="M82" s="79">
        <f>SUMIFS('센터 자재 사용내역(01월)'!G:G,'센터 자재 사용내역(01월)'!E:E,'사급자재 사용내역'!C82,'센터 자재 사용내역(01월)'!F:F,"신규")+SUMIFS('센터 자재 사용내역(01월)'!G:G,'센터 자재 사용내역(01월)'!E:E,'사급자재 사용내역'!C82,'센터 자재 사용내역(01월)'!F:F,"교체")</f>
        <v>0</v>
      </c>
      <c r="N82" s="40">
        <f>SUMIFS('센터 자재 사용내역(02월)'!G:G,'센터 자재 사용내역(02월)'!E:E,'사급자재 사용내역'!C82,'센터 자재 사용내역(02월)'!F:F,"신규")+SUMIFS('센터 자재 사용내역(02월)'!G:G,'센터 자재 사용내역(02월)'!E:E,'사급자재 사용내역'!C82,'센터 자재 사용내역(02월)'!F:F,"교체")</f>
        <v>0</v>
      </c>
      <c r="O82" s="40">
        <f>SUMIFS('센터 자재 사용내역(03월)'!G:G,'센터 자재 사용내역(03월)'!E:E,'사급자재 사용내역'!C82,'센터 자재 사용내역(03월)'!F:F,"신규")+SUMIFS('센터 자재 사용내역(03월)'!G:G,'센터 자재 사용내역(03월)'!E:E,'사급자재 사용내역'!C82,'센터 자재 사용내역(03월)'!F:F,"교체")</f>
        <v>0</v>
      </c>
      <c r="P82" s="40">
        <f>SUMIFS('센터 자재 사용내역(04월)'!G:G,'센터 자재 사용내역(04월)'!E:E,'사급자재 사용내역'!C82,'센터 자재 사용내역(04월)'!F:F,"신규")+SUMIFS('센터 자재 사용내역(04월)'!G:G,'센터 자재 사용내역(04월)'!E:E,'사급자재 사용내역'!C82,'센터 자재 사용내역(04월)'!F:F,"교체")</f>
        <v>0</v>
      </c>
      <c r="Q82" s="40">
        <f>SUMIFS('센터 자재 사용내역(05월)'!G:G,'센터 자재 사용내역(05월)'!E:E,'사급자재 사용내역'!C82,'센터 자재 사용내역(05월)'!F:F,"신규")+SUMIFS('센터 자재 사용내역(05월)'!G:G,'센터 자재 사용내역(05월)'!E:E,'사급자재 사용내역'!C82,'센터 자재 사용내역(05월)'!F:F,"교체")</f>
        <v>0</v>
      </c>
      <c r="R82" s="40">
        <f>SUMIFS('센터 자재 사용내역(06월)'!G:G,'센터 자재 사용내역(06월)'!E:E,'사급자재 사용내역'!C82,'센터 자재 사용내역(06월)'!F:F,"신규")+SUMIFS('센터 자재 사용내역(06월)'!G:G,'센터 자재 사용내역(06월)'!E:E,'사급자재 사용내역'!C82,'센터 자재 사용내역(06월)'!F:F,"교체")</f>
        <v>0</v>
      </c>
      <c r="S82" s="40">
        <f>SUMIFS('센터 자재 사용내역(07월)'!G:G,'센터 자재 사용내역(07월)'!E:E,'사급자재 사용내역'!C82,'센터 자재 사용내역(07월)'!F:F,"신규")+SUMIFS('센터 자재 사용내역(07월)'!G:G,'센터 자재 사용내역(07월)'!E:E,'사급자재 사용내역'!C82,'센터 자재 사용내역(07월)'!F:F,"교체")</f>
        <v>0</v>
      </c>
      <c r="T82" s="40">
        <f>SUMIFS('센터 자재 사용내역(08월)'!G:G,'센터 자재 사용내역(08월)'!E:E,'사급자재 사용내역'!C82,'센터 자재 사용내역(08월)'!F:F,"신규")+SUMIFS('센터 자재 사용내역(08월)'!G:G,'센터 자재 사용내역(08월)'!E:E,'사급자재 사용내역'!C82,'센터 자재 사용내역(08월)'!F:F,"교체")</f>
        <v>0</v>
      </c>
      <c r="U82" s="40">
        <f>SUMIFS('센터 자재 사용내역(09월)'!G:G,'센터 자재 사용내역(09월)'!E:E,'사급자재 사용내역'!C82,'센터 자재 사용내역(09월)'!F:F,"신규")+SUMIFS('센터 자재 사용내역(09월)'!G:G,'센터 자재 사용내역(09월)'!E:E,'사급자재 사용내역'!C82,'센터 자재 사용내역(09월)'!F:F,"교체")</f>
        <v>0</v>
      </c>
      <c r="V82" s="40">
        <f>SUMIFS('센터 자재 사용내역(10월)'!G:G,'센터 자재 사용내역(10월)'!E:E,'사급자재 사용내역'!C82,'센터 자재 사용내역(10월)'!F:F,"신규")+SUMIFS('센터 자재 사용내역(10월)'!G:G,'센터 자재 사용내역(10월)'!E:E,'사급자재 사용내역'!C82,'센터 자재 사용내역(10월)'!F:F,"교체")</f>
        <v>0</v>
      </c>
      <c r="W82" s="40">
        <f>SUMIFS('센터 자재 사용내역(11월)'!G:G,'센터 자재 사용내역(11월)'!E:E,'사급자재 사용내역'!C82,'센터 자재 사용내역(11월)'!F:F,"신규")+SUMIFS('센터 자재 사용내역(11월)'!G:G,'센터 자재 사용내역(11월)'!E:E,'사급자재 사용내역'!C82,'센터 자재 사용내역(11월)'!F:F,"교체")</f>
        <v>0</v>
      </c>
      <c r="X82" s="40">
        <f>SUMIFS('센터 자재 사용내역(12월)'!G:G,'센터 자재 사용내역(12월)'!E:E,'사급자재 사용내역'!C82,'센터 자재 사용내역(12월)'!F:F,"신규")+SUMIFS('센터 자재 사용내역(12월)'!G:G,'센터 자재 사용내역(12월)'!E:E,'사급자재 사용내역'!C82,'센터 자재 사용내역(12월)'!F:F,"교체")</f>
        <v>0</v>
      </c>
      <c r="Y82" s="40">
        <f t="shared" si="23"/>
        <v>0</v>
      </c>
      <c r="Z82" s="53"/>
      <c r="AB82" s="56"/>
      <c r="AC82" s="29"/>
      <c r="AD82" s="29"/>
      <c r="AE82" s="29"/>
      <c r="AF82" s="29"/>
      <c r="AG82" s="29"/>
      <c r="AH82" s="29"/>
      <c r="AI82" s="29"/>
      <c r="AJ82" s="29"/>
      <c r="AK82" s="29"/>
      <c r="AL82" s="29"/>
      <c r="AM82" s="29"/>
      <c r="AN82" s="21">
        <f t="shared" si="24"/>
        <v>0</v>
      </c>
      <c r="AO82" s="57"/>
      <c r="AQ82" s="61">
        <f>SUMIFS('센터 자재 사용내역(01월)'!G:G,'센터 자재 사용내역(01월)'!E:E,'사급자재 사용내역'!C82,'센터 자재 사용내역(01월)'!F:F,"불량")</f>
        <v>0</v>
      </c>
      <c r="AR82" s="40">
        <f>SUMIFS('센터 자재 사용내역(02월)'!G:G,'센터 자재 사용내역(02월)'!E:E,'사급자재 사용내역'!C82,'센터 자재 사용내역(02월)'!F:F,"불량")</f>
        <v>0</v>
      </c>
      <c r="AS82" s="40">
        <f>SUMIFS('센터 자재 사용내역(03월)'!G:G,'센터 자재 사용내역(03월)'!E:E,'사급자재 사용내역'!C82,'센터 자재 사용내역(03월)'!F:F,"불량")</f>
        <v>0</v>
      </c>
      <c r="AT82" s="40">
        <f>SUMIFS('센터 자재 사용내역(04월)'!G:G,'센터 자재 사용내역(04월)'!E:E,'사급자재 사용내역'!C82,'센터 자재 사용내역(04월)'!F:F,"불량")</f>
        <v>0</v>
      </c>
      <c r="AU82" s="40">
        <f>SUMIFS('센터 자재 사용내역(05월)'!G:G,'센터 자재 사용내역(05월)'!E:E,'사급자재 사용내역'!C82,'센터 자재 사용내역(05월)'!F:F,"불량")</f>
        <v>0</v>
      </c>
      <c r="AV82" s="40">
        <f>SUMIFS('센터 자재 사용내역(06월)'!G:G,'센터 자재 사용내역(06월)'!E:E,'사급자재 사용내역'!C82,'센터 자재 사용내역(06월)'!F:F,"불량")</f>
        <v>0</v>
      </c>
      <c r="AW82" s="40">
        <f>SUMIFS('센터 자재 사용내역(07월)'!G:G,'센터 자재 사용내역(07월)'!E:E,'사급자재 사용내역'!C82,'센터 자재 사용내역(07월)'!F:F,"불량")</f>
        <v>0</v>
      </c>
      <c r="AX82" s="40">
        <f>SUMIFS('센터 자재 사용내역(08월)'!G:G,'센터 자재 사용내역(08월)'!E:E,'사급자재 사용내역'!C82,'센터 자재 사용내역(08월)'!F:F,"불량")</f>
        <v>0</v>
      </c>
      <c r="AY82" s="40">
        <f>SUMIFS('센터 자재 사용내역(09월)'!G:G,'센터 자재 사용내역(09월)'!E:E,'사급자재 사용내역'!C82,'센터 자재 사용내역(09월)'!F:F,"불량")</f>
        <v>0</v>
      </c>
      <c r="AZ82" s="40">
        <f>SUMIFS('센터 자재 사용내역(10월)'!G:G,'센터 자재 사용내역(10월)'!E:E,'사급자재 사용내역'!C82,'센터 자재 사용내역(10월)'!F:F,"불량")</f>
        <v>0</v>
      </c>
      <c r="BA82" s="40">
        <f>SUMIFS('센터 자재 사용내역(11월)'!G:G,'센터 자재 사용내역(11월)'!E:E,'사급자재 사용내역'!C82,'센터 자재 사용내역(11월)'!F:F,"불량")</f>
        <v>0</v>
      </c>
      <c r="BB82" s="40">
        <f>SUMIFS('센터 자재 사용내역(12월)'!G:G,'센터 자재 사용내역(12월)'!E:E,'사급자재 사용내역'!C82,'센터 자재 사용내역(12월)'!F:F,"불량")</f>
        <v>0</v>
      </c>
      <c r="BC82" s="40">
        <f t="shared" si="19"/>
        <v>0</v>
      </c>
      <c r="BD82" s="62"/>
    </row>
    <row r="83" spans="2:56" ht="19.5" customHeight="1">
      <c r="B83" s="99"/>
      <c r="C83" s="23" t="s">
        <v>59</v>
      </c>
      <c r="D83" s="64" t="s">
        <v>131</v>
      </c>
      <c r="E83" s="67">
        <v>29</v>
      </c>
      <c r="F83" s="47">
        <v>0</v>
      </c>
      <c r="G83" s="46"/>
      <c r="H83" s="78"/>
      <c r="I83" s="90">
        <f t="shared" si="25"/>
        <v>0</v>
      </c>
      <c r="J83" s="89">
        <f t="shared" si="27"/>
        <v>6</v>
      </c>
      <c r="K83" s="78">
        <f t="shared" si="26"/>
        <v>0</v>
      </c>
      <c r="L83" s="84">
        <f t="shared" si="22"/>
        <v>23</v>
      </c>
      <c r="M83" s="79">
        <f>SUMIFS('센터 자재 사용내역(01월)'!G:G,'센터 자재 사용내역(01월)'!E:E,'사급자재 사용내역'!C83,'센터 자재 사용내역(01월)'!F:F,"신규")+SUMIFS('센터 자재 사용내역(01월)'!G:G,'센터 자재 사용내역(01월)'!E:E,'사급자재 사용내역'!C83,'센터 자재 사용내역(01월)'!F:F,"교체")</f>
        <v>1</v>
      </c>
      <c r="N83" s="40">
        <f>SUMIFS('센터 자재 사용내역(02월)'!G:G,'센터 자재 사용내역(02월)'!E:E,'사급자재 사용내역'!C83,'센터 자재 사용내역(02월)'!F:F,"신규")+SUMIFS('센터 자재 사용내역(02월)'!G:G,'센터 자재 사용내역(02월)'!E:E,'사급자재 사용내역'!C83,'센터 자재 사용내역(02월)'!F:F,"교체")</f>
        <v>0</v>
      </c>
      <c r="O83" s="40">
        <f>SUMIFS('센터 자재 사용내역(03월)'!G:G,'센터 자재 사용내역(03월)'!E:E,'사급자재 사용내역'!C83,'센터 자재 사용내역(03월)'!F:F,"신규")+SUMIFS('센터 자재 사용내역(03월)'!G:G,'센터 자재 사용내역(03월)'!E:E,'사급자재 사용내역'!C83,'센터 자재 사용내역(03월)'!F:F,"교체")</f>
        <v>2</v>
      </c>
      <c r="P83" s="40">
        <f>SUMIFS('센터 자재 사용내역(04월)'!G:G,'센터 자재 사용내역(04월)'!E:E,'사급자재 사용내역'!C83,'센터 자재 사용내역(04월)'!F:F,"신규")+SUMIFS('센터 자재 사용내역(04월)'!G:G,'센터 자재 사용내역(04월)'!E:E,'사급자재 사용내역'!C83,'센터 자재 사용내역(04월)'!F:F,"교체")</f>
        <v>2</v>
      </c>
      <c r="Q83" s="40">
        <f>SUMIFS('센터 자재 사용내역(05월)'!G:G,'센터 자재 사용내역(05월)'!E:E,'사급자재 사용내역'!C83,'센터 자재 사용내역(05월)'!F:F,"신규")+SUMIFS('센터 자재 사용내역(05월)'!G:G,'센터 자재 사용내역(05월)'!E:E,'사급자재 사용내역'!C83,'센터 자재 사용내역(05월)'!F:F,"교체")</f>
        <v>0</v>
      </c>
      <c r="R83" s="40">
        <f>SUMIFS('센터 자재 사용내역(06월)'!G:G,'센터 자재 사용내역(06월)'!E:E,'사급자재 사용내역'!C83,'센터 자재 사용내역(06월)'!F:F,"신규")+SUMIFS('센터 자재 사용내역(06월)'!G:G,'센터 자재 사용내역(06월)'!E:E,'사급자재 사용내역'!C83,'센터 자재 사용내역(06월)'!F:F,"교체")</f>
        <v>0</v>
      </c>
      <c r="S83" s="40">
        <f>SUMIFS('센터 자재 사용내역(07월)'!G:G,'센터 자재 사용내역(07월)'!E:E,'사급자재 사용내역'!C83,'센터 자재 사용내역(07월)'!F:F,"신규")+SUMIFS('센터 자재 사용내역(07월)'!G:G,'센터 자재 사용내역(07월)'!E:E,'사급자재 사용내역'!C83,'센터 자재 사용내역(07월)'!F:F,"교체")</f>
        <v>1</v>
      </c>
      <c r="T83" s="40">
        <f>SUMIFS('센터 자재 사용내역(08월)'!G:G,'센터 자재 사용내역(08월)'!E:E,'사급자재 사용내역'!C83,'센터 자재 사용내역(08월)'!F:F,"신규")+SUMIFS('센터 자재 사용내역(08월)'!G:G,'센터 자재 사용내역(08월)'!E:E,'사급자재 사용내역'!C83,'센터 자재 사용내역(08월)'!F:F,"교체")</f>
        <v>0</v>
      </c>
      <c r="U83" s="40">
        <f>SUMIFS('센터 자재 사용내역(09월)'!G:G,'센터 자재 사용내역(09월)'!E:E,'사급자재 사용내역'!C83,'센터 자재 사용내역(09월)'!F:F,"신규")+SUMIFS('센터 자재 사용내역(09월)'!G:G,'센터 자재 사용내역(09월)'!E:E,'사급자재 사용내역'!C83,'센터 자재 사용내역(09월)'!F:F,"교체")</f>
        <v>0</v>
      </c>
      <c r="V83" s="40">
        <f>SUMIFS('센터 자재 사용내역(10월)'!G:G,'센터 자재 사용내역(10월)'!E:E,'사급자재 사용내역'!C83,'센터 자재 사용내역(10월)'!F:F,"신규")+SUMIFS('센터 자재 사용내역(10월)'!G:G,'센터 자재 사용내역(10월)'!E:E,'사급자재 사용내역'!C83,'센터 자재 사용내역(10월)'!F:F,"교체")</f>
        <v>0</v>
      </c>
      <c r="W83" s="40">
        <f>SUMIFS('센터 자재 사용내역(11월)'!G:G,'센터 자재 사용내역(11월)'!E:E,'사급자재 사용내역'!C83,'센터 자재 사용내역(11월)'!F:F,"신규")+SUMIFS('센터 자재 사용내역(11월)'!G:G,'센터 자재 사용내역(11월)'!E:E,'사급자재 사용내역'!C83,'센터 자재 사용내역(11월)'!F:F,"교체")</f>
        <v>0</v>
      </c>
      <c r="X83" s="40">
        <f>SUMIFS('센터 자재 사용내역(12월)'!G:G,'센터 자재 사용내역(12월)'!E:E,'사급자재 사용내역'!C83,'센터 자재 사용내역(12월)'!F:F,"신규")+SUMIFS('센터 자재 사용내역(12월)'!G:G,'센터 자재 사용내역(12월)'!E:E,'사급자재 사용내역'!C83,'센터 자재 사용내역(12월)'!F:F,"교체")</f>
        <v>0</v>
      </c>
      <c r="Y83" s="40">
        <f t="shared" si="23"/>
        <v>6</v>
      </c>
      <c r="Z83" s="53"/>
      <c r="AB83" s="56"/>
      <c r="AC83" s="29"/>
      <c r="AD83" s="29"/>
      <c r="AE83" s="29"/>
      <c r="AF83" s="29"/>
      <c r="AG83" s="29"/>
      <c r="AH83" s="29"/>
      <c r="AI83" s="29"/>
      <c r="AJ83" s="29"/>
      <c r="AK83" s="29"/>
      <c r="AL83" s="29"/>
      <c r="AM83" s="29"/>
      <c r="AN83" s="21">
        <f t="shared" si="24"/>
        <v>0</v>
      </c>
      <c r="AO83" s="57"/>
      <c r="AQ83" s="61">
        <f>SUMIFS('센터 자재 사용내역(01월)'!G:G,'센터 자재 사용내역(01월)'!E:E,'사급자재 사용내역'!C83,'센터 자재 사용내역(01월)'!F:F,"불량")</f>
        <v>0</v>
      </c>
      <c r="AR83" s="40">
        <f>SUMIFS('센터 자재 사용내역(02월)'!G:G,'센터 자재 사용내역(02월)'!E:E,'사급자재 사용내역'!C83,'센터 자재 사용내역(02월)'!F:F,"불량")</f>
        <v>0</v>
      </c>
      <c r="AS83" s="40">
        <f>SUMIFS('센터 자재 사용내역(03월)'!G:G,'센터 자재 사용내역(03월)'!E:E,'사급자재 사용내역'!C83,'센터 자재 사용내역(03월)'!F:F,"불량")</f>
        <v>0</v>
      </c>
      <c r="AT83" s="40">
        <f>SUMIFS('센터 자재 사용내역(04월)'!G:G,'센터 자재 사용내역(04월)'!E:E,'사급자재 사용내역'!C83,'센터 자재 사용내역(04월)'!F:F,"불량")</f>
        <v>0</v>
      </c>
      <c r="AU83" s="40">
        <f>SUMIFS('센터 자재 사용내역(05월)'!G:G,'센터 자재 사용내역(05월)'!E:E,'사급자재 사용내역'!C83,'센터 자재 사용내역(05월)'!F:F,"불량")</f>
        <v>0</v>
      </c>
      <c r="AV83" s="40">
        <f>SUMIFS('센터 자재 사용내역(06월)'!G:G,'센터 자재 사용내역(06월)'!E:E,'사급자재 사용내역'!C83,'센터 자재 사용내역(06월)'!F:F,"불량")</f>
        <v>0</v>
      </c>
      <c r="AW83" s="40">
        <f>SUMIFS('센터 자재 사용내역(07월)'!G:G,'센터 자재 사용내역(07월)'!E:E,'사급자재 사용내역'!C83,'센터 자재 사용내역(07월)'!F:F,"불량")</f>
        <v>0</v>
      </c>
      <c r="AX83" s="40">
        <f>SUMIFS('센터 자재 사용내역(08월)'!G:G,'센터 자재 사용내역(08월)'!E:E,'사급자재 사용내역'!C83,'센터 자재 사용내역(08월)'!F:F,"불량")</f>
        <v>0</v>
      </c>
      <c r="AY83" s="40">
        <f>SUMIFS('센터 자재 사용내역(09월)'!G:G,'센터 자재 사용내역(09월)'!E:E,'사급자재 사용내역'!C83,'센터 자재 사용내역(09월)'!F:F,"불량")</f>
        <v>0</v>
      </c>
      <c r="AZ83" s="40">
        <f>SUMIFS('센터 자재 사용내역(10월)'!G:G,'센터 자재 사용내역(10월)'!E:E,'사급자재 사용내역'!C83,'센터 자재 사용내역(10월)'!F:F,"불량")</f>
        <v>0</v>
      </c>
      <c r="BA83" s="40">
        <f>SUMIFS('센터 자재 사용내역(11월)'!G:G,'센터 자재 사용내역(11월)'!E:E,'사급자재 사용내역'!C83,'센터 자재 사용내역(11월)'!F:F,"불량")</f>
        <v>0</v>
      </c>
      <c r="BB83" s="40">
        <f>SUMIFS('센터 자재 사용내역(12월)'!G:G,'센터 자재 사용내역(12월)'!E:E,'사급자재 사용내역'!C83,'센터 자재 사용내역(12월)'!F:F,"불량")</f>
        <v>0</v>
      </c>
      <c r="BC83" s="40">
        <f t="shared" si="19"/>
        <v>0</v>
      </c>
      <c r="BD83" s="62"/>
    </row>
    <row r="84" spans="2:56" ht="19.5" customHeight="1">
      <c r="B84" s="100"/>
      <c r="C84" s="23"/>
      <c r="D84" s="64" t="s">
        <v>130</v>
      </c>
      <c r="E84" s="67">
        <v>0</v>
      </c>
      <c r="F84" s="47">
        <v>0</v>
      </c>
      <c r="G84" s="46"/>
      <c r="H84" s="78"/>
      <c r="I84" s="90">
        <f t="shared" si="25"/>
        <v>0</v>
      </c>
      <c r="J84" s="89">
        <f t="shared" si="27"/>
        <v>0</v>
      </c>
      <c r="K84" s="78">
        <f t="shared" si="26"/>
        <v>0</v>
      </c>
      <c r="L84" s="84">
        <f t="shared" si="22"/>
        <v>0</v>
      </c>
      <c r="M84" s="79">
        <f>SUMIFS('센터 자재 사용내역(01월)'!G:G,'센터 자재 사용내역(01월)'!E:E,'사급자재 사용내역'!C84,'센터 자재 사용내역(01월)'!F:F,"신규")+SUMIFS('센터 자재 사용내역(01월)'!G:G,'센터 자재 사용내역(01월)'!E:E,'사급자재 사용내역'!C84,'센터 자재 사용내역(01월)'!F:F,"교체")</f>
        <v>0</v>
      </c>
      <c r="N84" s="40">
        <f>SUMIFS('센터 자재 사용내역(02월)'!G:G,'센터 자재 사용내역(02월)'!E:E,'사급자재 사용내역'!C84,'센터 자재 사용내역(02월)'!F:F,"신규")+SUMIFS('센터 자재 사용내역(02월)'!G:G,'센터 자재 사용내역(02월)'!E:E,'사급자재 사용내역'!C84,'센터 자재 사용내역(02월)'!F:F,"교체")</f>
        <v>0</v>
      </c>
      <c r="O84" s="40">
        <f>SUMIFS('센터 자재 사용내역(03월)'!G:G,'센터 자재 사용내역(03월)'!E:E,'사급자재 사용내역'!C84,'센터 자재 사용내역(03월)'!F:F,"신규")+SUMIFS('센터 자재 사용내역(03월)'!G:G,'센터 자재 사용내역(03월)'!E:E,'사급자재 사용내역'!C84,'센터 자재 사용내역(03월)'!F:F,"교체")</f>
        <v>0</v>
      </c>
      <c r="P84" s="40">
        <f>SUMIFS('센터 자재 사용내역(04월)'!G:G,'센터 자재 사용내역(04월)'!E:E,'사급자재 사용내역'!C84,'센터 자재 사용내역(04월)'!F:F,"신규")+SUMIFS('센터 자재 사용내역(04월)'!G:G,'센터 자재 사용내역(04월)'!E:E,'사급자재 사용내역'!C84,'센터 자재 사용내역(04월)'!F:F,"교체")</f>
        <v>0</v>
      </c>
      <c r="Q84" s="40">
        <f>SUMIFS('센터 자재 사용내역(05월)'!G:G,'센터 자재 사용내역(05월)'!E:E,'사급자재 사용내역'!C84,'센터 자재 사용내역(05월)'!F:F,"신규")+SUMIFS('센터 자재 사용내역(05월)'!G:G,'센터 자재 사용내역(05월)'!E:E,'사급자재 사용내역'!C84,'센터 자재 사용내역(05월)'!F:F,"교체")</f>
        <v>0</v>
      </c>
      <c r="R84" s="40">
        <f>SUMIFS('센터 자재 사용내역(06월)'!G:G,'센터 자재 사용내역(06월)'!E:E,'사급자재 사용내역'!C84,'센터 자재 사용내역(06월)'!F:F,"신규")+SUMIFS('센터 자재 사용내역(06월)'!G:G,'센터 자재 사용내역(06월)'!E:E,'사급자재 사용내역'!C84,'센터 자재 사용내역(06월)'!F:F,"교체")</f>
        <v>0</v>
      </c>
      <c r="S84" s="40">
        <f>SUMIFS('센터 자재 사용내역(07월)'!G:G,'센터 자재 사용내역(07월)'!E:E,'사급자재 사용내역'!C84,'센터 자재 사용내역(07월)'!F:F,"신규")+SUMIFS('센터 자재 사용내역(07월)'!G:G,'센터 자재 사용내역(07월)'!E:E,'사급자재 사용내역'!C84,'센터 자재 사용내역(07월)'!F:F,"교체")</f>
        <v>0</v>
      </c>
      <c r="T84" s="40">
        <f>SUMIFS('센터 자재 사용내역(08월)'!G:G,'센터 자재 사용내역(08월)'!E:E,'사급자재 사용내역'!C84,'센터 자재 사용내역(08월)'!F:F,"신규")+SUMIFS('센터 자재 사용내역(08월)'!G:G,'센터 자재 사용내역(08월)'!E:E,'사급자재 사용내역'!C84,'센터 자재 사용내역(08월)'!F:F,"교체")</f>
        <v>0</v>
      </c>
      <c r="U84" s="40">
        <f>SUMIFS('센터 자재 사용내역(09월)'!G:G,'센터 자재 사용내역(09월)'!E:E,'사급자재 사용내역'!C84,'센터 자재 사용내역(09월)'!F:F,"신규")+SUMIFS('센터 자재 사용내역(09월)'!G:G,'센터 자재 사용내역(09월)'!E:E,'사급자재 사용내역'!C84,'센터 자재 사용내역(09월)'!F:F,"교체")</f>
        <v>0</v>
      </c>
      <c r="V84" s="40">
        <f>SUMIFS('센터 자재 사용내역(10월)'!G:G,'센터 자재 사용내역(10월)'!E:E,'사급자재 사용내역'!C84,'센터 자재 사용내역(10월)'!F:F,"신규")+SUMIFS('센터 자재 사용내역(10월)'!G:G,'센터 자재 사용내역(10월)'!E:E,'사급자재 사용내역'!C84,'센터 자재 사용내역(10월)'!F:F,"교체")</f>
        <v>0</v>
      </c>
      <c r="W84" s="40">
        <f>SUMIFS('센터 자재 사용내역(11월)'!G:G,'센터 자재 사용내역(11월)'!E:E,'사급자재 사용내역'!C84,'센터 자재 사용내역(11월)'!F:F,"신규")+SUMIFS('센터 자재 사용내역(11월)'!G:G,'센터 자재 사용내역(11월)'!E:E,'사급자재 사용내역'!C84,'센터 자재 사용내역(11월)'!F:F,"교체")</f>
        <v>0</v>
      </c>
      <c r="X84" s="40">
        <f>SUMIFS('센터 자재 사용내역(12월)'!G:G,'센터 자재 사용내역(12월)'!E:E,'사급자재 사용내역'!C84,'센터 자재 사용내역(12월)'!F:F,"신규")+SUMIFS('센터 자재 사용내역(12월)'!G:G,'센터 자재 사용내역(12월)'!E:E,'사급자재 사용내역'!C84,'센터 자재 사용내역(12월)'!F:F,"교체")</f>
        <v>0</v>
      </c>
      <c r="Y84" s="40">
        <f t="shared" si="23"/>
        <v>0</v>
      </c>
      <c r="Z84" s="53"/>
      <c r="AB84" s="56"/>
      <c r="AC84" s="29"/>
      <c r="AD84" s="29"/>
      <c r="AE84" s="29"/>
      <c r="AF84" s="29"/>
      <c r="AG84" s="29"/>
      <c r="AH84" s="29"/>
      <c r="AI84" s="29"/>
      <c r="AJ84" s="29"/>
      <c r="AK84" s="29"/>
      <c r="AL84" s="29"/>
      <c r="AM84" s="29"/>
      <c r="AN84" s="21">
        <f t="shared" si="24"/>
        <v>0</v>
      </c>
      <c r="AO84" s="57"/>
      <c r="AQ84" s="61">
        <f>SUMIFS('센터 자재 사용내역(01월)'!G:G,'센터 자재 사용내역(01월)'!E:E,'사급자재 사용내역'!C84,'센터 자재 사용내역(01월)'!F:F,"불량")</f>
        <v>0</v>
      </c>
      <c r="AR84" s="40">
        <f>SUMIFS('센터 자재 사용내역(02월)'!G:G,'센터 자재 사용내역(02월)'!E:E,'사급자재 사용내역'!C84,'센터 자재 사용내역(02월)'!F:F,"불량")</f>
        <v>0</v>
      </c>
      <c r="AS84" s="40">
        <f>SUMIFS('센터 자재 사용내역(03월)'!G:G,'센터 자재 사용내역(03월)'!E:E,'사급자재 사용내역'!C84,'센터 자재 사용내역(03월)'!F:F,"불량")</f>
        <v>0</v>
      </c>
      <c r="AT84" s="40">
        <f>SUMIFS('센터 자재 사용내역(04월)'!G:G,'센터 자재 사용내역(04월)'!E:E,'사급자재 사용내역'!C84,'센터 자재 사용내역(04월)'!F:F,"불량")</f>
        <v>0</v>
      </c>
      <c r="AU84" s="40">
        <f>SUMIFS('센터 자재 사용내역(05월)'!G:G,'센터 자재 사용내역(05월)'!E:E,'사급자재 사용내역'!C84,'센터 자재 사용내역(05월)'!F:F,"불량")</f>
        <v>0</v>
      </c>
      <c r="AV84" s="40">
        <f>SUMIFS('센터 자재 사용내역(06월)'!G:G,'센터 자재 사용내역(06월)'!E:E,'사급자재 사용내역'!C84,'센터 자재 사용내역(06월)'!F:F,"불량")</f>
        <v>0</v>
      </c>
      <c r="AW84" s="40">
        <f>SUMIFS('센터 자재 사용내역(07월)'!G:G,'센터 자재 사용내역(07월)'!E:E,'사급자재 사용내역'!C84,'센터 자재 사용내역(07월)'!F:F,"불량")</f>
        <v>0</v>
      </c>
      <c r="AX84" s="40">
        <f>SUMIFS('센터 자재 사용내역(08월)'!G:G,'센터 자재 사용내역(08월)'!E:E,'사급자재 사용내역'!C84,'센터 자재 사용내역(08월)'!F:F,"불량")</f>
        <v>0</v>
      </c>
      <c r="AY84" s="40">
        <f>SUMIFS('센터 자재 사용내역(09월)'!G:G,'센터 자재 사용내역(09월)'!E:E,'사급자재 사용내역'!C84,'센터 자재 사용내역(09월)'!F:F,"불량")</f>
        <v>0</v>
      </c>
      <c r="AZ84" s="40">
        <f>SUMIFS('센터 자재 사용내역(10월)'!G:G,'센터 자재 사용내역(10월)'!E:E,'사급자재 사용내역'!C84,'센터 자재 사용내역(10월)'!F:F,"불량")</f>
        <v>0</v>
      </c>
      <c r="BA84" s="40">
        <f>SUMIFS('센터 자재 사용내역(11월)'!G:G,'센터 자재 사용내역(11월)'!E:E,'사급자재 사용내역'!C84,'센터 자재 사용내역(11월)'!F:F,"불량")</f>
        <v>0</v>
      </c>
      <c r="BB84" s="40">
        <f>SUMIFS('센터 자재 사용내역(12월)'!G:G,'센터 자재 사용내역(12월)'!E:E,'사급자재 사용내역'!C84,'센터 자재 사용내역(12월)'!F:F,"불량")</f>
        <v>0</v>
      </c>
      <c r="BC84" s="40">
        <f t="shared" si="19"/>
        <v>0</v>
      </c>
      <c r="BD84" s="62"/>
    </row>
    <row r="85" spans="2:56" ht="19.5" customHeight="1">
      <c r="B85" s="37"/>
      <c r="C85" s="23" t="s">
        <v>68</v>
      </c>
      <c r="D85" s="64" t="s">
        <v>130</v>
      </c>
      <c r="E85" s="67">
        <v>501</v>
      </c>
      <c r="F85" s="47">
        <v>0</v>
      </c>
      <c r="G85" s="46"/>
      <c r="H85" s="78"/>
      <c r="I85" s="90">
        <f t="shared" si="25"/>
        <v>0</v>
      </c>
      <c r="J85" s="89">
        <f t="shared" si="27"/>
        <v>75</v>
      </c>
      <c r="K85" s="78">
        <f t="shared" si="26"/>
        <v>0</v>
      </c>
      <c r="L85" s="84">
        <f t="shared" si="22"/>
        <v>426</v>
      </c>
      <c r="M85" s="79">
        <f>SUMIFS('센터 자재 사용내역(01월)'!G:G,'센터 자재 사용내역(01월)'!E:E,'사급자재 사용내역'!C85,'센터 자재 사용내역(01월)'!F:F,"신규")+SUMIFS('센터 자재 사용내역(01월)'!G:G,'센터 자재 사용내역(01월)'!E:E,'사급자재 사용내역'!C85,'센터 자재 사용내역(01월)'!F:F,"교체")</f>
        <v>8</v>
      </c>
      <c r="N85" s="40">
        <f>SUMIFS('센터 자재 사용내역(02월)'!G:G,'센터 자재 사용내역(02월)'!E:E,'사급자재 사용내역'!C85,'센터 자재 사용내역(02월)'!F:F,"신규")+SUMIFS('센터 자재 사용내역(02월)'!G:G,'센터 자재 사용내역(02월)'!E:E,'사급자재 사용내역'!C85,'센터 자재 사용내역(02월)'!F:F,"교체")</f>
        <v>8</v>
      </c>
      <c r="O85" s="40">
        <f>SUMIFS('센터 자재 사용내역(03월)'!G:G,'센터 자재 사용내역(03월)'!E:E,'사급자재 사용내역'!C85,'센터 자재 사용내역(03월)'!F:F,"신규")+SUMIFS('센터 자재 사용내역(03월)'!G:G,'센터 자재 사용내역(03월)'!E:E,'사급자재 사용내역'!C85,'센터 자재 사용내역(03월)'!F:F,"교체")</f>
        <v>6</v>
      </c>
      <c r="P85" s="40">
        <f>SUMIFS('센터 자재 사용내역(04월)'!G:G,'센터 자재 사용내역(04월)'!E:E,'사급자재 사용내역'!C85,'센터 자재 사용내역(04월)'!F:F,"신규")+SUMIFS('센터 자재 사용내역(04월)'!G:G,'센터 자재 사용내역(04월)'!E:E,'사급자재 사용내역'!C85,'센터 자재 사용내역(04월)'!F:F,"교체")</f>
        <v>8</v>
      </c>
      <c r="Q85" s="40">
        <f>SUMIFS('센터 자재 사용내역(05월)'!G:G,'센터 자재 사용내역(05월)'!E:E,'사급자재 사용내역'!C85,'센터 자재 사용내역(05월)'!F:F,"신규")+SUMIFS('센터 자재 사용내역(05월)'!G:G,'센터 자재 사용내역(05월)'!E:E,'사급자재 사용내역'!C85,'센터 자재 사용내역(05월)'!F:F,"교체")</f>
        <v>3</v>
      </c>
      <c r="R85" s="40">
        <f>SUMIFS('센터 자재 사용내역(06월)'!G:G,'센터 자재 사용내역(06월)'!E:E,'사급자재 사용내역'!C85,'센터 자재 사용내역(06월)'!F:F,"신규")+SUMIFS('센터 자재 사용내역(06월)'!G:G,'센터 자재 사용내역(06월)'!E:E,'사급자재 사용내역'!C85,'센터 자재 사용내역(06월)'!F:F,"교체")</f>
        <v>19</v>
      </c>
      <c r="S85" s="40">
        <f>SUMIFS('센터 자재 사용내역(07월)'!G:G,'센터 자재 사용내역(07월)'!E:E,'사급자재 사용내역'!C85,'센터 자재 사용내역(07월)'!F:F,"신규")+SUMIFS('센터 자재 사용내역(07월)'!G:G,'센터 자재 사용내역(07월)'!E:E,'사급자재 사용내역'!C85,'센터 자재 사용내역(07월)'!F:F,"교체")</f>
        <v>14</v>
      </c>
      <c r="T85" s="40">
        <f>SUMIFS('센터 자재 사용내역(08월)'!G:G,'센터 자재 사용내역(08월)'!E:E,'사급자재 사용내역'!C85,'센터 자재 사용내역(08월)'!F:F,"신규")+SUMIFS('센터 자재 사용내역(08월)'!G:G,'센터 자재 사용내역(08월)'!E:E,'사급자재 사용내역'!C85,'센터 자재 사용내역(08월)'!F:F,"교체")</f>
        <v>9</v>
      </c>
      <c r="U85" s="40">
        <f>SUMIFS('센터 자재 사용내역(09월)'!G:G,'센터 자재 사용내역(09월)'!E:E,'사급자재 사용내역'!C85,'센터 자재 사용내역(09월)'!F:F,"신규")+SUMIFS('센터 자재 사용내역(09월)'!G:G,'센터 자재 사용내역(09월)'!E:E,'사급자재 사용내역'!C85,'센터 자재 사용내역(09월)'!F:F,"교체")</f>
        <v>0</v>
      </c>
      <c r="V85" s="40">
        <f>SUMIFS('센터 자재 사용내역(10월)'!G:G,'센터 자재 사용내역(10월)'!E:E,'사급자재 사용내역'!C85,'센터 자재 사용내역(10월)'!F:F,"신규")+SUMIFS('센터 자재 사용내역(10월)'!G:G,'센터 자재 사용내역(10월)'!E:E,'사급자재 사용내역'!C85,'센터 자재 사용내역(10월)'!F:F,"교체")</f>
        <v>0</v>
      </c>
      <c r="W85" s="40">
        <f>SUMIFS('센터 자재 사용내역(11월)'!G:G,'센터 자재 사용내역(11월)'!E:E,'사급자재 사용내역'!C85,'센터 자재 사용내역(11월)'!F:F,"신규")+SUMIFS('센터 자재 사용내역(11월)'!G:G,'센터 자재 사용내역(11월)'!E:E,'사급자재 사용내역'!C85,'센터 자재 사용내역(11월)'!F:F,"교체")</f>
        <v>0</v>
      </c>
      <c r="X85" s="40">
        <f>SUMIFS('센터 자재 사용내역(12월)'!G:G,'센터 자재 사용내역(12월)'!E:E,'사급자재 사용내역'!C85,'센터 자재 사용내역(12월)'!F:F,"신규")+SUMIFS('센터 자재 사용내역(12월)'!G:G,'센터 자재 사용내역(12월)'!E:E,'사급자재 사용내역'!C85,'센터 자재 사용내역(12월)'!F:F,"교체")</f>
        <v>0</v>
      </c>
      <c r="Y85" s="40">
        <f t="shared" si="23"/>
        <v>75</v>
      </c>
      <c r="Z85" s="53"/>
      <c r="AB85" s="56"/>
      <c r="AC85" s="29"/>
      <c r="AD85" s="29"/>
      <c r="AE85" s="29"/>
      <c r="AF85" s="29"/>
      <c r="AG85" s="29"/>
      <c r="AH85" s="29"/>
      <c r="AI85" s="29"/>
      <c r="AJ85" s="29"/>
      <c r="AK85" s="29"/>
      <c r="AL85" s="29"/>
      <c r="AM85" s="29"/>
      <c r="AN85" s="21">
        <f t="shared" si="24"/>
        <v>0</v>
      </c>
      <c r="AO85" s="57"/>
      <c r="AQ85" s="61">
        <f>SUMIFS('센터 자재 사용내역(01월)'!G:G,'센터 자재 사용내역(01월)'!E:E,'사급자재 사용내역'!C85,'센터 자재 사용내역(01월)'!F:F,"불량")</f>
        <v>0</v>
      </c>
      <c r="AR85" s="40">
        <f>SUMIFS('센터 자재 사용내역(02월)'!G:G,'센터 자재 사용내역(02월)'!E:E,'사급자재 사용내역'!C85,'센터 자재 사용내역(02월)'!F:F,"불량")</f>
        <v>0</v>
      </c>
      <c r="AS85" s="40">
        <f>SUMIFS('센터 자재 사용내역(03월)'!G:G,'센터 자재 사용내역(03월)'!E:E,'사급자재 사용내역'!C85,'센터 자재 사용내역(03월)'!F:F,"불량")</f>
        <v>0</v>
      </c>
      <c r="AT85" s="40">
        <f>SUMIFS('센터 자재 사용내역(04월)'!G:G,'센터 자재 사용내역(04월)'!E:E,'사급자재 사용내역'!C85,'센터 자재 사용내역(04월)'!F:F,"불량")</f>
        <v>0</v>
      </c>
      <c r="AU85" s="40">
        <f>SUMIFS('센터 자재 사용내역(05월)'!G:G,'센터 자재 사용내역(05월)'!E:E,'사급자재 사용내역'!C85,'센터 자재 사용내역(05월)'!F:F,"불량")</f>
        <v>0</v>
      </c>
      <c r="AV85" s="40">
        <f>SUMIFS('센터 자재 사용내역(06월)'!G:G,'센터 자재 사용내역(06월)'!E:E,'사급자재 사용내역'!C85,'센터 자재 사용내역(06월)'!F:F,"불량")</f>
        <v>0</v>
      </c>
      <c r="AW85" s="40">
        <f>SUMIFS('센터 자재 사용내역(07월)'!G:G,'센터 자재 사용내역(07월)'!E:E,'사급자재 사용내역'!C85,'센터 자재 사용내역(07월)'!F:F,"불량")</f>
        <v>0</v>
      </c>
      <c r="AX85" s="40">
        <f>SUMIFS('센터 자재 사용내역(08월)'!G:G,'센터 자재 사용내역(08월)'!E:E,'사급자재 사용내역'!C85,'센터 자재 사용내역(08월)'!F:F,"불량")</f>
        <v>0</v>
      </c>
      <c r="AY85" s="40">
        <f>SUMIFS('센터 자재 사용내역(09월)'!G:G,'센터 자재 사용내역(09월)'!E:E,'사급자재 사용내역'!C85,'센터 자재 사용내역(09월)'!F:F,"불량")</f>
        <v>0</v>
      </c>
      <c r="AZ85" s="40">
        <f>SUMIFS('센터 자재 사용내역(10월)'!G:G,'센터 자재 사용내역(10월)'!E:E,'사급자재 사용내역'!C85,'센터 자재 사용내역(10월)'!F:F,"불량")</f>
        <v>0</v>
      </c>
      <c r="BA85" s="40">
        <f>SUMIFS('센터 자재 사용내역(11월)'!G:G,'센터 자재 사용내역(11월)'!E:E,'사급자재 사용내역'!C85,'센터 자재 사용내역(11월)'!F:F,"불량")</f>
        <v>0</v>
      </c>
      <c r="BB85" s="40">
        <f>SUMIFS('센터 자재 사용내역(12월)'!G:G,'센터 자재 사용내역(12월)'!E:E,'사급자재 사용내역'!C85,'센터 자재 사용내역(12월)'!F:F,"불량")</f>
        <v>0</v>
      </c>
      <c r="BC85" s="40">
        <f t="shared" si="19"/>
        <v>0</v>
      </c>
      <c r="BD85" s="62"/>
    </row>
    <row r="86" spans="2:56" ht="19.5" customHeight="1">
      <c r="B86" s="35" t="s">
        <v>67</v>
      </c>
      <c r="C86" s="23" t="s">
        <v>172</v>
      </c>
      <c r="D86" s="64" t="s">
        <v>129</v>
      </c>
      <c r="E86" s="67">
        <v>388</v>
      </c>
      <c r="F86" s="47">
        <v>0</v>
      </c>
      <c r="G86" s="46"/>
      <c r="H86" s="78"/>
      <c r="I86" s="90">
        <f t="shared" si="25"/>
        <v>0</v>
      </c>
      <c r="J86" s="89">
        <f t="shared" si="27"/>
        <v>953</v>
      </c>
      <c r="K86" s="78">
        <f t="shared" si="26"/>
        <v>800</v>
      </c>
      <c r="L86" s="84">
        <f t="shared" si="22"/>
        <v>235</v>
      </c>
      <c r="M86" s="79">
        <f>SUMIFS('센터 자재 사용내역(01월)'!G:G,'센터 자재 사용내역(01월)'!E:E,'사급자재 사용내역'!C86,'센터 자재 사용내역(01월)'!F:F,"신규")+SUMIFS('센터 자재 사용내역(01월)'!G:G,'센터 자재 사용내역(01월)'!E:E,'사급자재 사용내역'!C86,'센터 자재 사용내역(01월)'!F:F,"교체")</f>
        <v>88</v>
      </c>
      <c r="N86" s="40">
        <f>SUMIFS('센터 자재 사용내역(02월)'!G:G,'센터 자재 사용내역(02월)'!E:E,'사급자재 사용내역'!C86,'센터 자재 사용내역(02월)'!F:F,"신규")+SUMIFS('센터 자재 사용내역(02월)'!G:G,'센터 자재 사용내역(02월)'!E:E,'사급자재 사용내역'!C86,'센터 자재 사용내역(02월)'!F:F,"교체")</f>
        <v>88</v>
      </c>
      <c r="O86" s="40">
        <f>SUMIFS('센터 자재 사용내역(03월)'!G:G,'센터 자재 사용내역(03월)'!E:E,'사급자재 사용내역'!C86,'센터 자재 사용내역(03월)'!F:F,"신규")+SUMIFS('센터 자재 사용내역(03월)'!G:G,'센터 자재 사용내역(03월)'!E:E,'사급자재 사용내역'!C86,'센터 자재 사용내역(03월)'!F:F,"교체")</f>
        <v>76</v>
      </c>
      <c r="P86" s="40">
        <f>SUMIFS('센터 자재 사용내역(04월)'!G:G,'센터 자재 사용내역(04월)'!E:E,'사급자재 사용내역'!C86,'센터 자재 사용내역(04월)'!F:F,"신규")+SUMIFS('센터 자재 사용내역(04월)'!G:G,'센터 자재 사용내역(04월)'!E:E,'사급자재 사용내역'!C86,'센터 자재 사용내역(04월)'!F:F,"교체")</f>
        <v>67</v>
      </c>
      <c r="Q86" s="40">
        <f>SUMIFS('센터 자재 사용내역(05월)'!G:G,'센터 자재 사용내역(05월)'!E:E,'사급자재 사용내역'!C86,'센터 자재 사용내역(05월)'!F:F,"신규")+SUMIFS('센터 자재 사용내역(05월)'!G:G,'센터 자재 사용내역(05월)'!E:E,'사급자재 사용내역'!C86,'센터 자재 사용내역(05월)'!F:F,"교체")</f>
        <v>141</v>
      </c>
      <c r="R86" s="40">
        <f>SUMIFS('센터 자재 사용내역(06월)'!G:G,'센터 자재 사용내역(06월)'!E:E,'사급자재 사용내역'!C86,'센터 자재 사용내역(06월)'!F:F,"신규")+SUMIFS('센터 자재 사용내역(06월)'!G:G,'센터 자재 사용내역(06월)'!E:E,'사급자재 사용내역'!C86,'센터 자재 사용내역(06월)'!F:F,"교체")</f>
        <v>171</v>
      </c>
      <c r="S86" s="40">
        <f>SUMIFS('센터 자재 사용내역(07월)'!G:G,'센터 자재 사용내역(07월)'!E:E,'사급자재 사용내역'!C86,'센터 자재 사용내역(07월)'!F:F,"신규")+SUMIFS('센터 자재 사용내역(07월)'!G:G,'센터 자재 사용내역(07월)'!E:E,'사급자재 사용내역'!C86,'센터 자재 사용내역(07월)'!F:F,"교체")</f>
        <v>145</v>
      </c>
      <c r="T86" s="40">
        <f>SUMIFS('센터 자재 사용내역(08월)'!G:G,'센터 자재 사용내역(08월)'!E:E,'사급자재 사용내역'!C86,'센터 자재 사용내역(08월)'!F:F,"신규")+SUMIFS('센터 자재 사용내역(08월)'!G:G,'센터 자재 사용내역(08월)'!E:E,'사급자재 사용내역'!C86,'센터 자재 사용내역(08월)'!F:F,"교체")</f>
        <v>177</v>
      </c>
      <c r="U86" s="40">
        <f>SUMIFS('센터 자재 사용내역(09월)'!G:G,'센터 자재 사용내역(09월)'!E:E,'사급자재 사용내역'!C86,'센터 자재 사용내역(09월)'!F:F,"신규")+SUMIFS('센터 자재 사용내역(09월)'!G:G,'센터 자재 사용내역(09월)'!E:E,'사급자재 사용내역'!C86,'센터 자재 사용내역(09월)'!F:F,"교체")</f>
        <v>0</v>
      </c>
      <c r="V86" s="40">
        <f>SUMIFS('센터 자재 사용내역(10월)'!G:G,'센터 자재 사용내역(10월)'!E:E,'사급자재 사용내역'!C86,'센터 자재 사용내역(10월)'!F:F,"신규")+SUMIFS('센터 자재 사용내역(10월)'!G:G,'센터 자재 사용내역(10월)'!E:E,'사급자재 사용내역'!C86,'센터 자재 사용내역(10월)'!F:F,"교체")</f>
        <v>0</v>
      </c>
      <c r="W86" s="40">
        <f>SUMIFS('센터 자재 사용내역(11월)'!G:G,'센터 자재 사용내역(11월)'!E:E,'사급자재 사용내역'!C86,'센터 자재 사용내역(11월)'!F:F,"신규")+SUMIFS('센터 자재 사용내역(11월)'!G:G,'센터 자재 사용내역(11월)'!E:E,'사급자재 사용내역'!C86,'센터 자재 사용내역(11월)'!F:F,"교체")</f>
        <v>0</v>
      </c>
      <c r="X86" s="40">
        <f>SUMIFS('센터 자재 사용내역(12월)'!G:G,'센터 자재 사용내역(12월)'!E:E,'사급자재 사용내역'!C86,'센터 자재 사용내역(12월)'!F:F,"신규")+SUMIFS('센터 자재 사용내역(12월)'!G:G,'센터 자재 사용내역(12월)'!E:E,'사급자재 사용내역'!C86,'센터 자재 사용내역(12월)'!F:F,"교체")</f>
        <v>0</v>
      </c>
      <c r="Y86" s="40">
        <f t="shared" si="23"/>
        <v>953</v>
      </c>
      <c r="Z86" s="53"/>
      <c r="AB86" s="56"/>
      <c r="AC86" s="29">
        <v>100</v>
      </c>
      <c r="AD86" s="29"/>
      <c r="AE86" s="29"/>
      <c r="AF86" s="29">
        <v>200</v>
      </c>
      <c r="AG86" s="29">
        <v>200</v>
      </c>
      <c r="AH86" s="29"/>
      <c r="AI86" s="29">
        <v>300</v>
      </c>
      <c r="AJ86" s="29"/>
      <c r="AK86" s="29"/>
      <c r="AL86" s="29"/>
      <c r="AM86" s="29"/>
      <c r="AN86" s="21">
        <f t="shared" si="24"/>
        <v>800</v>
      </c>
      <c r="AO86" s="57"/>
      <c r="AQ86" s="61">
        <f>SUMIFS('센터 자재 사용내역(01월)'!G:G,'센터 자재 사용내역(01월)'!E:E,'사급자재 사용내역'!C86,'센터 자재 사용내역(01월)'!F:F,"불량")</f>
        <v>0</v>
      </c>
      <c r="AR86" s="40">
        <f>SUMIFS('센터 자재 사용내역(02월)'!G:G,'센터 자재 사용내역(02월)'!E:E,'사급자재 사용내역'!C86,'센터 자재 사용내역(02월)'!F:F,"불량")</f>
        <v>0</v>
      </c>
      <c r="AS86" s="40">
        <f>SUMIFS('센터 자재 사용내역(03월)'!G:G,'센터 자재 사용내역(03월)'!E:E,'사급자재 사용내역'!C86,'센터 자재 사용내역(03월)'!F:F,"불량")</f>
        <v>0</v>
      </c>
      <c r="AT86" s="40">
        <f>SUMIFS('센터 자재 사용내역(04월)'!G:G,'센터 자재 사용내역(04월)'!E:E,'사급자재 사용내역'!C86,'센터 자재 사용내역(04월)'!F:F,"불량")</f>
        <v>0</v>
      </c>
      <c r="AU86" s="40">
        <f>SUMIFS('센터 자재 사용내역(05월)'!G:G,'센터 자재 사용내역(05월)'!E:E,'사급자재 사용내역'!C86,'센터 자재 사용내역(05월)'!F:F,"불량")</f>
        <v>0</v>
      </c>
      <c r="AV86" s="40">
        <f>SUMIFS('센터 자재 사용내역(06월)'!G:G,'센터 자재 사용내역(06월)'!E:E,'사급자재 사용내역'!C86,'센터 자재 사용내역(06월)'!F:F,"불량")</f>
        <v>0</v>
      </c>
      <c r="AW86" s="40">
        <f>SUMIFS('센터 자재 사용내역(07월)'!G:G,'센터 자재 사용내역(07월)'!E:E,'사급자재 사용내역'!C86,'센터 자재 사용내역(07월)'!F:F,"불량")</f>
        <v>0</v>
      </c>
      <c r="AX86" s="40">
        <f>SUMIFS('센터 자재 사용내역(08월)'!G:G,'센터 자재 사용내역(08월)'!E:E,'사급자재 사용내역'!C86,'센터 자재 사용내역(08월)'!F:F,"불량")</f>
        <v>0</v>
      </c>
      <c r="AY86" s="40">
        <f>SUMIFS('센터 자재 사용내역(09월)'!G:G,'센터 자재 사용내역(09월)'!E:E,'사급자재 사용내역'!C86,'센터 자재 사용내역(09월)'!F:F,"불량")</f>
        <v>0</v>
      </c>
      <c r="AZ86" s="40">
        <f>SUMIFS('센터 자재 사용내역(10월)'!G:G,'센터 자재 사용내역(10월)'!E:E,'사급자재 사용내역'!C86,'센터 자재 사용내역(10월)'!F:F,"불량")</f>
        <v>0</v>
      </c>
      <c r="BA86" s="40">
        <f>SUMIFS('센터 자재 사용내역(11월)'!G:G,'센터 자재 사용내역(11월)'!E:E,'사급자재 사용내역'!C86,'센터 자재 사용내역(11월)'!F:F,"불량")</f>
        <v>0</v>
      </c>
      <c r="BB86" s="40">
        <f>SUMIFS('센터 자재 사용내역(12월)'!G:G,'센터 자재 사용내역(12월)'!E:E,'사급자재 사용내역'!C86,'센터 자재 사용내역(12월)'!F:F,"불량")</f>
        <v>0</v>
      </c>
      <c r="BC86" s="40">
        <f t="shared" si="19"/>
        <v>0</v>
      </c>
      <c r="BD86" s="62"/>
    </row>
    <row r="87" spans="2:56" ht="19.5" customHeight="1">
      <c r="B87" s="38"/>
      <c r="C87" s="23" t="s">
        <v>222</v>
      </c>
      <c r="D87" s="64" t="s">
        <v>130</v>
      </c>
      <c r="E87" s="67">
        <v>16</v>
      </c>
      <c r="F87" s="47">
        <v>0</v>
      </c>
      <c r="G87" s="46"/>
      <c r="H87" s="78"/>
      <c r="I87" s="90">
        <f t="shared" si="25"/>
        <v>0</v>
      </c>
      <c r="J87" s="89">
        <f t="shared" si="27"/>
        <v>16</v>
      </c>
      <c r="K87" s="78">
        <f t="shared" si="26"/>
        <v>0</v>
      </c>
      <c r="L87" s="84">
        <f t="shared" si="22"/>
        <v>0</v>
      </c>
      <c r="M87" s="79">
        <f>SUMIFS('센터 자재 사용내역(01월)'!G:G,'센터 자재 사용내역(01월)'!E:E,'사급자재 사용내역'!C87,'센터 자재 사용내역(01월)'!F:F,"신규")+SUMIFS('센터 자재 사용내역(01월)'!G:G,'센터 자재 사용내역(01월)'!E:E,'사급자재 사용내역'!C87,'센터 자재 사용내역(01월)'!F:F,"교체")</f>
        <v>3</v>
      </c>
      <c r="N87" s="40">
        <f>SUMIFS('센터 자재 사용내역(02월)'!G:G,'센터 자재 사용내역(02월)'!E:E,'사급자재 사용내역'!C87,'센터 자재 사용내역(02월)'!F:F,"신규")+SUMIFS('센터 자재 사용내역(02월)'!G:G,'센터 자재 사용내역(02월)'!E:E,'사급자재 사용내역'!C87,'센터 자재 사용내역(02월)'!F:F,"교체")</f>
        <v>3</v>
      </c>
      <c r="O87" s="40">
        <f>SUMIFS('센터 자재 사용내역(03월)'!G:G,'센터 자재 사용내역(03월)'!E:E,'사급자재 사용내역'!C87,'센터 자재 사용내역(03월)'!F:F,"신규")+SUMIFS('센터 자재 사용내역(03월)'!G:G,'센터 자재 사용내역(03월)'!E:E,'사급자재 사용내역'!C87,'센터 자재 사용내역(03월)'!F:F,"교체")</f>
        <v>1</v>
      </c>
      <c r="P87" s="40">
        <f>SUMIFS('센터 자재 사용내역(04월)'!G:G,'센터 자재 사용내역(04월)'!E:E,'사급자재 사용내역'!C87,'센터 자재 사용내역(04월)'!F:F,"신규")+SUMIFS('센터 자재 사용내역(04월)'!G:G,'센터 자재 사용내역(04월)'!E:E,'사급자재 사용내역'!C87,'센터 자재 사용내역(04월)'!F:F,"교체")</f>
        <v>1</v>
      </c>
      <c r="Q87" s="40">
        <f>SUMIFS('센터 자재 사용내역(05월)'!G:G,'센터 자재 사용내역(05월)'!E:E,'사급자재 사용내역'!C87,'센터 자재 사용내역(05월)'!F:F,"신규")+SUMIFS('센터 자재 사용내역(05월)'!G:G,'센터 자재 사용내역(05월)'!E:E,'사급자재 사용내역'!C87,'센터 자재 사용내역(05월)'!F:F,"교체")</f>
        <v>1</v>
      </c>
      <c r="R87" s="40">
        <f>SUMIFS('센터 자재 사용내역(06월)'!G:G,'센터 자재 사용내역(06월)'!E:E,'사급자재 사용내역'!C87,'센터 자재 사용내역(06월)'!F:F,"신규")+SUMIFS('센터 자재 사용내역(06월)'!G:G,'센터 자재 사용내역(06월)'!E:E,'사급자재 사용내역'!C87,'센터 자재 사용내역(06월)'!F:F,"교체")</f>
        <v>3</v>
      </c>
      <c r="S87" s="40">
        <f>SUMIFS('센터 자재 사용내역(07월)'!G:G,'센터 자재 사용내역(07월)'!E:E,'사급자재 사용내역'!C87,'센터 자재 사용내역(07월)'!F:F,"신규")+SUMIFS('센터 자재 사용내역(07월)'!G:G,'센터 자재 사용내역(07월)'!E:E,'사급자재 사용내역'!C87,'센터 자재 사용내역(07월)'!F:F,"교체")</f>
        <v>4</v>
      </c>
      <c r="T87" s="40">
        <f>SUMIFS('센터 자재 사용내역(08월)'!G:G,'센터 자재 사용내역(08월)'!E:E,'사급자재 사용내역'!C87,'센터 자재 사용내역(08월)'!F:F,"신규")+SUMIFS('센터 자재 사용내역(08월)'!G:G,'센터 자재 사용내역(08월)'!E:E,'사급자재 사용내역'!C87,'센터 자재 사용내역(08월)'!F:F,"교체")</f>
        <v>0</v>
      </c>
      <c r="U87" s="40">
        <f>SUMIFS('센터 자재 사용내역(09월)'!G:G,'센터 자재 사용내역(09월)'!E:E,'사급자재 사용내역'!C87,'센터 자재 사용내역(09월)'!F:F,"신규")+SUMIFS('센터 자재 사용내역(09월)'!G:G,'센터 자재 사용내역(09월)'!E:E,'사급자재 사용내역'!C87,'센터 자재 사용내역(09월)'!F:F,"교체")</f>
        <v>0</v>
      </c>
      <c r="V87" s="40">
        <f>SUMIFS('센터 자재 사용내역(10월)'!G:G,'센터 자재 사용내역(10월)'!E:E,'사급자재 사용내역'!C87,'센터 자재 사용내역(10월)'!F:F,"신규")+SUMIFS('센터 자재 사용내역(10월)'!G:G,'센터 자재 사용내역(10월)'!E:E,'사급자재 사용내역'!C87,'센터 자재 사용내역(10월)'!F:F,"교체")</f>
        <v>0</v>
      </c>
      <c r="W87" s="40">
        <f>SUMIFS('센터 자재 사용내역(11월)'!G:G,'센터 자재 사용내역(11월)'!E:E,'사급자재 사용내역'!C87,'센터 자재 사용내역(11월)'!F:F,"신규")+SUMIFS('센터 자재 사용내역(11월)'!G:G,'센터 자재 사용내역(11월)'!E:E,'사급자재 사용내역'!C87,'센터 자재 사용내역(11월)'!F:F,"교체")</f>
        <v>0</v>
      </c>
      <c r="X87" s="40">
        <f>SUMIFS('센터 자재 사용내역(12월)'!G:G,'센터 자재 사용내역(12월)'!E:E,'사급자재 사용내역'!C87,'센터 자재 사용내역(12월)'!F:F,"신규")+SUMIFS('센터 자재 사용내역(12월)'!G:G,'센터 자재 사용내역(12월)'!E:E,'사급자재 사용내역'!C87,'센터 자재 사용내역(12월)'!F:F,"교체")</f>
        <v>0</v>
      </c>
      <c r="Y87" s="40">
        <f t="shared" si="23"/>
        <v>16</v>
      </c>
      <c r="Z87" s="53"/>
      <c r="AB87" s="56"/>
      <c r="AC87" s="29"/>
      <c r="AD87" s="29"/>
      <c r="AE87" s="29"/>
      <c r="AF87" s="29"/>
      <c r="AG87" s="29"/>
      <c r="AH87" s="29"/>
      <c r="AI87" s="29"/>
      <c r="AJ87" s="29"/>
      <c r="AK87" s="29"/>
      <c r="AL87" s="29"/>
      <c r="AM87" s="29"/>
      <c r="AN87" s="21">
        <f t="shared" si="24"/>
        <v>0</v>
      </c>
      <c r="AO87" s="57"/>
      <c r="AQ87" s="61">
        <f>SUMIFS('센터 자재 사용내역(01월)'!G:G,'센터 자재 사용내역(01월)'!E:E,'사급자재 사용내역'!C87,'센터 자재 사용내역(01월)'!F:F,"불량")</f>
        <v>0</v>
      </c>
      <c r="AR87" s="40">
        <f>SUMIFS('센터 자재 사용내역(02월)'!G:G,'센터 자재 사용내역(02월)'!E:E,'사급자재 사용내역'!C87,'센터 자재 사용내역(02월)'!F:F,"불량")</f>
        <v>0</v>
      </c>
      <c r="AS87" s="40">
        <f>SUMIFS('센터 자재 사용내역(03월)'!G:G,'센터 자재 사용내역(03월)'!E:E,'사급자재 사용내역'!C87,'센터 자재 사용내역(03월)'!F:F,"불량")</f>
        <v>0</v>
      </c>
      <c r="AT87" s="40">
        <f>SUMIFS('센터 자재 사용내역(04월)'!G:G,'센터 자재 사용내역(04월)'!E:E,'사급자재 사용내역'!C87,'센터 자재 사용내역(04월)'!F:F,"불량")</f>
        <v>0</v>
      </c>
      <c r="AU87" s="40">
        <f>SUMIFS('센터 자재 사용내역(05월)'!G:G,'센터 자재 사용내역(05월)'!E:E,'사급자재 사용내역'!C87,'센터 자재 사용내역(05월)'!F:F,"불량")</f>
        <v>0</v>
      </c>
      <c r="AV87" s="40">
        <f>SUMIFS('센터 자재 사용내역(06월)'!G:G,'센터 자재 사용내역(06월)'!E:E,'사급자재 사용내역'!C87,'센터 자재 사용내역(06월)'!F:F,"불량")</f>
        <v>0</v>
      </c>
      <c r="AW87" s="40">
        <f>SUMIFS('센터 자재 사용내역(07월)'!G:G,'센터 자재 사용내역(07월)'!E:E,'사급자재 사용내역'!C87,'센터 자재 사용내역(07월)'!F:F,"불량")</f>
        <v>0</v>
      </c>
      <c r="AX87" s="40">
        <f>SUMIFS('센터 자재 사용내역(08월)'!G:G,'센터 자재 사용내역(08월)'!E:E,'사급자재 사용내역'!C87,'센터 자재 사용내역(08월)'!F:F,"불량")</f>
        <v>0</v>
      </c>
      <c r="AY87" s="40">
        <f>SUMIFS('센터 자재 사용내역(09월)'!G:G,'센터 자재 사용내역(09월)'!E:E,'사급자재 사용내역'!C87,'센터 자재 사용내역(09월)'!F:F,"불량")</f>
        <v>0</v>
      </c>
      <c r="AZ87" s="40">
        <f>SUMIFS('센터 자재 사용내역(10월)'!G:G,'센터 자재 사용내역(10월)'!E:E,'사급자재 사용내역'!C87,'센터 자재 사용내역(10월)'!F:F,"불량")</f>
        <v>0</v>
      </c>
      <c r="BA87" s="40">
        <f>SUMIFS('센터 자재 사용내역(11월)'!G:G,'센터 자재 사용내역(11월)'!E:E,'사급자재 사용내역'!C87,'센터 자재 사용내역(11월)'!F:F,"불량")</f>
        <v>0</v>
      </c>
      <c r="BB87" s="40">
        <f>SUMIFS('센터 자재 사용내역(12월)'!G:G,'센터 자재 사용내역(12월)'!E:E,'사급자재 사용내역'!C87,'센터 자재 사용내역(12월)'!F:F,"불량")</f>
        <v>0</v>
      </c>
      <c r="BC87" s="40">
        <f t="shared" si="19"/>
        <v>0</v>
      </c>
      <c r="BD87" s="62"/>
    </row>
    <row r="88" spans="2:56" ht="19.5" customHeight="1">
      <c r="B88" s="98" t="s">
        <v>158</v>
      </c>
      <c r="C88" s="23" t="s">
        <v>153</v>
      </c>
      <c r="D88" s="64" t="s">
        <v>129</v>
      </c>
      <c r="E88" s="67">
        <v>441</v>
      </c>
      <c r="F88" s="47">
        <v>0</v>
      </c>
      <c r="G88" s="46"/>
      <c r="H88" s="78"/>
      <c r="I88" s="90">
        <f t="shared" si="25"/>
        <v>0</v>
      </c>
      <c r="J88" s="89">
        <f t="shared" si="27"/>
        <v>1</v>
      </c>
      <c r="K88" s="78">
        <f t="shared" si="26"/>
        <v>0</v>
      </c>
      <c r="L88" s="84">
        <f t="shared" si="22"/>
        <v>440</v>
      </c>
      <c r="M88" s="79">
        <f>SUMIFS('센터 자재 사용내역(01월)'!G:G,'센터 자재 사용내역(01월)'!E:E,'사급자재 사용내역'!C88,'센터 자재 사용내역(01월)'!F:F,"신규")+SUMIFS('센터 자재 사용내역(01월)'!G:G,'센터 자재 사용내역(01월)'!E:E,'사급자재 사용내역'!C88,'센터 자재 사용내역(01월)'!F:F,"교체")</f>
        <v>0</v>
      </c>
      <c r="N88" s="40">
        <f>SUMIFS('센터 자재 사용내역(02월)'!G:G,'센터 자재 사용내역(02월)'!E:E,'사급자재 사용내역'!C88,'센터 자재 사용내역(02월)'!F:F,"신규")+SUMIFS('센터 자재 사용내역(02월)'!G:G,'센터 자재 사용내역(02월)'!E:E,'사급자재 사용내역'!C88,'센터 자재 사용내역(02월)'!F:F,"교체")</f>
        <v>0</v>
      </c>
      <c r="O88" s="40">
        <f>SUMIFS('센터 자재 사용내역(03월)'!G:G,'센터 자재 사용내역(03월)'!E:E,'사급자재 사용내역'!C88,'센터 자재 사용내역(03월)'!F:F,"신규")+SUMIFS('센터 자재 사용내역(03월)'!G:G,'센터 자재 사용내역(03월)'!E:E,'사급자재 사용내역'!C88,'센터 자재 사용내역(03월)'!F:F,"교체")</f>
        <v>0</v>
      </c>
      <c r="P88" s="40">
        <f>SUMIFS('센터 자재 사용내역(04월)'!G:G,'센터 자재 사용내역(04월)'!E:E,'사급자재 사용내역'!C88,'센터 자재 사용내역(04월)'!F:F,"신규")+SUMIFS('센터 자재 사용내역(04월)'!G:G,'센터 자재 사용내역(04월)'!E:E,'사급자재 사용내역'!C88,'센터 자재 사용내역(04월)'!F:F,"교체")</f>
        <v>0</v>
      </c>
      <c r="Q88" s="40">
        <f>SUMIFS('센터 자재 사용내역(05월)'!G:G,'센터 자재 사용내역(05월)'!E:E,'사급자재 사용내역'!C88,'센터 자재 사용내역(05월)'!F:F,"신규")+SUMIFS('센터 자재 사용내역(05월)'!G:G,'센터 자재 사용내역(05월)'!E:E,'사급자재 사용내역'!C88,'센터 자재 사용내역(05월)'!F:F,"교체")</f>
        <v>0</v>
      </c>
      <c r="R88" s="40">
        <f>SUMIFS('센터 자재 사용내역(06월)'!G:G,'센터 자재 사용내역(06월)'!E:E,'사급자재 사용내역'!C88,'센터 자재 사용내역(06월)'!F:F,"신규")+SUMIFS('센터 자재 사용내역(06월)'!G:G,'센터 자재 사용내역(06월)'!E:E,'사급자재 사용내역'!C88,'센터 자재 사용내역(06월)'!F:F,"교체")</f>
        <v>0</v>
      </c>
      <c r="S88" s="40">
        <f>SUMIFS('센터 자재 사용내역(07월)'!G:G,'센터 자재 사용내역(07월)'!E:E,'사급자재 사용내역'!C88,'센터 자재 사용내역(07월)'!F:F,"신규")+SUMIFS('센터 자재 사용내역(07월)'!G:G,'센터 자재 사용내역(07월)'!E:E,'사급자재 사용내역'!C88,'센터 자재 사용내역(07월)'!F:F,"교체")</f>
        <v>1</v>
      </c>
      <c r="T88" s="40">
        <f>SUMIFS('센터 자재 사용내역(08월)'!G:G,'센터 자재 사용내역(08월)'!E:E,'사급자재 사용내역'!C88,'센터 자재 사용내역(08월)'!F:F,"신규")+SUMIFS('센터 자재 사용내역(08월)'!G:G,'센터 자재 사용내역(08월)'!E:E,'사급자재 사용내역'!C88,'센터 자재 사용내역(08월)'!F:F,"교체")</f>
        <v>0</v>
      </c>
      <c r="U88" s="40">
        <f>SUMIFS('센터 자재 사용내역(09월)'!G:G,'센터 자재 사용내역(09월)'!E:E,'사급자재 사용내역'!C88,'센터 자재 사용내역(09월)'!F:F,"신규")+SUMIFS('센터 자재 사용내역(09월)'!G:G,'센터 자재 사용내역(09월)'!E:E,'사급자재 사용내역'!C88,'센터 자재 사용내역(09월)'!F:F,"교체")</f>
        <v>0</v>
      </c>
      <c r="V88" s="40">
        <f>SUMIFS('센터 자재 사용내역(10월)'!G:G,'센터 자재 사용내역(10월)'!E:E,'사급자재 사용내역'!C88,'센터 자재 사용내역(10월)'!F:F,"신규")+SUMIFS('센터 자재 사용내역(10월)'!G:G,'센터 자재 사용내역(10월)'!E:E,'사급자재 사용내역'!C88,'센터 자재 사용내역(10월)'!F:F,"교체")</f>
        <v>0</v>
      </c>
      <c r="W88" s="40">
        <f>SUMIFS('센터 자재 사용내역(11월)'!G:G,'센터 자재 사용내역(11월)'!E:E,'사급자재 사용내역'!C88,'센터 자재 사용내역(11월)'!F:F,"신규")+SUMIFS('센터 자재 사용내역(11월)'!G:G,'센터 자재 사용내역(11월)'!E:E,'사급자재 사용내역'!C88,'센터 자재 사용내역(11월)'!F:F,"교체")</f>
        <v>0</v>
      </c>
      <c r="X88" s="40">
        <f>SUMIFS('센터 자재 사용내역(12월)'!G:G,'센터 자재 사용내역(12월)'!E:E,'사급자재 사용내역'!C88,'센터 자재 사용내역(12월)'!F:F,"신규")+SUMIFS('센터 자재 사용내역(12월)'!G:G,'센터 자재 사용내역(12월)'!E:E,'사급자재 사용내역'!C88,'센터 자재 사용내역(12월)'!F:F,"교체")</f>
        <v>0</v>
      </c>
      <c r="Y88" s="40">
        <f t="shared" si="23"/>
        <v>1</v>
      </c>
      <c r="Z88" s="53"/>
      <c r="AB88" s="56"/>
      <c r="AC88" s="29"/>
      <c r="AD88" s="29"/>
      <c r="AE88" s="29"/>
      <c r="AF88" s="29"/>
      <c r="AG88" s="29"/>
      <c r="AH88" s="29"/>
      <c r="AI88" s="29"/>
      <c r="AJ88" s="29"/>
      <c r="AK88" s="29"/>
      <c r="AL88" s="29"/>
      <c r="AM88" s="29"/>
      <c r="AN88" s="21">
        <f t="shared" si="24"/>
        <v>0</v>
      </c>
      <c r="AO88" s="57"/>
      <c r="AQ88" s="61">
        <f>SUMIFS('센터 자재 사용내역(01월)'!G:G,'센터 자재 사용내역(01월)'!E:E,'사급자재 사용내역'!C88,'센터 자재 사용내역(01월)'!F:F,"불량")</f>
        <v>0</v>
      </c>
      <c r="AR88" s="40">
        <f>SUMIFS('센터 자재 사용내역(02월)'!G:G,'센터 자재 사용내역(02월)'!E:E,'사급자재 사용내역'!C88,'센터 자재 사용내역(02월)'!F:F,"불량")</f>
        <v>0</v>
      </c>
      <c r="AS88" s="40">
        <f>SUMIFS('센터 자재 사용내역(03월)'!G:G,'센터 자재 사용내역(03월)'!E:E,'사급자재 사용내역'!C88,'센터 자재 사용내역(03월)'!F:F,"불량")</f>
        <v>0</v>
      </c>
      <c r="AT88" s="40">
        <f>SUMIFS('센터 자재 사용내역(04월)'!G:G,'센터 자재 사용내역(04월)'!E:E,'사급자재 사용내역'!C88,'센터 자재 사용내역(04월)'!F:F,"불량")</f>
        <v>0</v>
      </c>
      <c r="AU88" s="40">
        <f>SUMIFS('센터 자재 사용내역(05월)'!G:G,'센터 자재 사용내역(05월)'!E:E,'사급자재 사용내역'!C88,'센터 자재 사용내역(05월)'!F:F,"불량")</f>
        <v>0</v>
      </c>
      <c r="AV88" s="40">
        <f>SUMIFS('센터 자재 사용내역(06월)'!G:G,'센터 자재 사용내역(06월)'!E:E,'사급자재 사용내역'!C88,'센터 자재 사용내역(06월)'!F:F,"불량")</f>
        <v>0</v>
      </c>
      <c r="AW88" s="40">
        <f>SUMIFS('센터 자재 사용내역(07월)'!G:G,'센터 자재 사용내역(07월)'!E:E,'사급자재 사용내역'!C88,'센터 자재 사용내역(07월)'!F:F,"불량")</f>
        <v>0</v>
      </c>
      <c r="AX88" s="40">
        <f>SUMIFS('센터 자재 사용내역(08월)'!G:G,'센터 자재 사용내역(08월)'!E:E,'사급자재 사용내역'!C88,'센터 자재 사용내역(08월)'!F:F,"불량")</f>
        <v>0</v>
      </c>
      <c r="AY88" s="40">
        <f>SUMIFS('센터 자재 사용내역(09월)'!G:G,'센터 자재 사용내역(09월)'!E:E,'사급자재 사용내역'!C88,'센터 자재 사용내역(09월)'!F:F,"불량")</f>
        <v>0</v>
      </c>
      <c r="AZ88" s="40">
        <f>SUMIFS('센터 자재 사용내역(10월)'!G:G,'센터 자재 사용내역(10월)'!E:E,'사급자재 사용내역'!C88,'센터 자재 사용내역(10월)'!F:F,"불량")</f>
        <v>0</v>
      </c>
      <c r="BA88" s="40">
        <f>SUMIFS('센터 자재 사용내역(11월)'!G:G,'센터 자재 사용내역(11월)'!E:E,'사급자재 사용내역'!C88,'센터 자재 사용내역(11월)'!F:F,"불량")</f>
        <v>0</v>
      </c>
      <c r="BB88" s="40">
        <f>SUMIFS('센터 자재 사용내역(12월)'!G:G,'센터 자재 사용내역(12월)'!E:E,'사급자재 사용내역'!C88,'센터 자재 사용내역(12월)'!F:F,"불량")</f>
        <v>0</v>
      </c>
      <c r="BC88" s="40">
        <f t="shared" si="19"/>
        <v>0</v>
      </c>
      <c r="BD88" s="62"/>
    </row>
    <row r="89" spans="2:56" ht="19.5" customHeight="1">
      <c r="B89" s="99"/>
      <c r="C89" s="23" t="s">
        <v>159</v>
      </c>
      <c r="D89" s="64" t="s">
        <v>129</v>
      </c>
      <c r="E89" s="67">
        <v>505</v>
      </c>
      <c r="F89" s="47">
        <v>0</v>
      </c>
      <c r="G89" s="46"/>
      <c r="H89" s="78"/>
      <c r="I89" s="90">
        <f t="shared" si="25"/>
        <v>0</v>
      </c>
      <c r="J89" s="89">
        <f t="shared" si="27"/>
        <v>0</v>
      </c>
      <c r="K89" s="78">
        <f t="shared" si="26"/>
        <v>0</v>
      </c>
      <c r="L89" s="84">
        <f t="shared" si="22"/>
        <v>505</v>
      </c>
      <c r="M89" s="79">
        <f>SUMIFS('센터 자재 사용내역(01월)'!G:G,'센터 자재 사용내역(01월)'!E:E,'사급자재 사용내역'!C89,'센터 자재 사용내역(01월)'!F:F,"신규")+SUMIFS('센터 자재 사용내역(01월)'!G:G,'센터 자재 사용내역(01월)'!E:E,'사급자재 사용내역'!C89,'센터 자재 사용내역(01월)'!F:F,"교체")</f>
        <v>0</v>
      </c>
      <c r="N89" s="40">
        <f>SUMIFS('센터 자재 사용내역(02월)'!G:G,'센터 자재 사용내역(02월)'!E:E,'사급자재 사용내역'!C89,'센터 자재 사용내역(02월)'!F:F,"신규")+SUMIFS('센터 자재 사용내역(02월)'!G:G,'센터 자재 사용내역(02월)'!E:E,'사급자재 사용내역'!C89,'센터 자재 사용내역(02월)'!F:F,"교체")</f>
        <v>0</v>
      </c>
      <c r="O89" s="40">
        <f>SUMIFS('센터 자재 사용내역(03월)'!G:G,'센터 자재 사용내역(03월)'!E:E,'사급자재 사용내역'!C89,'센터 자재 사용내역(03월)'!F:F,"신규")+SUMIFS('센터 자재 사용내역(03월)'!G:G,'센터 자재 사용내역(03월)'!E:E,'사급자재 사용내역'!C89,'센터 자재 사용내역(03월)'!F:F,"교체")</f>
        <v>0</v>
      </c>
      <c r="P89" s="40">
        <f>SUMIFS('센터 자재 사용내역(04월)'!G:G,'센터 자재 사용내역(04월)'!E:E,'사급자재 사용내역'!C89,'센터 자재 사용내역(04월)'!F:F,"신규")+SUMIFS('센터 자재 사용내역(04월)'!G:G,'센터 자재 사용내역(04월)'!E:E,'사급자재 사용내역'!C89,'센터 자재 사용내역(04월)'!F:F,"교체")</f>
        <v>0</v>
      </c>
      <c r="Q89" s="40">
        <f>SUMIFS('센터 자재 사용내역(05월)'!G:G,'센터 자재 사용내역(05월)'!E:E,'사급자재 사용내역'!C89,'센터 자재 사용내역(05월)'!F:F,"신규")+SUMIFS('센터 자재 사용내역(05월)'!G:G,'센터 자재 사용내역(05월)'!E:E,'사급자재 사용내역'!C89,'센터 자재 사용내역(05월)'!F:F,"교체")</f>
        <v>0</v>
      </c>
      <c r="R89" s="40">
        <f>SUMIFS('센터 자재 사용내역(06월)'!G:G,'센터 자재 사용내역(06월)'!E:E,'사급자재 사용내역'!C89,'센터 자재 사용내역(06월)'!F:F,"신규")+SUMIFS('센터 자재 사용내역(06월)'!G:G,'센터 자재 사용내역(06월)'!E:E,'사급자재 사용내역'!C89,'센터 자재 사용내역(06월)'!F:F,"교체")</f>
        <v>0</v>
      </c>
      <c r="S89" s="40">
        <f>SUMIFS('센터 자재 사용내역(07월)'!G:G,'센터 자재 사용내역(07월)'!E:E,'사급자재 사용내역'!C89,'센터 자재 사용내역(07월)'!F:F,"신규")+SUMIFS('센터 자재 사용내역(07월)'!G:G,'센터 자재 사용내역(07월)'!E:E,'사급자재 사용내역'!C89,'센터 자재 사용내역(07월)'!F:F,"교체")</f>
        <v>0</v>
      </c>
      <c r="T89" s="40">
        <f>SUMIFS('센터 자재 사용내역(08월)'!G:G,'센터 자재 사용내역(08월)'!E:E,'사급자재 사용내역'!C89,'센터 자재 사용내역(08월)'!F:F,"신규")+SUMIFS('센터 자재 사용내역(08월)'!G:G,'센터 자재 사용내역(08월)'!E:E,'사급자재 사용내역'!C89,'센터 자재 사용내역(08월)'!F:F,"교체")</f>
        <v>0</v>
      </c>
      <c r="U89" s="40">
        <f>SUMIFS('센터 자재 사용내역(09월)'!G:G,'센터 자재 사용내역(09월)'!E:E,'사급자재 사용내역'!C89,'센터 자재 사용내역(09월)'!F:F,"신규")+SUMIFS('센터 자재 사용내역(09월)'!G:G,'센터 자재 사용내역(09월)'!E:E,'사급자재 사용내역'!C89,'센터 자재 사용내역(09월)'!F:F,"교체")</f>
        <v>0</v>
      </c>
      <c r="V89" s="40">
        <f>SUMIFS('센터 자재 사용내역(10월)'!G:G,'센터 자재 사용내역(10월)'!E:E,'사급자재 사용내역'!C89,'센터 자재 사용내역(10월)'!F:F,"신규")+SUMIFS('센터 자재 사용내역(10월)'!G:G,'센터 자재 사용내역(10월)'!E:E,'사급자재 사용내역'!C89,'센터 자재 사용내역(10월)'!F:F,"교체")</f>
        <v>0</v>
      </c>
      <c r="W89" s="40">
        <f>SUMIFS('센터 자재 사용내역(11월)'!G:G,'센터 자재 사용내역(11월)'!E:E,'사급자재 사용내역'!C89,'센터 자재 사용내역(11월)'!F:F,"신규")+SUMIFS('센터 자재 사용내역(11월)'!G:G,'센터 자재 사용내역(11월)'!E:E,'사급자재 사용내역'!C89,'센터 자재 사용내역(11월)'!F:F,"교체")</f>
        <v>0</v>
      </c>
      <c r="X89" s="40">
        <f>SUMIFS('센터 자재 사용내역(12월)'!G:G,'센터 자재 사용내역(12월)'!E:E,'사급자재 사용내역'!C89,'센터 자재 사용내역(12월)'!F:F,"신규")+SUMIFS('센터 자재 사용내역(12월)'!G:G,'센터 자재 사용내역(12월)'!E:E,'사급자재 사용내역'!C89,'센터 자재 사용내역(12월)'!F:F,"교체")</f>
        <v>0</v>
      </c>
      <c r="Y89" s="40">
        <f t="shared" si="23"/>
        <v>0</v>
      </c>
      <c r="Z89" s="53"/>
      <c r="AB89" s="56"/>
      <c r="AC89" s="29"/>
      <c r="AD89" s="29"/>
      <c r="AE89" s="29"/>
      <c r="AF89" s="29"/>
      <c r="AG89" s="29"/>
      <c r="AH89" s="29"/>
      <c r="AI89" s="29"/>
      <c r="AJ89" s="29"/>
      <c r="AK89" s="29"/>
      <c r="AL89" s="29"/>
      <c r="AM89" s="29"/>
      <c r="AN89" s="21">
        <f t="shared" si="24"/>
        <v>0</v>
      </c>
      <c r="AO89" s="57"/>
      <c r="AQ89" s="61">
        <f>SUMIFS('센터 자재 사용내역(01월)'!G:G,'센터 자재 사용내역(01월)'!E:E,'사급자재 사용내역'!C89,'센터 자재 사용내역(01월)'!F:F,"불량")</f>
        <v>0</v>
      </c>
      <c r="AR89" s="40">
        <f>SUMIFS('센터 자재 사용내역(02월)'!G:G,'센터 자재 사용내역(02월)'!E:E,'사급자재 사용내역'!C89,'센터 자재 사용내역(02월)'!F:F,"불량")</f>
        <v>0</v>
      </c>
      <c r="AS89" s="40">
        <f>SUMIFS('센터 자재 사용내역(03월)'!G:G,'센터 자재 사용내역(03월)'!E:E,'사급자재 사용내역'!C89,'센터 자재 사용내역(03월)'!F:F,"불량")</f>
        <v>0</v>
      </c>
      <c r="AT89" s="40">
        <f>SUMIFS('센터 자재 사용내역(04월)'!G:G,'센터 자재 사용내역(04월)'!E:E,'사급자재 사용내역'!C89,'센터 자재 사용내역(04월)'!F:F,"불량")</f>
        <v>0</v>
      </c>
      <c r="AU89" s="40">
        <f>SUMIFS('센터 자재 사용내역(05월)'!G:G,'센터 자재 사용내역(05월)'!E:E,'사급자재 사용내역'!C89,'센터 자재 사용내역(05월)'!F:F,"불량")</f>
        <v>0</v>
      </c>
      <c r="AV89" s="40">
        <f>SUMIFS('센터 자재 사용내역(06월)'!G:G,'센터 자재 사용내역(06월)'!E:E,'사급자재 사용내역'!C89,'센터 자재 사용내역(06월)'!F:F,"불량")</f>
        <v>0</v>
      </c>
      <c r="AW89" s="40">
        <f>SUMIFS('센터 자재 사용내역(07월)'!G:G,'센터 자재 사용내역(07월)'!E:E,'사급자재 사용내역'!C89,'센터 자재 사용내역(07월)'!F:F,"불량")</f>
        <v>0</v>
      </c>
      <c r="AX89" s="40">
        <f>SUMIFS('센터 자재 사용내역(08월)'!G:G,'센터 자재 사용내역(08월)'!E:E,'사급자재 사용내역'!C89,'센터 자재 사용내역(08월)'!F:F,"불량")</f>
        <v>0</v>
      </c>
      <c r="AY89" s="40">
        <f>SUMIFS('센터 자재 사용내역(09월)'!G:G,'센터 자재 사용내역(09월)'!E:E,'사급자재 사용내역'!C89,'센터 자재 사용내역(09월)'!F:F,"불량")</f>
        <v>0</v>
      </c>
      <c r="AZ89" s="40">
        <f>SUMIFS('센터 자재 사용내역(10월)'!G:G,'센터 자재 사용내역(10월)'!E:E,'사급자재 사용내역'!C89,'센터 자재 사용내역(10월)'!F:F,"불량")</f>
        <v>0</v>
      </c>
      <c r="BA89" s="40">
        <f>SUMIFS('센터 자재 사용내역(11월)'!G:G,'센터 자재 사용내역(11월)'!E:E,'사급자재 사용내역'!C89,'센터 자재 사용내역(11월)'!F:F,"불량")</f>
        <v>0</v>
      </c>
      <c r="BB89" s="40">
        <f>SUMIFS('센터 자재 사용내역(12월)'!G:G,'센터 자재 사용내역(12월)'!E:E,'사급자재 사용내역'!C89,'센터 자재 사용내역(12월)'!F:F,"불량")</f>
        <v>0</v>
      </c>
      <c r="BC89" s="40">
        <f t="shared" si="19"/>
        <v>0</v>
      </c>
      <c r="BD89" s="62"/>
    </row>
    <row r="90" spans="2:56" ht="19.5" customHeight="1">
      <c r="B90" s="99"/>
      <c r="C90" s="23" t="s">
        <v>69</v>
      </c>
      <c r="D90" s="64" t="s">
        <v>129</v>
      </c>
      <c r="E90" s="67">
        <v>45</v>
      </c>
      <c r="F90" s="47">
        <v>0</v>
      </c>
      <c r="G90" s="46"/>
      <c r="H90" s="78"/>
      <c r="I90" s="90">
        <f t="shared" si="25"/>
        <v>0</v>
      </c>
      <c r="J90" s="89">
        <f t="shared" si="27"/>
        <v>0</v>
      </c>
      <c r="K90" s="78">
        <f t="shared" si="26"/>
        <v>0</v>
      </c>
      <c r="L90" s="84">
        <f t="shared" si="22"/>
        <v>45</v>
      </c>
      <c r="M90" s="79">
        <f>SUMIFS('센터 자재 사용내역(01월)'!G:G,'센터 자재 사용내역(01월)'!E:E,'사급자재 사용내역'!C90,'센터 자재 사용내역(01월)'!F:F,"신규")+SUMIFS('센터 자재 사용내역(01월)'!G:G,'센터 자재 사용내역(01월)'!E:E,'사급자재 사용내역'!C90,'센터 자재 사용내역(01월)'!F:F,"교체")</f>
        <v>0</v>
      </c>
      <c r="N90" s="40">
        <f>SUMIFS('센터 자재 사용내역(02월)'!G:G,'센터 자재 사용내역(02월)'!E:E,'사급자재 사용내역'!C90,'센터 자재 사용내역(02월)'!F:F,"신규")+SUMIFS('센터 자재 사용내역(02월)'!G:G,'센터 자재 사용내역(02월)'!E:E,'사급자재 사용내역'!C90,'센터 자재 사용내역(02월)'!F:F,"교체")</f>
        <v>0</v>
      </c>
      <c r="O90" s="40">
        <f>SUMIFS('센터 자재 사용내역(03월)'!G:G,'센터 자재 사용내역(03월)'!E:E,'사급자재 사용내역'!C90,'센터 자재 사용내역(03월)'!F:F,"신규")+SUMIFS('센터 자재 사용내역(03월)'!G:G,'센터 자재 사용내역(03월)'!E:E,'사급자재 사용내역'!C90,'센터 자재 사용내역(03월)'!F:F,"교체")</f>
        <v>0</v>
      </c>
      <c r="P90" s="40">
        <f>SUMIFS('센터 자재 사용내역(04월)'!G:G,'센터 자재 사용내역(04월)'!E:E,'사급자재 사용내역'!C90,'센터 자재 사용내역(04월)'!F:F,"신규")+SUMIFS('센터 자재 사용내역(04월)'!G:G,'센터 자재 사용내역(04월)'!E:E,'사급자재 사용내역'!C90,'센터 자재 사용내역(04월)'!F:F,"교체")</f>
        <v>0</v>
      </c>
      <c r="Q90" s="40">
        <f>SUMIFS('센터 자재 사용내역(05월)'!G:G,'센터 자재 사용내역(05월)'!E:E,'사급자재 사용내역'!C90,'센터 자재 사용내역(05월)'!F:F,"신규")+SUMIFS('센터 자재 사용내역(05월)'!G:G,'센터 자재 사용내역(05월)'!E:E,'사급자재 사용내역'!C90,'센터 자재 사용내역(05월)'!F:F,"교체")</f>
        <v>0</v>
      </c>
      <c r="R90" s="40">
        <f>SUMIFS('센터 자재 사용내역(06월)'!G:G,'센터 자재 사용내역(06월)'!E:E,'사급자재 사용내역'!C90,'센터 자재 사용내역(06월)'!F:F,"신규")+SUMIFS('센터 자재 사용내역(06월)'!G:G,'센터 자재 사용내역(06월)'!E:E,'사급자재 사용내역'!C90,'센터 자재 사용내역(06월)'!F:F,"교체")</f>
        <v>0</v>
      </c>
      <c r="S90" s="40">
        <f>SUMIFS('센터 자재 사용내역(07월)'!G:G,'센터 자재 사용내역(07월)'!E:E,'사급자재 사용내역'!C90,'센터 자재 사용내역(07월)'!F:F,"신규")+SUMIFS('센터 자재 사용내역(07월)'!G:G,'센터 자재 사용내역(07월)'!E:E,'사급자재 사용내역'!C90,'센터 자재 사용내역(07월)'!F:F,"교체")</f>
        <v>0</v>
      </c>
      <c r="T90" s="40">
        <f>SUMIFS('센터 자재 사용내역(08월)'!G:G,'센터 자재 사용내역(08월)'!E:E,'사급자재 사용내역'!C90,'센터 자재 사용내역(08월)'!F:F,"신규")+SUMIFS('센터 자재 사용내역(08월)'!G:G,'센터 자재 사용내역(08월)'!E:E,'사급자재 사용내역'!C90,'센터 자재 사용내역(08월)'!F:F,"교체")</f>
        <v>0</v>
      </c>
      <c r="U90" s="40">
        <f>SUMIFS('센터 자재 사용내역(09월)'!G:G,'센터 자재 사용내역(09월)'!E:E,'사급자재 사용내역'!C90,'센터 자재 사용내역(09월)'!F:F,"신규")+SUMIFS('센터 자재 사용내역(09월)'!G:G,'센터 자재 사용내역(09월)'!E:E,'사급자재 사용내역'!C90,'센터 자재 사용내역(09월)'!F:F,"교체")</f>
        <v>0</v>
      </c>
      <c r="V90" s="40">
        <f>SUMIFS('센터 자재 사용내역(10월)'!G:G,'센터 자재 사용내역(10월)'!E:E,'사급자재 사용내역'!C90,'센터 자재 사용내역(10월)'!F:F,"신규")+SUMIFS('센터 자재 사용내역(10월)'!G:G,'센터 자재 사용내역(10월)'!E:E,'사급자재 사용내역'!C90,'센터 자재 사용내역(10월)'!F:F,"교체")</f>
        <v>0</v>
      </c>
      <c r="W90" s="40">
        <f>SUMIFS('센터 자재 사용내역(11월)'!G:G,'센터 자재 사용내역(11월)'!E:E,'사급자재 사용내역'!C90,'센터 자재 사용내역(11월)'!F:F,"신규")+SUMIFS('센터 자재 사용내역(11월)'!G:G,'센터 자재 사용내역(11월)'!E:E,'사급자재 사용내역'!C90,'센터 자재 사용내역(11월)'!F:F,"교체")</f>
        <v>0</v>
      </c>
      <c r="X90" s="40">
        <f>SUMIFS('센터 자재 사용내역(12월)'!G:G,'센터 자재 사용내역(12월)'!E:E,'사급자재 사용내역'!C90,'센터 자재 사용내역(12월)'!F:F,"신규")+SUMIFS('센터 자재 사용내역(12월)'!G:G,'센터 자재 사용내역(12월)'!E:E,'사급자재 사용내역'!C90,'센터 자재 사용내역(12월)'!F:F,"교체")</f>
        <v>0</v>
      </c>
      <c r="Y90" s="40">
        <f t="shared" si="23"/>
        <v>0</v>
      </c>
      <c r="Z90" s="53"/>
      <c r="AB90" s="56"/>
      <c r="AC90" s="29"/>
      <c r="AD90" s="29"/>
      <c r="AE90" s="29"/>
      <c r="AF90" s="29"/>
      <c r="AG90" s="29"/>
      <c r="AH90" s="29"/>
      <c r="AI90" s="29"/>
      <c r="AJ90" s="29"/>
      <c r="AK90" s="29"/>
      <c r="AL90" s="29"/>
      <c r="AM90" s="29"/>
      <c r="AN90" s="21">
        <f t="shared" si="24"/>
        <v>0</v>
      </c>
      <c r="AO90" s="57"/>
      <c r="AQ90" s="61">
        <f>SUMIFS('센터 자재 사용내역(01월)'!G:G,'센터 자재 사용내역(01월)'!E:E,'사급자재 사용내역'!C90,'센터 자재 사용내역(01월)'!F:F,"불량")</f>
        <v>0</v>
      </c>
      <c r="AR90" s="40">
        <f>SUMIFS('센터 자재 사용내역(02월)'!G:G,'센터 자재 사용내역(02월)'!E:E,'사급자재 사용내역'!C90,'센터 자재 사용내역(02월)'!F:F,"불량")</f>
        <v>0</v>
      </c>
      <c r="AS90" s="40">
        <f>SUMIFS('센터 자재 사용내역(03월)'!G:G,'센터 자재 사용내역(03월)'!E:E,'사급자재 사용내역'!C90,'센터 자재 사용내역(03월)'!F:F,"불량")</f>
        <v>0</v>
      </c>
      <c r="AT90" s="40">
        <f>SUMIFS('센터 자재 사용내역(04월)'!G:G,'센터 자재 사용내역(04월)'!E:E,'사급자재 사용내역'!C90,'센터 자재 사용내역(04월)'!F:F,"불량")</f>
        <v>0</v>
      </c>
      <c r="AU90" s="40">
        <f>SUMIFS('센터 자재 사용내역(05월)'!G:G,'센터 자재 사용내역(05월)'!E:E,'사급자재 사용내역'!C90,'센터 자재 사용내역(05월)'!F:F,"불량")</f>
        <v>0</v>
      </c>
      <c r="AV90" s="40">
        <f>SUMIFS('센터 자재 사용내역(06월)'!G:G,'센터 자재 사용내역(06월)'!E:E,'사급자재 사용내역'!C90,'센터 자재 사용내역(06월)'!F:F,"불량")</f>
        <v>0</v>
      </c>
      <c r="AW90" s="40">
        <f>SUMIFS('센터 자재 사용내역(07월)'!G:G,'센터 자재 사용내역(07월)'!E:E,'사급자재 사용내역'!C90,'센터 자재 사용내역(07월)'!F:F,"불량")</f>
        <v>0</v>
      </c>
      <c r="AX90" s="40">
        <f>SUMIFS('센터 자재 사용내역(08월)'!G:G,'센터 자재 사용내역(08월)'!E:E,'사급자재 사용내역'!C90,'센터 자재 사용내역(08월)'!F:F,"불량")</f>
        <v>0</v>
      </c>
      <c r="AY90" s="40">
        <f>SUMIFS('센터 자재 사용내역(09월)'!G:G,'센터 자재 사용내역(09월)'!E:E,'사급자재 사용내역'!C90,'센터 자재 사용내역(09월)'!F:F,"불량")</f>
        <v>0</v>
      </c>
      <c r="AZ90" s="40">
        <f>SUMIFS('센터 자재 사용내역(10월)'!G:G,'센터 자재 사용내역(10월)'!E:E,'사급자재 사용내역'!C90,'센터 자재 사용내역(10월)'!F:F,"불량")</f>
        <v>0</v>
      </c>
      <c r="BA90" s="40">
        <f>SUMIFS('센터 자재 사용내역(11월)'!G:G,'센터 자재 사용내역(11월)'!E:E,'사급자재 사용내역'!C90,'센터 자재 사용내역(11월)'!F:F,"불량")</f>
        <v>0</v>
      </c>
      <c r="BB90" s="40">
        <f>SUMIFS('센터 자재 사용내역(12월)'!G:G,'센터 자재 사용내역(12월)'!E:E,'사급자재 사용내역'!C90,'센터 자재 사용내역(12월)'!F:F,"불량")</f>
        <v>0</v>
      </c>
      <c r="BC90" s="40">
        <f t="shared" si="19"/>
        <v>0</v>
      </c>
      <c r="BD90" s="62"/>
    </row>
    <row r="91" spans="2:56" ht="19.5" customHeight="1">
      <c r="B91" s="99"/>
      <c r="C91" s="23" t="s">
        <v>70</v>
      </c>
      <c r="D91" s="64" t="s">
        <v>129</v>
      </c>
      <c r="E91" s="67">
        <v>41</v>
      </c>
      <c r="F91" s="47">
        <v>0</v>
      </c>
      <c r="G91" s="46"/>
      <c r="H91" s="78"/>
      <c r="I91" s="90">
        <f t="shared" si="25"/>
        <v>0</v>
      </c>
      <c r="J91" s="89">
        <f t="shared" si="27"/>
        <v>0</v>
      </c>
      <c r="K91" s="78">
        <f t="shared" si="26"/>
        <v>0</v>
      </c>
      <c r="L91" s="84">
        <f t="shared" si="22"/>
        <v>41</v>
      </c>
      <c r="M91" s="79">
        <f>SUMIFS('센터 자재 사용내역(01월)'!G:G,'센터 자재 사용내역(01월)'!E:E,'사급자재 사용내역'!C91,'센터 자재 사용내역(01월)'!F:F,"신규")+SUMIFS('센터 자재 사용내역(01월)'!G:G,'센터 자재 사용내역(01월)'!E:E,'사급자재 사용내역'!C91,'센터 자재 사용내역(01월)'!F:F,"교체")</f>
        <v>0</v>
      </c>
      <c r="N91" s="40">
        <f>SUMIFS('센터 자재 사용내역(02월)'!G:G,'센터 자재 사용내역(02월)'!E:E,'사급자재 사용내역'!C91,'센터 자재 사용내역(02월)'!F:F,"신규")+SUMIFS('센터 자재 사용내역(02월)'!G:G,'센터 자재 사용내역(02월)'!E:E,'사급자재 사용내역'!C91,'센터 자재 사용내역(02월)'!F:F,"교체")</f>
        <v>0</v>
      </c>
      <c r="O91" s="40">
        <f>SUMIFS('센터 자재 사용내역(03월)'!G:G,'센터 자재 사용내역(03월)'!E:E,'사급자재 사용내역'!C91,'센터 자재 사용내역(03월)'!F:F,"신규")+SUMIFS('센터 자재 사용내역(03월)'!G:G,'센터 자재 사용내역(03월)'!E:E,'사급자재 사용내역'!C91,'센터 자재 사용내역(03월)'!F:F,"교체")</f>
        <v>0</v>
      </c>
      <c r="P91" s="40">
        <f>SUMIFS('센터 자재 사용내역(04월)'!G:G,'센터 자재 사용내역(04월)'!E:E,'사급자재 사용내역'!C91,'센터 자재 사용내역(04월)'!F:F,"신규")+SUMIFS('센터 자재 사용내역(04월)'!G:G,'센터 자재 사용내역(04월)'!E:E,'사급자재 사용내역'!C91,'센터 자재 사용내역(04월)'!F:F,"교체")</f>
        <v>0</v>
      </c>
      <c r="Q91" s="40">
        <f>SUMIFS('센터 자재 사용내역(05월)'!G:G,'센터 자재 사용내역(05월)'!E:E,'사급자재 사용내역'!C91,'센터 자재 사용내역(05월)'!F:F,"신규")+SUMIFS('센터 자재 사용내역(05월)'!G:G,'센터 자재 사용내역(05월)'!E:E,'사급자재 사용내역'!C91,'센터 자재 사용내역(05월)'!F:F,"교체")</f>
        <v>0</v>
      </c>
      <c r="R91" s="40">
        <f>SUMIFS('센터 자재 사용내역(06월)'!G:G,'센터 자재 사용내역(06월)'!E:E,'사급자재 사용내역'!C91,'센터 자재 사용내역(06월)'!F:F,"신규")+SUMIFS('센터 자재 사용내역(06월)'!G:G,'센터 자재 사용내역(06월)'!E:E,'사급자재 사용내역'!C91,'센터 자재 사용내역(06월)'!F:F,"교체")</f>
        <v>0</v>
      </c>
      <c r="S91" s="40">
        <f>SUMIFS('센터 자재 사용내역(07월)'!G:G,'센터 자재 사용내역(07월)'!E:E,'사급자재 사용내역'!C91,'센터 자재 사용내역(07월)'!F:F,"신규")+SUMIFS('센터 자재 사용내역(07월)'!G:G,'센터 자재 사용내역(07월)'!E:E,'사급자재 사용내역'!C91,'센터 자재 사용내역(07월)'!F:F,"교체")</f>
        <v>0</v>
      </c>
      <c r="T91" s="40">
        <f>SUMIFS('센터 자재 사용내역(08월)'!G:G,'센터 자재 사용내역(08월)'!E:E,'사급자재 사용내역'!C91,'센터 자재 사용내역(08월)'!F:F,"신규")+SUMIFS('센터 자재 사용내역(08월)'!G:G,'센터 자재 사용내역(08월)'!E:E,'사급자재 사용내역'!C91,'센터 자재 사용내역(08월)'!F:F,"교체")</f>
        <v>0</v>
      </c>
      <c r="U91" s="40">
        <f>SUMIFS('센터 자재 사용내역(09월)'!G:G,'센터 자재 사용내역(09월)'!E:E,'사급자재 사용내역'!C91,'센터 자재 사용내역(09월)'!F:F,"신규")+SUMIFS('센터 자재 사용내역(09월)'!G:G,'센터 자재 사용내역(09월)'!E:E,'사급자재 사용내역'!C91,'센터 자재 사용내역(09월)'!F:F,"교체")</f>
        <v>0</v>
      </c>
      <c r="V91" s="40">
        <f>SUMIFS('센터 자재 사용내역(10월)'!G:G,'센터 자재 사용내역(10월)'!E:E,'사급자재 사용내역'!C91,'센터 자재 사용내역(10월)'!F:F,"신규")+SUMIFS('센터 자재 사용내역(10월)'!G:G,'센터 자재 사용내역(10월)'!E:E,'사급자재 사용내역'!C91,'센터 자재 사용내역(10월)'!F:F,"교체")</f>
        <v>0</v>
      </c>
      <c r="W91" s="40">
        <f>SUMIFS('센터 자재 사용내역(11월)'!G:G,'센터 자재 사용내역(11월)'!E:E,'사급자재 사용내역'!C91,'센터 자재 사용내역(11월)'!F:F,"신규")+SUMIFS('센터 자재 사용내역(11월)'!G:G,'센터 자재 사용내역(11월)'!E:E,'사급자재 사용내역'!C91,'센터 자재 사용내역(11월)'!F:F,"교체")</f>
        <v>0</v>
      </c>
      <c r="X91" s="40">
        <f>SUMIFS('센터 자재 사용내역(12월)'!G:G,'센터 자재 사용내역(12월)'!E:E,'사급자재 사용내역'!C91,'센터 자재 사용내역(12월)'!F:F,"신규")+SUMIFS('센터 자재 사용내역(12월)'!G:G,'센터 자재 사용내역(12월)'!E:E,'사급자재 사용내역'!C91,'센터 자재 사용내역(12월)'!F:F,"교체")</f>
        <v>0</v>
      </c>
      <c r="Y91" s="40">
        <f t="shared" si="23"/>
        <v>0</v>
      </c>
      <c r="Z91" s="53"/>
      <c r="AB91" s="56"/>
      <c r="AC91" s="29"/>
      <c r="AD91" s="29"/>
      <c r="AE91" s="29"/>
      <c r="AF91" s="29"/>
      <c r="AG91" s="29"/>
      <c r="AH91" s="29"/>
      <c r="AI91" s="29"/>
      <c r="AJ91" s="29"/>
      <c r="AK91" s="29"/>
      <c r="AL91" s="29"/>
      <c r="AM91" s="29"/>
      <c r="AN91" s="21">
        <f t="shared" si="24"/>
        <v>0</v>
      </c>
      <c r="AO91" s="57"/>
      <c r="AQ91" s="61">
        <f>SUMIFS('센터 자재 사용내역(01월)'!G:G,'센터 자재 사용내역(01월)'!E:E,'사급자재 사용내역'!C91,'센터 자재 사용내역(01월)'!F:F,"불량")</f>
        <v>0</v>
      </c>
      <c r="AR91" s="40">
        <f>SUMIFS('센터 자재 사용내역(02월)'!G:G,'센터 자재 사용내역(02월)'!E:E,'사급자재 사용내역'!C91,'센터 자재 사용내역(02월)'!F:F,"불량")</f>
        <v>0</v>
      </c>
      <c r="AS91" s="40">
        <f>SUMIFS('센터 자재 사용내역(03월)'!G:G,'센터 자재 사용내역(03월)'!E:E,'사급자재 사용내역'!C91,'센터 자재 사용내역(03월)'!F:F,"불량")</f>
        <v>0</v>
      </c>
      <c r="AT91" s="40">
        <f>SUMIFS('센터 자재 사용내역(04월)'!G:G,'센터 자재 사용내역(04월)'!E:E,'사급자재 사용내역'!C91,'센터 자재 사용내역(04월)'!F:F,"불량")</f>
        <v>0</v>
      </c>
      <c r="AU91" s="40">
        <f>SUMIFS('센터 자재 사용내역(05월)'!G:G,'센터 자재 사용내역(05월)'!E:E,'사급자재 사용내역'!C91,'센터 자재 사용내역(05월)'!F:F,"불량")</f>
        <v>0</v>
      </c>
      <c r="AV91" s="40">
        <f>SUMIFS('센터 자재 사용내역(06월)'!G:G,'센터 자재 사용내역(06월)'!E:E,'사급자재 사용내역'!C91,'센터 자재 사용내역(06월)'!F:F,"불량")</f>
        <v>0</v>
      </c>
      <c r="AW91" s="40">
        <f>SUMIFS('센터 자재 사용내역(07월)'!G:G,'센터 자재 사용내역(07월)'!E:E,'사급자재 사용내역'!C91,'센터 자재 사용내역(07월)'!F:F,"불량")</f>
        <v>0</v>
      </c>
      <c r="AX91" s="40">
        <f>SUMIFS('센터 자재 사용내역(08월)'!G:G,'센터 자재 사용내역(08월)'!E:E,'사급자재 사용내역'!C91,'센터 자재 사용내역(08월)'!F:F,"불량")</f>
        <v>0</v>
      </c>
      <c r="AY91" s="40">
        <f>SUMIFS('센터 자재 사용내역(09월)'!G:G,'센터 자재 사용내역(09월)'!E:E,'사급자재 사용내역'!C91,'센터 자재 사용내역(09월)'!F:F,"불량")</f>
        <v>0</v>
      </c>
      <c r="AZ91" s="40">
        <f>SUMIFS('센터 자재 사용내역(10월)'!G:G,'센터 자재 사용내역(10월)'!E:E,'사급자재 사용내역'!C91,'센터 자재 사용내역(10월)'!F:F,"불량")</f>
        <v>0</v>
      </c>
      <c r="BA91" s="40">
        <f>SUMIFS('센터 자재 사용내역(11월)'!G:G,'센터 자재 사용내역(11월)'!E:E,'사급자재 사용내역'!C91,'센터 자재 사용내역(11월)'!F:F,"불량")</f>
        <v>0</v>
      </c>
      <c r="BB91" s="40">
        <f>SUMIFS('센터 자재 사용내역(12월)'!G:G,'센터 자재 사용내역(12월)'!E:E,'사급자재 사용내역'!C91,'센터 자재 사용내역(12월)'!F:F,"불량")</f>
        <v>0</v>
      </c>
      <c r="BC91" s="40">
        <f t="shared" si="19"/>
        <v>0</v>
      </c>
      <c r="BD91" s="62"/>
    </row>
    <row r="92" spans="2:56" ht="19.5" customHeight="1">
      <c r="B92" s="99"/>
      <c r="C92" s="23" t="s">
        <v>71</v>
      </c>
      <c r="D92" s="64" t="s">
        <v>131</v>
      </c>
      <c r="E92" s="67">
        <v>29</v>
      </c>
      <c r="F92" s="47">
        <v>0</v>
      </c>
      <c r="G92" s="46"/>
      <c r="H92" s="78"/>
      <c r="I92" s="90">
        <f t="shared" si="25"/>
        <v>0</v>
      </c>
      <c r="J92" s="89">
        <f t="shared" si="27"/>
        <v>8</v>
      </c>
      <c r="K92" s="78">
        <f t="shared" si="26"/>
        <v>0</v>
      </c>
      <c r="L92" s="84">
        <f t="shared" si="22"/>
        <v>21</v>
      </c>
      <c r="M92" s="79">
        <f>SUMIFS('센터 자재 사용내역(01월)'!G:G,'센터 자재 사용내역(01월)'!E:E,'사급자재 사용내역'!C92,'센터 자재 사용내역(01월)'!F:F,"신규")+SUMIFS('센터 자재 사용내역(01월)'!G:G,'센터 자재 사용내역(01월)'!E:E,'사급자재 사용내역'!C92,'센터 자재 사용내역(01월)'!F:F,"교체")</f>
        <v>0</v>
      </c>
      <c r="N92" s="40">
        <f>SUMIFS('센터 자재 사용내역(02월)'!G:G,'센터 자재 사용내역(02월)'!E:E,'사급자재 사용내역'!C92,'센터 자재 사용내역(02월)'!F:F,"신규")+SUMIFS('센터 자재 사용내역(02월)'!G:G,'센터 자재 사용내역(02월)'!E:E,'사급자재 사용내역'!C92,'센터 자재 사용내역(02월)'!F:F,"교체")</f>
        <v>0</v>
      </c>
      <c r="O92" s="40">
        <f>SUMIFS('센터 자재 사용내역(03월)'!G:G,'센터 자재 사용내역(03월)'!E:E,'사급자재 사용내역'!C92,'센터 자재 사용내역(03월)'!F:F,"신규")+SUMIFS('센터 자재 사용내역(03월)'!G:G,'센터 자재 사용내역(03월)'!E:E,'사급자재 사용내역'!C92,'센터 자재 사용내역(03월)'!F:F,"교체")</f>
        <v>0</v>
      </c>
      <c r="P92" s="40">
        <f>SUMIFS('센터 자재 사용내역(04월)'!G:G,'센터 자재 사용내역(04월)'!E:E,'사급자재 사용내역'!C92,'센터 자재 사용내역(04월)'!F:F,"신규")+SUMIFS('센터 자재 사용내역(04월)'!G:G,'센터 자재 사용내역(04월)'!E:E,'사급자재 사용내역'!C92,'센터 자재 사용내역(04월)'!F:F,"교체")</f>
        <v>3</v>
      </c>
      <c r="Q92" s="40">
        <f>SUMIFS('센터 자재 사용내역(05월)'!G:G,'센터 자재 사용내역(05월)'!E:E,'사급자재 사용내역'!C92,'센터 자재 사용내역(05월)'!F:F,"신규")+SUMIFS('센터 자재 사용내역(05월)'!G:G,'센터 자재 사용내역(05월)'!E:E,'사급자재 사용내역'!C92,'센터 자재 사용내역(05월)'!F:F,"교체")</f>
        <v>3</v>
      </c>
      <c r="R92" s="40">
        <f>SUMIFS('센터 자재 사용내역(06월)'!G:G,'센터 자재 사용내역(06월)'!E:E,'사급자재 사용내역'!C92,'센터 자재 사용내역(06월)'!F:F,"신규")+SUMIFS('센터 자재 사용내역(06월)'!G:G,'센터 자재 사용내역(06월)'!E:E,'사급자재 사용내역'!C92,'센터 자재 사용내역(06월)'!F:F,"교체")</f>
        <v>0</v>
      </c>
      <c r="S92" s="40">
        <f>SUMIFS('센터 자재 사용내역(07월)'!G:G,'센터 자재 사용내역(07월)'!E:E,'사급자재 사용내역'!C92,'센터 자재 사용내역(07월)'!F:F,"신규")+SUMIFS('센터 자재 사용내역(07월)'!G:G,'센터 자재 사용내역(07월)'!E:E,'사급자재 사용내역'!C92,'센터 자재 사용내역(07월)'!F:F,"교체")</f>
        <v>1</v>
      </c>
      <c r="T92" s="40">
        <f>SUMIFS('센터 자재 사용내역(08월)'!G:G,'센터 자재 사용내역(08월)'!E:E,'사급자재 사용내역'!C92,'센터 자재 사용내역(08월)'!F:F,"신규")+SUMIFS('센터 자재 사용내역(08월)'!G:G,'센터 자재 사용내역(08월)'!E:E,'사급자재 사용내역'!C92,'센터 자재 사용내역(08월)'!F:F,"교체")</f>
        <v>1</v>
      </c>
      <c r="U92" s="40">
        <f>SUMIFS('센터 자재 사용내역(09월)'!G:G,'센터 자재 사용내역(09월)'!E:E,'사급자재 사용내역'!C92,'센터 자재 사용내역(09월)'!F:F,"신규")+SUMIFS('센터 자재 사용내역(09월)'!G:G,'센터 자재 사용내역(09월)'!E:E,'사급자재 사용내역'!C92,'센터 자재 사용내역(09월)'!F:F,"교체")</f>
        <v>0</v>
      </c>
      <c r="V92" s="40">
        <f>SUMIFS('센터 자재 사용내역(10월)'!G:G,'센터 자재 사용내역(10월)'!E:E,'사급자재 사용내역'!C92,'센터 자재 사용내역(10월)'!F:F,"신규")+SUMIFS('센터 자재 사용내역(10월)'!G:G,'센터 자재 사용내역(10월)'!E:E,'사급자재 사용내역'!C92,'센터 자재 사용내역(10월)'!F:F,"교체")</f>
        <v>0</v>
      </c>
      <c r="W92" s="40">
        <f>SUMIFS('센터 자재 사용내역(11월)'!G:G,'센터 자재 사용내역(11월)'!E:E,'사급자재 사용내역'!C92,'센터 자재 사용내역(11월)'!F:F,"신규")+SUMIFS('센터 자재 사용내역(11월)'!G:G,'센터 자재 사용내역(11월)'!E:E,'사급자재 사용내역'!C92,'센터 자재 사용내역(11월)'!F:F,"교체")</f>
        <v>0</v>
      </c>
      <c r="X92" s="40">
        <f>SUMIFS('센터 자재 사용내역(12월)'!G:G,'센터 자재 사용내역(12월)'!E:E,'사급자재 사용내역'!C92,'센터 자재 사용내역(12월)'!F:F,"신규")+SUMIFS('센터 자재 사용내역(12월)'!G:G,'센터 자재 사용내역(12월)'!E:E,'사급자재 사용내역'!C92,'센터 자재 사용내역(12월)'!F:F,"교체")</f>
        <v>0</v>
      </c>
      <c r="Y92" s="40">
        <f t="shared" si="23"/>
        <v>8</v>
      </c>
      <c r="Z92" s="53"/>
      <c r="AB92" s="56"/>
      <c r="AC92" s="29"/>
      <c r="AD92" s="29"/>
      <c r="AE92" s="29"/>
      <c r="AF92" s="29"/>
      <c r="AG92" s="29"/>
      <c r="AH92" s="29"/>
      <c r="AI92" s="29"/>
      <c r="AJ92" s="29"/>
      <c r="AK92" s="29"/>
      <c r="AL92" s="29"/>
      <c r="AM92" s="29"/>
      <c r="AN92" s="21">
        <f t="shared" si="24"/>
        <v>0</v>
      </c>
      <c r="AO92" s="57"/>
      <c r="AQ92" s="61">
        <f>SUMIFS('센터 자재 사용내역(01월)'!G:G,'센터 자재 사용내역(01월)'!E:E,'사급자재 사용내역'!C92,'센터 자재 사용내역(01월)'!F:F,"불량")</f>
        <v>0</v>
      </c>
      <c r="AR92" s="40">
        <f>SUMIFS('센터 자재 사용내역(02월)'!G:G,'센터 자재 사용내역(02월)'!E:E,'사급자재 사용내역'!C92,'센터 자재 사용내역(02월)'!F:F,"불량")</f>
        <v>0</v>
      </c>
      <c r="AS92" s="40">
        <f>SUMIFS('센터 자재 사용내역(03월)'!G:G,'센터 자재 사용내역(03월)'!E:E,'사급자재 사용내역'!C92,'센터 자재 사용내역(03월)'!F:F,"불량")</f>
        <v>0</v>
      </c>
      <c r="AT92" s="40">
        <f>SUMIFS('센터 자재 사용내역(04월)'!G:G,'센터 자재 사용내역(04월)'!E:E,'사급자재 사용내역'!C92,'센터 자재 사용내역(04월)'!F:F,"불량")</f>
        <v>0</v>
      </c>
      <c r="AU92" s="40">
        <f>SUMIFS('센터 자재 사용내역(05월)'!G:G,'센터 자재 사용내역(05월)'!E:E,'사급자재 사용내역'!C92,'센터 자재 사용내역(05월)'!F:F,"불량")</f>
        <v>0</v>
      </c>
      <c r="AV92" s="40">
        <f>SUMIFS('센터 자재 사용내역(06월)'!G:G,'센터 자재 사용내역(06월)'!E:E,'사급자재 사용내역'!C92,'센터 자재 사용내역(06월)'!F:F,"불량")</f>
        <v>0</v>
      </c>
      <c r="AW92" s="40">
        <f>SUMIFS('센터 자재 사용내역(07월)'!G:G,'센터 자재 사용내역(07월)'!E:E,'사급자재 사용내역'!C92,'센터 자재 사용내역(07월)'!F:F,"불량")</f>
        <v>0</v>
      </c>
      <c r="AX92" s="40">
        <f>SUMIFS('센터 자재 사용내역(08월)'!G:G,'센터 자재 사용내역(08월)'!E:E,'사급자재 사용내역'!C92,'센터 자재 사용내역(08월)'!F:F,"불량")</f>
        <v>0</v>
      </c>
      <c r="AY92" s="40">
        <f>SUMIFS('센터 자재 사용내역(09월)'!G:G,'센터 자재 사용내역(09월)'!E:E,'사급자재 사용내역'!C92,'센터 자재 사용내역(09월)'!F:F,"불량")</f>
        <v>0</v>
      </c>
      <c r="AZ92" s="40">
        <f>SUMIFS('센터 자재 사용내역(10월)'!G:G,'센터 자재 사용내역(10월)'!E:E,'사급자재 사용내역'!C92,'센터 자재 사용내역(10월)'!F:F,"불량")</f>
        <v>0</v>
      </c>
      <c r="BA92" s="40">
        <f>SUMIFS('센터 자재 사용내역(11월)'!G:G,'센터 자재 사용내역(11월)'!E:E,'사급자재 사용내역'!C92,'센터 자재 사용내역(11월)'!F:F,"불량")</f>
        <v>0</v>
      </c>
      <c r="BB92" s="40">
        <f>SUMIFS('센터 자재 사용내역(12월)'!G:G,'센터 자재 사용내역(12월)'!E:E,'사급자재 사용내역'!C92,'센터 자재 사용내역(12월)'!F:F,"불량")</f>
        <v>0</v>
      </c>
      <c r="BC92" s="40">
        <f t="shared" si="19"/>
        <v>0</v>
      </c>
      <c r="BD92" s="62"/>
    </row>
    <row r="93" spans="2:56" ht="19.5" customHeight="1">
      <c r="B93" s="99"/>
      <c r="C93" s="23" t="s">
        <v>72</v>
      </c>
      <c r="D93" s="64" t="s">
        <v>131</v>
      </c>
      <c r="E93" s="67">
        <v>42</v>
      </c>
      <c r="F93" s="47">
        <v>0</v>
      </c>
      <c r="G93" s="46"/>
      <c r="H93" s="78"/>
      <c r="I93" s="90">
        <f t="shared" si="25"/>
        <v>0</v>
      </c>
      <c r="J93" s="89">
        <f t="shared" si="27"/>
        <v>1</v>
      </c>
      <c r="K93" s="78">
        <f t="shared" si="26"/>
        <v>0</v>
      </c>
      <c r="L93" s="84">
        <f t="shared" si="22"/>
        <v>41</v>
      </c>
      <c r="M93" s="79">
        <f>SUMIFS('센터 자재 사용내역(01월)'!G:G,'센터 자재 사용내역(01월)'!E:E,'사급자재 사용내역'!C93,'센터 자재 사용내역(01월)'!F:F,"신규")+SUMIFS('센터 자재 사용내역(01월)'!G:G,'센터 자재 사용내역(01월)'!E:E,'사급자재 사용내역'!C93,'센터 자재 사용내역(01월)'!F:F,"교체")</f>
        <v>0</v>
      </c>
      <c r="N93" s="40">
        <f>SUMIFS('센터 자재 사용내역(02월)'!G:G,'센터 자재 사용내역(02월)'!E:E,'사급자재 사용내역'!C93,'센터 자재 사용내역(02월)'!F:F,"신규")+SUMIFS('센터 자재 사용내역(02월)'!G:G,'센터 자재 사용내역(02월)'!E:E,'사급자재 사용내역'!C93,'센터 자재 사용내역(02월)'!F:F,"교체")</f>
        <v>0</v>
      </c>
      <c r="O93" s="40">
        <f>SUMIFS('센터 자재 사용내역(03월)'!G:G,'센터 자재 사용내역(03월)'!E:E,'사급자재 사용내역'!C93,'센터 자재 사용내역(03월)'!F:F,"신규")+SUMIFS('센터 자재 사용내역(03월)'!G:G,'센터 자재 사용내역(03월)'!E:E,'사급자재 사용내역'!C93,'센터 자재 사용내역(03월)'!F:F,"교체")</f>
        <v>0</v>
      </c>
      <c r="P93" s="40">
        <f>SUMIFS('센터 자재 사용내역(04월)'!G:G,'센터 자재 사용내역(04월)'!E:E,'사급자재 사용내역'!C93,'센터 자재 사용내역(04월)'!F:F,"신규")+SUMIFS('센터 자재 사용내역(04월)'!G:G,'센터 자재 사용내역(04월)'!E:E,'사급자재 사용내역'!C93,'센터 자재 사용내역(04월)'!F:F,"교체")</f>
        <v>0</v>
      </c>
      <c r="Q93" s="40">
        <f>SUMIFS('센터 자재 사용내역(05월)'!G:G,'센터 자재 사용내역(05월)'!E:E,'사급자재 사용내역'!C93,'센터 자재 사용내역(05월)'!F:F,"신규")+SUMIFS('센터 자재 사용내역(05월)'!G:G,'센터 자재 사용내역(05월)'!E:E,'사급자재 사용내역'!C93,'센터 자재 사용내역(05월)'!F:F,"교체")</f>
        <v>0</v>
      </c>
      <c r="R93" s="40">
        <f>SUMIFS('센터 자재 사용내역(06월)'!G:G,'센터 자재 사용내역(06월)'!E:E,'사급자재 사용내역'!C93,'센터 자재 사용내역(06월)'!F:F,"신규")+SUMIFS('센터 자재 사용내역(06월)'!G:G,'센터 자재 사용내역(06월)'!E:E,'사급자재 사용내역'!C93,'센터 자재 사용내역(06월)'!F:F,"교체")</f>
        <v>0</v>
      </c>
      <c r="S93" s="40">
        <f>SUMIFS('센터 자재 사용내역(07월)'!G:G,'센터 자재 사용내역(07월)'!E:E,'사급자재 사용내역'!C93,'센터 자재 사용내역(07월)'!F:F,"신규")+SUMIFS('센터 자재 사용내역(07월)'!G:G,'센터 자재 사용내역(07월)'!E:E,'사급자재 사용내역'!C93,'센터 자재 사용내역(07월)'!F:F,"교체")</f>
        <v>1</v>
      </c>
      <c r="T93" s="40">
        <f>SUMIFS('센터 자재 사용내역(08월)'!G:G,'센터 자재 사용내역(08월)'!E:E,'사급자재 사용내역'!C93,'센터 자재 사용내역(08월)'!F:F,"신규")+SUMIFS('센터 자재 사용내역(08월)'!G:G,'센터 자재 사용내역(08월)'!E:E,'사급자재 사용내역'!C93,'센터 자재 사용내역(08월)'!F:F,"교체")</f>
        <v>0</v>
      </c>
      <c r="U93" s="40">
        <f>SUMIFS('센터 자재 사용내역(09월)'!G:G,'센터 자재 사용내역(09월)'!E:E,'사급자재 사용내역'!C93,'센터 자재 사용내역(09월)'!F:F,"신규")+SUMIFS('센터 자재 사용내역(09월)'!G:G,'센터 자재 사용내역(09월)'!E:E,'사급자재 사용내역'!C93,'센터 자재 사용내역(09월)'!F:F,"교체")</f>
        <v>0</v>
      </c>
      <c r="V93" s="40">
        <f>SUMIFS('센터 자재 사용내역(10월)'!G:G,'센터 자재 사용내역(10월)'!E:E,'사급자재 사용내역'!C93,'센터 자재 사용내역(10월)'!F:F,"신규")+SUMIFS('센터 자재 사용내역(10월)'!G:G,'센터 자재 사용내역(10월)'!E:E,'사급자재 사용내역'!C93,'센터 자재 사용내역(10월)'!F:F,"교체")</f>
        <v>0</v>
      </c>
      <c r="W93" s="40">
        <f>SUMIFS('센터 자재 사용내역(11월)'!G:G,'센터 자재 사용내역(11월)'!E:E,'사급자재 사용내역'!C93,'센터 자재 사용내역(11월)'!F:F,"신규")+SUMIFS('센터 자재 사용내역(11월)'!G:G,'센터 자재 사용내역(11월)'!E:E,'사급자재 사용내역'!C93,'센터 자재 사용내역(11월)'!F:F,"교체")</f>
        <v>0</v>
      </c>
      <c r="X93" s="40">
        <f>SUMIFS('센터 자재 사용내역(12월)'!G:G,'센터 자재 사용내역(12월)'!E:E,'사급자재 사용내역'!C93,'센터 자재 사용내역(12월)'!F:F,"신규")+SUMIFS('센터 자재 사용내역(12월)'!G:G,'센터 자재 사용내역(12월)'!E:E,'사급자재 사용내역'!C93,'센터 자재 사용내역(12월)'!F:F,"교체")</f>
        <v>0</v>
      </c>
      <c r="Y93" s="40">
        <f t="shared" si="23"/>
        <v>1</v>
      </c>
      <c r="Z93" s="53"/>
      <c r="AB93" s="56"/>
      <c r="AC93" s="29"/>
      <c r="AD93" s="29"/>
      <c r="AE93" s="29"/>
      <c r="AF93" s="29"/>
      <c r="AG93" s="29"/>
      <c r="AH93" s="29"/>
      <c r="AI93" s="29"/>
      <c r="AJ93" s="29"/>
      <c r="AK93" s="29"/>
      <c r="AL93" s="29"/>
      <c r="AM93" s="29"/>
      <c r="AN93" s="21">
        <f t="shared" si="24"/>
        <v>0</v>
      </c>
      <c r="AO93" s="57"/>
      <c r="AQ93" s="61">
        <f>SUMIFS('센터 자재 사용내역(01월)'!G:G,'센터 자재 사용내역(01월)'!E:E,'사급자재 사용내역'!C93,'센터 자재 사용내역(01월)'!F:F,"불량")</f>
        <v>0</v>
      </c>
      <c r="AR93" s="40">
        <f>SUMIFS('센터 자재 사용내역(02월)'!G:G,'센터 자재 사용내역(02월)'!E:E,'사급자재 사용내역'!C93,'센터 자재 사용내역(02월)'!F:F,"불량")</f>
        <v>0</v>
      </c>
      <c r="AS93" s="40">
        <f>SUMIFS('센터 자재 사용내역(03월)'!G:G,'센터 자재 사용내역(03월)'!E:E,'사급자재 사용내역'!C93,'센터 자재 사용내역(03월)'!F:F,"불량")</f>
        <v>0</v>
      </c>
      <c r="AT93" s="40">
        <f>SUMIFS('센터 자재 사용내역(04월)'!G:G,'센터 자재 사용내역(04월)'!E:E,'사급자재 사용내역'!C93,'센터 자재 사용내역(04월)'!F:F,"불량")</f>
        <v>0</v>
      </c>
      <c r="AU93" s="40">
        <f>SUMIFS('센터 자재 사용내역(05월)'!G:G,'센터 자재 사용내역(05월)'!E:E,'사급자재 사용내역'!C93,'센터 자재 사용내역(05월)'!F:F,"불량")</f>
        <v>0</v>
      </c>
      <c r="AV93" s="40">
        <f>SUMIFS('센터 자재 사용내역(06월)'!G:G,'센터 자재 사용내역(06월)'!E:E,'사급자재 사용내역'!C93,'센터 자재 사용내역(06월)'!F:F,"불량")</f>
        <v>0</v>
      </c>
      <c r="AW93" s="40">
        <f>SUMIFS('센터 자재 사용내역(07월)'!G:G,'센터 자재 사용내역(07월)'!E:E,'사급자재 사용내역'!C93,'센터 자재 사용내역(07월)'!F:F,"불량")</f>
        <v>0</v>
      </c>
      <c r="AX93" s="40">
        <f>SUMIFS('센터 자재 사용내역(08월)'!G:G,'센터 자재 사용내역(08월)'!E:E,'사급자재 사용내역'!C93,'센터 자재 사용내역(08월)'!F:F,"불량")</f>
        <v>0</v>
      </c>
      <c r="AY93" s="40">
        <f>SUMIFS('센터 자재 사용내역(09월)'!G:G,'센터 자재 사용내역(09월)'!E:E,'사급자재 사용내역'!C93,'센터 자재 사용내역(09월)'!F:F,"불량")</f>
        <v>0</v>
      </c>
      <c r="AZ93" s="40">
        <f>SUMIFS('센터 자재 사용내역(10월)'!G:G,'센터 자재 사용내역(10월)'!E:E,'사급자재 사용내역'!C93,'센터 자재 사용내역(10월)'!F:F,"불량")</f>
        <v>0</v>
      </c>
      <c r="BA93" s="40">
        <f>SUMIFS('센터 자재 사용내역(11월)'!G:G,'센터 자재 사용내역(11월)'!E:E,'사급자재 사용내역'!C93,'센터 자재 사용내역(11월)'!F:F,"불량")</f>
        <v>0</v>
      </c>
      <c r="BB93" s="40">
        <f>SUMIFS('센터 자재 사용내역(12월)'!G:G,'센터 자재 사용내역(12월)'!E:E,'사급자재 사용내역'!C93,'센터 자재 사용내역(12월)'!F:F,"불량")</f>
        <v>0</v>
      </c>
      <c r="BC93" s="40">
        <f t="shared" si="19"/>
        <v>0</v>
      </c>
      <c r="BD93" s="62"/>
    </row>
    <row r="94" spans="2:56" ht="19.5" customHeight="1">
      <c r="B94" s="99"/>
      <c r="C94" s="23" t="s">
        <v>73</v>
      </c>
      <c r="D94" s="64" t="s">
        <v>129</v>
      </c>
      <c r="E94" s="67">
        <v>10</v>
      </c>
      <c r="F94" s="47">
        <v>0</v>
      </c>
      <c r="G94" s="46"/>
      <c r="H94" s="78"/>
      <c r="I94" s="90">
        <f t="shared" si="25"/>
        <v>0</v>
      </c>
      <c r="J94" s="89">
        <f t="shared" si="27"/>
        <v>0</v>
      </c>
      <c r="K94" s="78">
        <f t="shared" si="26"/>
        <v>0</v>
      </c>
      <c r="L94" s="84">
        <f t="shared" si="22"/>
        <v>10</v>
      </c>
      <c r="M94" s="79">
        <f>SUMIFS('센터 자재 사용내역(01월)'!G:G,'센터 자재 사용내역(01월)'!E:E,'사급자재 사용내역'!C94,'센터 자재 사용내역(01월)'!F:F,"신규")+SUMIFS('센터 자재 사용내역(01월)'!G:G,'센터 자재 사용내역(01월)'!E:E,'사급자재 사용내역'!C94,'센터 자재 사용내역(01월)'!F:F,"교체")</f>
        <v>0</v>
      </c>
      <c r="N94" s="40">
        <f>SUMIFS('센터 자재 사용내역(02월)'!G:G,'센터 자재 사용내역(02월)'!E:E,'사급자재 사용내역'!C94,'센터 자재 사용내역(02월)'!F:F,"신규")+SUMIFS('센터 자재 사용내역(02월)'!G:G,'센터 자재 사용내역(02월)'!E:E,'사급자재 사용내역'!C94,'센터 자재 사용내역(02월)'!F:F,"교체")</f>
        <v>0</v>
      </c>
      <c r="O94" s="40">
        <f>SUMIFS('센터 자재 사용내역(03월)'!G:G,'센터 자재 사용내역(03월)'!E:E,'사급자재 사용내역'!C94,'센터 자재 사용내역(03월)'!F:F,"신규")+SUMIFS('센터 자재 사용내역(03월)'!G:G,'센터 자재 사용내역(03월)'!E:E,'사급자재 사용내역'!C94,'센터 자재 사용내역(03월)'!F:F,"교체")</f>
        <v>0</v>
      </c>
      <c r="P94" s="40">
        <f>SUMIFS('센터 자재 사용내역(04월)'!G:G,'센터 자재 사용내역(04월)'!E:E,'사급자재 사용내역'!C94,'센터 자재 사용내역(04월)'!F:F,"신규")+SUMIFS('센터 자재 사용내역(04월)'!G:G,'센터 자재 사용내역(04월)'!E:E,'사급자재 사용내역'!C94,'센터 자재 사용내역(04월)'!F:F,"교체")</f>
        <v>0</v>
      </c>
      <c r="Q94" s="40">
        <f>SUMIFS('센터 자재 사용내역(05월)'!G:G,'센터 자재 사용내역(05월)'!E:E,'사급자재 사용내역'!C94,'센터 자재 사용내역(05월)'!F:F,"신규")+SUMIFS('센터 자재 사용내역(05월)'!G:G,'센터 자재 사용내역(05월)'!E:E,'사급자재 사용내역'!C94,'센터 자재 사용내역(05월)'!F:F,"교체")</f>
        <v>0</v>
      </c>
      <c r="R94" s="40">
        <f>SUMIFS('센터 자재 사용내역(06월)'!G:G,'센터 자재 사용내역(06월)'!E:E,'사급자재 사용내역'!C94,'센터 자재 사용내역(06월)'!F:F,"신규")+SUMIFS('센터 자재 사용내역(06월)'!G:G,'센터 자재 사용내역(06월)'!E:E,'사급자재 사용내역'!C94,'센터 자재 사용내역(06월)'!F:F,"교체")</f>
        <v>0</v>
      </c>
      <c r="S94" s="40">
        <f>SUMIFS('센터 자재 사용내역(07월)'!G:G,'센터 자재 사용내역(07월)'!E:E,'사급자재 사용내역'!C94,'센터 자재 사용내역(07월)'!F:F,"신규")+SUMIFS('센터 자재 사용내역(07월)'!G:G,'센터 자재 사용내역(07월)'!E:E,'사급자재 사용내역'!C94,'센터 자재 사용내역(07월)'!F:F,"교체")</f>
        <v>0</v>
      </c>
      <c r="T94" s="40">
        <f>SUMIFS('센터 자재 사용내역(08월)'!G:G,'센터 자재 사용내역(08월)'!E:E,'사급자재 사용내역'!C94,'센터 자재 사용내역(08월)'!F:F,"신규")+SUMIFS('센터 자재 사용내역(08월)'!G:G,'센터 자재 사용내역(08월)'!E:E,'사급자재 사용내역'!C94,'센터 자재 사용내역(08월)'!F:F,"교체")</f>
        <v>0</v>
      </c>
      <c r="U94" s="40">
        <f>SUMIFS('센터 자재 사용내역(09월)'!G:G,'센터 자재 사용내역(09월)'!E:E,'사급자재 사용내역'!C94,'센터 자재 사용내역(09월)'!F:F,"신규")+SUMIFS('센터 자재 사용내역(09월)'!G:G,'센터 자재 사용내역(09월)'!E:E,'사급자재 사용내역'!C94,'센터 자재 사용내역(09월)'!F:F,"교체")</f>
        <v>0</v>
      </c>
      <c r="V94" s="40">
        <f>SUMIFS('센터 자재 사용내역(10월)'!G:G,'센터 자재 사용내역(10월)'!E:E,'사급자재 사용내역'!C94,'센터 자재 사용내역(10월)'!F:F,"신규")+SUMIFS('센터 자재 사용내역(10월)'!G:G,'센터 자재 사용내역(10월)'!E:E,'사급자재 사용내역'!C94,'센터 자재 사용내역(10월)'!F:F,"교체")</f>
        <v>0</v>
      </c>
      <c r="W94" s="40">
        <f>SUMIFS('센터 자재 사용내역(11월)'!G:G,'센터 자재 사용내역(11월)'!E:E,'사급자재 사용내역'!C94,'센터 자재 사용내역(11월)'!F:F,"신규")+SUMIFS('센터 자재 사용내역(11월)'!G:G,'센터 자재 사용내역(11월)'!E:E,'사급자재 사용내역'!C94,'센터 자재 사용내역(11월)'!F:F,"교체")</f>
        <v>0</v>
      </c>
      <c r="X94" s="40">
        <f>SUMIFS('센터 자재 사용내역(12월)'!G:G,'센터 자재 사용내역(12월)'!E:E,'사급자재 사용내역'!C94,'센터 자재 사용내역(12월)'!F:F,"신규")+SUMIFS('센터 자재 사용내역(12월)'!G:G,'센터 자재 사용내역(12월)'!E:E,'사급자재 사용내역'!C94,'센터 자재 사용내역(12월)'!F:F,"교체")</f>
        <v>0</v>
      </c>
      <c r="Y94" s="40">
        <f t="shared" si="23"/>
        <v>0</v>
      </c>
      <c r="Z94" s="53"/>
      <c r="AB94" s="56"/>
      <c r="AC94" s="29"/>
      <c r="AD94" s="29"/>
      <c r="AE94" s="29"/>
      <c r="AF94" s="29"/>
      <c r="AG94" s="29"/>
      <c r="AH94" s="29"/>
      <c r="AI94" s="29"/>
      <c r="AJ94" s="29"/>
      <c r="AK94" s="29"/>
      <c r="AL94" s="29"/>
      <c r="AM94" s="29"/>
      <c r="AN94" s="21">
        <f t="shared" si="24"/>
        <v>0</v>
      </c>
      <c r="AO94" s="57"/>
      <c r="AQ94" s="61">
        <f>SUMIFS('센터 자재 사용내역(01월)'!G:G,'센터 자재 사용내역(01월)'!E:E,'사급자재 사용내역'!C94,'센터 자재 사용내역(01월)'!F:F,"불량")</f>
        <v>0</v>
      </c>
      <c r="AR94" s="40">
        <f>SUMIFS('센터 자재 사용내역(02월)'!G:G,'센터 자재 사용내역(02월)'!E:E,'사급자재 사용내역'!C94,'센터 자재 사용내역(02월)'!F:F,"불량")</f>
        <v>0</v>
      </c>
      <c r="AS94" s="40">
        <f>SUMIFS('센터 자재 사용내역(03월)'!G:G,'센터 자재 사용내역(03월)'!E:E,'사급자재 사용내역'!C94,'센터 자재 사용내역(03월)'!F:F,"불량")</f>
        <v>0</v>
      </c>
      <c r="AT94" s="40">
        <f>SUMIFS('센터 자재 사용내역(04월)'!G:G,'센터 자재 사용내역(04월)'!E:E,'사급자재 사용내역'!C94,'센터 자재 사용내역(04월)'!F:F,"불량")</f>
        <v>0</v>
      </c>
      <c r="AU94" s="40">
        <f>SUMIFS('센터 자재 사용내역(05월)'!G:G,'센터 자재 사용내역(05월)'!E:E,'사급자재 사용내역'!C94,'센터 자재 사용내역(05월)'!F:F,"불량")</f>
        <v>0</v>
      </c>
      <c r="AV94" s="40">
        <f>SUMIFS('센터 자재 사용내역(06월)'!G:G,'센터 자재 사용내역(06월)'!E:E,'사급자재 사용내역'!C94,'센터 자재 사용내역(06월)'!F:F,"불량")</f>
        <v>0</v>
      </c>
      <c r="AW94" s="40">
        <f>SUMIFS('센터 자재 사용내역(07월)'!G:G,'센터 자재 사용내역(07월)'!E:E,'사급자재 사용내역'!C94,'센터 자재 사용내역(07월)'!F:F,"불량")</f>
        <v>0</v>
      </c>
      <c r="AX94" s="40">
        <f>SUMIFS('센터 자재 사용내역(08월)'!G:G,'센터 자재 사용내역(08월)'!E:E,'사급자재 사용내역'!C94,'센터 자재 사용내역(08월)'!F:F,"불량")</f>
        <v>0</v>
      </c>
      <c r="AY94" s="40">
        <f>SUMIFS('센터 자재 사용내역(09월)'!G:G,'센터 자재 사용내역(09월)'!E:E,'사급자재 사용내역'!C94,'센터 자재 사용내역(09월)'!F:F,"불량")</f>
        <v>0</v>
      </c>
      <c r="AZ94" s="40">
        <f>SUMIFS('센터 자재 사용내역(10월)'!G:G,'센터 자재 사용내역(10월)'!E:E,'사급자재 사용내역'!C94,'센터 자재 사용내역(10월)'!F:F,"불량")</f>
        <v>0</v>
      </c>
      <c r="BA94" s="40">
        <f>SUMIFS('센터 자재 사용내역(11월)'!G:G,'센터 자재 사용내역(11월)'!E:E,'사급자재 사용내역'!C94,'센터 자재 사용내역(11월)'!F:F,"불량")</f>
        <v>0</v>
      </c>
      <c r="BB94" s="40">
        <f>SUMIFS('센터 자재 사용내역(12월)'!G:G,'센터 자재 사용내역(12월)'!E:E,'사급자재 사용내역'!C94,'센터 자재 사용내역(12월)'!F:F,"불량")</f>
        <v>0</v>
      </c>
      <c r="BC94" s="40">
        <f t="shared" si="19"/>
        <v>0</v>
      </c>
      <c r="BD94" s="62"/>
    </row>
    <row r="95" spans="2:56" ht="19.5" customHeight="1">
      <c r="B95" s="99"/>
      <c r="C95" s="23" t="s">
        <v>74</v>
      </c>
      <c r="D95" s="64" t="s">
        <v>129</v>
      </c>
      <c r="E95" s="67">
        <v>26</v>
      </c>
      <c r="F95" s="47">
        <v>0</v>
      </c>
      <c r="G95" s="46"/>
      <c r="H95" s="78"/>
      <c r="I95" s="90">
        <f t="shared" si="25"/>
        <v>0</v>
      </c>
      <c r="J95" s="89">
        <f t="shared" si="27"/>
        <v>13</v>
      </c>
      <c r="K95" s="78">
        <f t="shared" si="26"/>
        <v>0</v>
      </c>
      <c r="L95" s="84">
        <f t="shared" si="22"/>
        <v>13</v>
      </c>
      <c r="M95" s="79">
        <f>SUMIFS('센터 자재 사용내역(01월)'!G:G,'센터 자재 사용내역(01월)'!E:E,'사급자재 사용내역'!C95,'센터 자재 사용내역(01월)'!F:F,"신규")+SUMIFS('센터 자재 사용내역(01월)'!G:G,'센터 자재 사용내역(01월)'!E:E,'사급자재 사용내역'!C95,'센터 자재 사용내역(01월)'!F:F,"교체")</f>
        <v>0</v>
      </c>
      <c r="N95" s="40">
        <f>SUMIFS('센터 자재 사용내역(02월)'!G:G,'센터 자재 사용내역(02월)'!E:E,'사급자재 사용내역'!C95,'센터 자재 사용내역(02월)'!F:F,"신규")+SUMIFS('센터 자재 사용내역(02월)'!G:G,'센터 자재 사용내역(02월)'!E:E,'사급자재 사용내역'!C95,'센터 자재 사용내역(02월)'!F:F,"교체")</f>
        <v>2</v>
      </c>
      <c r="O95" s="40">
        <f>SUMIFS('센터 자재 사용내역(03월)'!G:G,'센터 자재 사용내역(03월)'!E:E,'사급자재 사용내역'!C95,'센터 자재 사용내역(03월)'!F:F,"신규")+SUMIFS('센터 자재 사용내역(03월)'!G:G,'센터 자재 사용내역(03월)'!E:E,'사급자재 사용내역'!C95,'센터 자재 사용내역(03월)'!F:F,"교체")</f>
        <v>1</v>
      </c>
      <c r="P95" s="40">
        <f>SUMIFS('센터 자재 사용내역(04월)'!G:G,'센터 자재 사용내역(04월)'!E:E,'사급자재 사용내역'!C95,'센터 자재 사용내역(04월)'!F:F,"신규")+SUMIFS('센터 자재 사용내역(04월)'!G:G,'센터 자재 사용내역(04월)'!E:E,'사급자재 사용내역'!C95,'센터 자재 사용내역(04월)'!F:F,"교체")</f>
        <v>7</v>
      </c>
      <c r="Q95" s="40">
        <f>SUMIFS('센터 자재 사용내역(05월)'!G:G,'센터 자재 사용내역(05월)'!E:E,'사급자재 사용내역'!C95,'센터 자재 사용내역(05월)'!F:F,"신규")+SUMIFS('센터 자재 사용내역(05월)'!G:G,'센터 자재 사용내역(05월)'!E:E,'사급자재 사용내역'!C95,'센터 자재 사용내역(05월)'!F:F,"교체")</f>
        <v>1</v>
      </c>
      <c r="R95" s="40">
        <f>SUMIFS('센터 자재 사용내역(06월)'!G:G,'센터 자재 사용내역(06월)'!E:E,'사급자재 사용내역'!C95,'센터 자재 사용내역(06월)'!F:F,"신규")+SUMIFS('센터 자재 사용내역(06월)'!G:G,'센터 자재 사용내역(06월)'!E:E,'사급자재 사용내역'!C95,'센터 자재 사용내역(06월)'!F:F,"교체")</f>
        <v>0</v>
      </c>
      <c r="S95" s="40">
        <f>SUMIFS('센터 자재 사용내역(07월)'!G:G,'센터 자재 사용내역(07월)'!E:E,'사급자재 사용내역'!C95,'센터 자재 사용내역(07월)'!F:F,"신규")+SUMIFS('센터 자재 사용내역(07월)'!G:G,'센터 자재 사용내역(07월)'!E:E,'사급자재 사용내역'!C95,'센터 자재 사용내역(07월)'!F:F,"교체")</f>
        <v>1</v>
      </c>
      <c r="T95" s="40">
        <f>SUMIFS('센터 자재 사용내역(08월)'!G:G,'센터 자재 사용내역(08월)'!E:E,'사급자재 사용내역'!C95,'센터 자재 사용내역(08월)'!F:F,"신규")+SUMIFS('센터 자재 사용내역(08월)'!G:G,'센터 자재 사용내역(08월)'!E:E,'사급자재 사용내역'!C95,'센터 자재 사용내역(08월)'!F:F,"교체")</f>
        <v>1</v>
      </c>
      <c r="U95" s="40">
        <f>SUMIFS('센터 자재 사용내역(09월)'!G:G,'센터 자재 사용내역(09월)'!E:E,'사급자재 사용내역'!C95,'센터 자재 사용내역(09월)'!F:F,"신규")+SUMIFS('센터 자재 사용내역(09월)'!G:G,'센터 자재 사용내역(09월)'!E:E,'사급자재 사용내역'!C95,'센터 자재 사용내역(09월)'!F:F,"교체")</f>
        <v>0</v>
      </c>
      <c r="V95" s="40">
        <f>SUMIFS('센터 자재 사용내역(10월)'!G:G,'센터 자재 사용내역(10월)'!E:E,'사급자재 사용내역'!C95,'센터 자재 사용내역(10월)'!F:F,"신규")+SUMIFS('센터 자재 사용내역(10월)'!G:G,'센터 자재 사용내역(10월)'!E:E,'사급자재 사용내역'!C95,'센터 자재 사용내역(10월)'!F:F,"교체")</f>
        <v>0</v>
      </c>
      <c r="W95" s="40">
        <f>SUMIFS('센터 자재 사용내역(11월)'!G:G,'센터 자재 사용내역(11월)'!E:E,'사급자재 사용내역'!C95,'센터 자재 사용내역(11월)'!F:F,"신규")+SUMIFS('센터 자재 사용내역(11월)'!G:G,'센터 자재 사용내역(11월)'!E:E,'사급자재 사용내역'!C95,'센터 자재 사용내역(11월)'!F:F,"교체")</f>
        <v>0</v>
      </c>
      <c r="X95" s="40">
        <f>SUMIFS('센터 자재 사용내역(12월)'!G:G,'센터 자재 사용내역(12월)'!E:E,'사급자재 사용내역'!C95,'센터 자재 사용내역(12월)'!F:F,"신규")+SUMIFS('센터 자재 사용내역(12월)'!G:G,'센터 자재 사용내역(12월)'!E:E,'사급자재 사용내역'!C95,'센터 자재 사용내역(12월)'!F:F,"교체")</f>
        <v>0</v>
      </c>
      <c r="Y95" s="40">
        <f t="shared" si="23"/>
        <v>13</v>
      </c>
      <c r="Z95" s="53"/>
      <c r="AB95" s="56"/>
      <c r="AC95" s="29"/>
      <c r="AD95" s="29"/>
      <c r="AE95" s="29"/>
      <c r="AF95" s="29"/>
      <c r="AG95" s="29"/>
      <c r="AH95" s="29"/>
      <c r="AI95" s="29"/>
      <c r="AJ95" s="29"/>
      <c r="AK95" s="29"/>
      <c r="AL95" s="29"/>
      <c r="AM95" s="29"/>
      <c r="AN95" s="21">
        <f t="shared" si="24"/>
        <v>0</v>
      </c>
      <c r="AO95" s="57"/>
      <c r="AQ95" s="61">
        <f>SUMIFS('센터 자재 사용내역(01월)'!G:G,'센터 자재 사용내역(01월)'!E:E,'사급자재 사용내역'!C95,'센터 자재 사용내역(01월)'!F:F,"불량")</f>
        <v>0</v>
      </c>
      <c r="AR95" s="40">
        <f>SUMIFS('센터 자재 사용내역(02월)'!G:G,'센터 자재 사용내역(02월)'!E:E,'사급자재 사용내역'!C95,'센터 자재 사용내역(02월)'!F:F,"불량")</f>
        <v>0</v>
      </c>
      <c r="AS95" s="40">
        <f>SUMIFS('센터 자재 사용내역(03월)'!G:G,'센터 자재 사용내역(03월)'!E:E,'사급자재 사용내역'!C95,'센터 자재 사용내역(03월)'!F:F,"불량")</f>
        <v>0</v>
      </c>
      <c r="AT95" s="40">
        <f>SUMIFS('센터 자재 사용내역(04월)'!G:G,'센터 자재 사용내역(04월)'!E:E,'사급자재 사용내역'!C95,'센터 자재 사용내역(04월)'!F:F,"불량")</f>
        <v>0</v>
      </c>
      <c r="AU95" s="40">
        <f>SUMIFS('센터 자재 사용내역(05월)'!G:G,'센터 자재 사용내역(05월)'!E:E,'사급자재 사용내역'!C95,'센터 자재 사용내역(05월)'!F:F,"불량")</f>
        <v>0</v>
      </c>
      <c r="AV95" s="40">
        <f>SUMIFS('센터 자재 사용내역(06월)'!G:G,'센터 자재 사용내역(06월)'!E:E,'사급자재 사용내역'!C95,'센터 자재 사용내역(06월)'!F:F,"불량")</f>
        <v>0</v>
      </c>
      <c r="AW95" s="40">
        <f>SUMIFS('센터 자재 사용내역(07월)'!G:G,'센터 자재 사용내역(07월)'!E:E,'사급자재 사용내역'!C95,'센터 자재 사용내역(07월)'!F:F,"불량")</f>
        <v>0</v>
      </c>
      <c r="AX95" s="40">
        <f>SUMIFS('센터 자재 사용내역(08월)'!G:G,'센터 자재 사용내역(08월)'!E:E,'사급자재 사용내역'!C95,'센터 자재 사용내역(08월)'!F:F,"불량")</f>
        <v>0</v>
      </c>
      <c r="AY95" s="40">
        <f>SUMIFS('센터 자재 사용내역(09월)'!G:G,'센터 자재 사용내역(09월)'!E:E,'사급자재 사용내역'!C95,'센터 자재 사용내역(09월)'!F:F,"불량")</f>
        <v>0</v>
      </c>
      <c r="AZ95" s="40">
        <f>SUMIFS('센터 자재 사용내역(10월)'!G:G,'센터 자재 사용내역(10월)'!E:E,'사급자재 사용내역'!C95,'센터 자재 사용내역(10월)'!F:F,"불량")</f>
        <v>0</v>
      </c>
      <c r="BA95" s="40">
        <f>SUMIFS('센터 자재 사용내역(11월)'!G:G,'센터 자재 사용내역(11월)'!E:E,'사급자재 사용내역'!C95,'센터 자재 사용내역(11월)'!F:F,"불량")</f>
        <v>0</v>
      </c>
      <c r="BB95" s="40">
        <f>SUMIFS('센터 자재 사용내역(12월)'!G:G,'센터 자재 사용내역(12월)'!E:E,'사급자재 사용내역'!C95,'센터 자재 사용내역(12월)'!F:F,"불량")</f>
        <v>0</v>
      </c>
      <c r="BC95" s="40">
        <f t="shared" si="19"/>
        <v>0</v>
      </c>
      <c r="BD95" s="62"/>
    </row>
    <row r="96" spans="2:56" ht="19.5" customHeight="1">
      <c r="B96" s="99"/>
      <c r="C96" s="23" t="s">
        <v>75</v>
      </c>
      <c r="D96" s="64" t="s">
        <v>131</v>
      </c>
      <c r="E96" s="67">
        <v>121</v>
      </c>
      <c r="F96" s="47">
        <v>0</v>
      </c>
      <c r="G96" s="46"/>
      <c r="H96" s="78"/>
      <c r="I96" s="90">
        <f t="shared" si="25"/>
        <v>0</v>
      </c>
      <c r="J96" s="89">
        <f t="shared" si="27"/>
        <v>28</v>
      </c>
      <c r="K96" s="78">
        <f t="shared" si="26"/>
        <v>0</v>
      </c>
      <c r="L96" s="84">
        <f t="shared" si="22"/>
        <v>93</v>
      </c>
      <c r="M96" s="79">
        <f>SUMIFS('센터 자재 사용내역(01월)'!G:G,'센터 자재 사용내역(01월)'!E:E,'사급자재 사용내역'!C96,'센터 자재 사용내역(01월)'!F:F,"신규")+SUMIFS('센터 자재 사용내역(01월)'!G:G,'센터 자재 사용내역(01월)'!E:E,'사급자재 사용내역'!C96,'센터 자재 사용내역(01월)'!F:F,"교체")</f>
        <v>0</v>
      </c>
      <c r="N96" s="40">
        <f>SUMIFS('센터 자재 사용내역(02월)'!G:G,'센터 자재 사용내역(02월)'!E:E,'사급자재 사용내역'!C96,'센터 자재 사용내역(02월)'!F:F,"신규")+SUMIFS('센터 자재 사용내역(02월)'!G:G,'센터 자재 사용내역(02월)'!E:E,'사급자재 사용내역'!C96,'센터 자재 사용내역(02월)'!F:F,"교체")</f>
        <v>6</v>
      </c>
      <c r="O96" s="40">
        <f>SUMIFS('센터 자재 사용내역(03월)'!G:G,'센터 자재 사용내역(03월)'!E:E,'사급자재 사용내역'!C96,'센터 자재 사용내역(03월)'!F:F,"신규")+SUMIFS('센터 자재 사용내역(03월)'!G:G,'센터 자재 사용내역(03월)'!E:E,'사급자재 사용내역'!C96,'센터 자재 사용내역(03월)'!F:F,"교체")</f>
        <v>2</v>
      </c>
      <c r="P96" s="40">
        <f>SUMIFS('센터 자재 사용내역(04월)'!G:G,'센터 자재 사용내역(04월)'!E:E,'사급자재 사용내역'!C96,'센터 자재 사용내역(04월)'!F:F,"신규")+SUMIFS('센터 자재 사용내역(04월)'!G:G,'센터 자재 사용내역(04월)'!E:E,'사급자재 사용내역'!C96,'센터 자재 사용내역(04월)'!F:F,"교체")</f>
        <v>0</v>
      </c>
      <c r="Q96" s="40">
        <f>SUMIFS('센터 자재 사용내역(05월)'!G:G,'센터 자재 사용내역(05월)'!E:E,'사급자재 사용내역'!C96,'센터 자재 사용내역(05월)'!F:F,"신규")+SUMIFS('센터 자재 사용내역(05월)'!G:G,'센터 자재 사용내역(05월)'!E:E,'사급자재 사용내역'!C96,'센터 자재 사용내역(05월)'!F:F,"교체")</f>
        <v>2</v>
      </c>
      <c r="R96" s="40">
        <f>SUMIFS('센터 자재 사용내역(06월)'!G:G,'센터 자재 사용내역(06월)'!E:E,'사급자재 사용내역'!C96,'센터 자재 사용내역(06월)'!F:F,"신규")+SUMIFS('센터 자재 사용내역(06월)'!G:G,'센터 자재 사용내역(06월)'!E:E,'사급자재 사용내역'!C96,'센터 자재 사용내역(06월)'!F:F,"교체")</f>
        <v>7</v>
      </c>
      <c r="S96" s="40">
        <f>SUMIFS('센터 자재 사용내역(07월)'!G:G,'센터 자재 사용내역(07월)'!E:E,'사급자재 사용내역'!C96,'센터 자재 사용내역(07월)'!F:F,"신규")+SUMIFS('센터 자재 사용내역(07월)'!G:G,'센터 자재 사용내역(07월)'!E:E,'사급자재 사용내역'!C96,'센터 자재 사용내역(07월)'!F:F,"교체")</f>
        <v>2</v>
      </c>
      <c r="T96" s="40">
        <f>SUMIFS('센터 자재 사용내역(08월)'!G:G,'센터 자재 사용내역(08월)'!E:E,'사급자재 사용내역'!C96,'센터 자재 사용내역(08월)'!F:F,"신규")+SUMIFS('센터 자재 사용내역(08월)'!G:G,'센터 자재 사용내역(08월)'!E:E,'사급자재 사용내역'!C96,'센터 자재 사용내역(08월)'!F:F,"교체")</f>
        <v>9</v>
      </c>
      <c r="U96" s="40">
        <f>SUMIFS('센터 자재 사용내역(09월)'!G:G,'센터 자재 사용내역(09월)'!E:E,'사급자재 사용내역'!C96,'센터 자재 사용내역(09월)'!F:F,"신규")+SUMIFS('센터 자재 사용내역(09월)'!G:G,'센터 자재 사용내역(09월)'!E:E,'사급자재 사용내역'!C96,'센터 자재 사용내역(09월)'!F:F,"교체")</f>
        <v>0</v>
      </c>
      <c r="V96" s="40">
        <f>SUMIFS('센터 자재 사용내역(10월)'!G:G,'센터 자재 사용내역(10월)'!E:E,'사급자재 사용내역'!C96,'센터 자재 사용내역(10월)'!F:F,"신규")+SUMIFS('센터 자재 사용내역(10월)'!G:G,'센터 자재 사용내역(10월)'!E:E,'사급자재 사용내역'!C96,'센터 자재 사용내역(10월)'!F:F,"교체")</f>
        <v>0</v>
      </c>
      <c r="W96" s="40">
        <f>SUMIFS('센터 자재 사용내역(11월)'!G:G,'센터 자재 사용내역(11월)'!E:E,'사급자재 사용내역'!C96,'센터 자재 사용내역(11월)'!F:F,"신규")+SUMIFS('센터 자재 사용내역(11월)'!G:G,'센터 자재 사용내역(11월)'!E:E,'사급자재 사용내역'!C96,'센터 자재 사용내역(11월)'!F:F,"교체")</f>
        <v>0</v>
      </c>
      <c r="X96" s="40">
        <f>SUMIFS('센터 자재 사용내역(12월)'!G:G,'센터 자재 사용내역(12월)'!E:E,'사급자재 사용내역'!C96,'센터 자재 사용내역(12월)'!F:F,"신규")+SUMIFS('센터 자재 사용내역(12월)'!G:G,'센터 자재 사용내역(12월)'!E:E,'사급자재 사용내역'!C96,'센터 자재 사용내역(12월)'!F:F,"교체")</f>
        <v>0</v>
      </c>
      <c r="Y96" s="40">
        <f t="shared" si="23"/>
        <v>28</v>
      </c>
      <c r="Z96" s="53"/>
      <c r="AB96" s="56"/>
      <c r="AC96" s="29"/>
      <c r="AD96" s="29"/>
      <c r="AE96" s="29"/>
      <c r="AF96" s="29"/>
      <c r="AG96" s="29"/>
      <c r="AH96" s="29"/>
      <c r="AI96" s="29"/>
      <c r="AJ96" s="29"/>
      <c r="AK96" s="29"/>
      <c r="AL96" s="29"/>
      <c r="AM96" s="29"/>
      <c r="AN96" s="21">
        <f t="shared" si="24"/>
        <v>0</v>
      </c>
      <c r="AO96" s="57"/>
      <c r="AQ96" s="61">
        <f>SUMIFS('센터 자재 사용내역(01월)'!G:G,'센터 자재 사용내역(01월)'!E:E,'사급자재 사용내역'!C96,'센터 자재 사용내역(01월)'!F:F,"불량")</f>
        <v>0</v>
      </c>
      <c r="AR96" s="40">
        <f>SUMIFS('센터 자재 사용내역(02월)'!G:G,'센터 자재 사용내역(02월)'!E:E,'사급자재 사용내역'!C96,'센터 자재 사용내역(02월)'!F:F,"불량")</f>
        <v>0</v>
      </c>
      <c r="AS96" s="40">
        <f>SUMIFS('센터 자재 사용내역(03월)'!G:G,'센터 자재 사용내역(03월)'!E:E,'사급자재 사용내역'!C96,'센터 자재 사용내역(03월)'!F:F,"불량")</f>
        <v>0</v>
      </c>
      <c r="AT96" s="40">
        <f>SUMIFS('센터 자재 사용내역(04월)'!G:G,'센터 자재 사용내역(04월)'!E:E,'사급자재 사용내역'!C96,'센터 자재 사용내역(04월)'!F:F,"불량")</f>
        <v>0</v>
      </c>
      <c r="AU96" s="40">
        <f>SUMIFS('센터 자재 사용내역(05월)'!G:G,'센터 자재 사용내역(05월)'!E:E,'사급자재 사용내역'!C96,'센터 자재 사용내역(05월)'!F:F,"불량")</f>
        <v>0</v>
      </c>
      <c r="AV96" s="40">
        <f>SUMIFS('센터 자재 사용내역(06월)'!G:G,'센터 자재 사용내역(06월)'!E:E,'사급자재 사용내역'!C96,'센터 자재 사용내역(06월)'!F:F,"불량")</f>
        <v>0</v>
      </c>
      <c r="AW96" s="40">
        <f>SUMIFS('센터 자재 사용내역(07월)'!G:G,'센터 자재 사용내역(07월)'!E:E,'사급자재 사용내역'!C96,'센터 자재 사용내역(07월)'!F:F,"불량")</f>
        <v>0</v>
      </c>
      <c r="AX96" s="40">
        <f>SUMIFS('센터 자재 사용내역(08월)'!G:G,'센터 자재 사용내역(08월)'!E:E,'사급자재 사용내역'!C96,'센터 자재 사용내역(08월)'!F:F,"불량")</f>
        <v>0</v>
      </c>
      <c r="AY96" s="40">
        <f>SUMIFS('센터 자재 사용내역(09월)'!G:G,'센터 자재 사용내역(09월)'!E:E,'사급자재 사용내역'!C96,'센터 자재 사용내역(09월)'!F:F,"불량")</f>
        <v>0</v>
      </c>
      <c r="AZ96" s="40">
        <f>SUMIFS('센터 자재 사용내역(10월)'!G:G,'센터 자재 사용내역(10월)'!E:E,'사급자재 사용내역'!C96,'센터 자재 사용내역(10월)'!F:F,"불량")</f>
        <v>0</v>
      </c>
      <c r="BA96" s="40">
        <f>SUMIFS('센터 자재 사용내역(11월)'!G:G,'센터 자재 사용내역(11월)'!E:E,'사급자재 사용내역'!C96,'센터 자재 사용내역(11월)'!F:F,"불량")</f>
        <v>0</v>
      </c>
      <c r="BB96" s="40">
        <f>SUMIFS('센터 자재 사용내역(12월)'!G:G,'센터 자재 사용내역(12월)'!E:E,'사급자재 사용내역'!C96,'센터 자재 사용내역(12월)'!F:F,"불량")</f>
        <v>0</v>
      </c>
      <c r="BC96" s="40">
        <f t="shared" si="19"/>
        <v>0</v>
      </c>
      <c r="BD96" s="62"/>
    </row>
    <row r="97" spans="2:56" ht="19.5" customHeight="1">
      <c r="B97" s="99"/>
      <c r="C97" s="23" t="s">
        <v>76</v>
      </c>
      <c r="D97" s="64" t="s">
        <v>129</v>
      </c>
      <c r="E97" s="67">
        <v>146</v>
      </c>
      <c r="F97" s="47">
        <v>0</v>
      </c>
      <c r="G97" s="46"/>
      <c r="H97" s="78"/>
      <c r="I97" s="90">
        <f t="shared" si="25"/>
        <v>0</v>
      </c>
      <c r="J97" s="89">
        <f t="shared" si="27"/>
        <v>21</v>
      </c>
      <c r="K97" s="78">
        <f t="shared" si="26"/>
        <v>0</v>
      </c>
      <c r="L97" s="84">
        <f t="shared" si="22"/>
        <v>125</v>
      </c>
      <c r="M97" s="79">
        <f>SUMIFS('센터 자재 사용내역(01월)'!G:G,'센터 자재 사용내역(01월)'!E:E,'사급자재 사용내역'!C97,'센터 자재 사용내역(01월)'!F:F,"신규")+SUMIFS('센터 자재 사용내역(01월)'!G:G,'센터 자재 사용내역(01월)'!E:E,'사급자재 사용내역'!C97,'센터 자재 사용내역(01월)'!F:F,"교체")</f>
        <v>0</v>
      </c>
      <c r="N97" s="40">
        <f>SUMIFS('센터 자재 사용내역(02월)'!G:G,'센터 자재 사용내역(02월)'!E:E,'사급자재 사용내역'!C97,'센터 자재 사용내역(02월)'!F:F,"신규")+SUMIFS('센터 자재 사용내역(02월)'!G:G,'센터 자재 사용내역(02월)'!E:E,'사급자재 사용내역'!C97,'센터 자재 사용내역(02월)'!F:F,"교체")</f>
        <v>4</v>
      </c>
      <c r="O97" s="40">
        <f>SUMIFS('센터 자재 사용내역(03월)'!G:G,'센터 자재 사용내역(03월)'!E:E,'사급자재 사용내역'!C97,'센터 자재 사용내역(03월)'!F:F,"신규")+SUMIFS('센터 자재 사용내역(03월)'!G:G,'센터 자재 사용내역(03월)'!E:E,'사급자재 사용내역'!C97,'센터 자재 사용내역(03월)'!F:F,"교체")</f>
        <v>2</v>
      </c>
      <c r="P97" s="40">
        <f>SUMIFS('센터 자재 사용내역(04월)'!G:G,'센터 자재 사용내역(04월)'!E:E,'사급자재 사용내역'!C97,'센터 자재 사용내역(04월)'!F:F,"신규")+SUMIFS('센터 자재 사용내역(04월)'!G:G,'센터 자재 사용내역(04월)'!E:E,'사급자재 사용내역'!C97,'센터 자재 사용내역(04월)'!F:F,"교체")</f>
        <v>0</v>
      </c>
      <c r="Q97" s="40">
        <f>SUMIFS('센터 자재 사용내역(05월)'!G:G,'센터 자재 사용내역(05월)'!E:E,'사급자재 사용내역'!C97,'센터 자재 사용내역(05월)'!F:F,"신규")+SUMIFS('센터 자재 사용내역(05월)'!G:G,'센터 자재 사용내역(05월)'!E:E,'사급자재 사용내역'!C97,'센터 자재 사용내역(05월)'!F:F,"교체")</f>
        <v>8</v>
      </c>
      <c r="R97" s="40">
        <f>SUMIFS('센터 자재 사용내역(06월)'!G:G,'센터 자재 사용내역(06월)'!E:E,'사급자재 사용내역'!C97,'센터 자재 사용내역(06월)'!F:F,"신규")+SUMIFS('센터 자재 사용내역(06월)'!G:G,'센터 자재 사용내역(06월)'!E:E,'사급자재 사용내역'!C97,'센터 자재 사용내역(06월)'!F:F,"교체")</f>
        <v>0</v>
      </c>
      <c r="S97" s="40">
        <f>SUMIFS('센터 자재 사용내역(07월)'!G:G,'센터 자재 사용내역(07월)'!E:E,'사급자재 사용내역'!C97,'센터 자재 사용내역(07월)'!F:F,"신규")+SUMIFS('센터 자재 사용내역(07월)'!G:G,'센터 자재 사용내역(07월)'!E:E,'사급자재 사용내역'!C97,'센터 자재 사용내역(07월)'!F:F,"교체")</f>
        <v>5</v>
      </c>
      <c r="T97" s="40">
        <f>SUMIFS('센터 자재 사용내역(08월)'!G:G,'센터 자재 사용내역(08월)'!E:E,'사급자재 사용내역'!C97,'센터 자재 사용내역(08월)'!F:F,"신규")+SUMIFS('센터 자재 사용내역(08월)'!G:G,'센터 자재 사용내역(08월)'!E:E,'사급자재 사용내역'!C97,'센터 자재 사용내역(08월)'!F:F,"교체")</f>
        <v>2</v>
      </c>
      <c r="U97" s="40">
        <f>SUMIFS('센터 자재 사용내역(09월)'!G:G,'센터 자재 사용내역(09월)'!E:E,'사급자재 사용내역'!C97,'센터 자재 사용내역(09월)'!F:F,"신규")+SUMIFS('센터 자재 사용내역(09월)'!G:G,'센터 자재 사용내역(09월)'!E:E,'사급자재 사용내역'!C97,'센터 자재 사용내역(09월)'!F:F,"교체")</f>
        <v>0</v>
      </c>
      <c r="V97" s="40">
        <f>SUMIFS('센터 자재 사용내역(10월)'!G:G,'센터 자재 사용내역(10월)'!E:E,'사급자재 사용내역'!C97,'센터 자재 사용내역(10월)'!F:F,"신규")+SUMIFS('센터 자재 사용내역(10월)'!G:G,'센터 자재 사용내역(10월)'!E:E,'사급자재 사용내역'!C97,'센터 자재 사용내역(10월)'!F:F,"교체")</f>
        <v>0</v>
      </c>
      <c r="W97" s="40">
        <f>SUMIFS('센터 자재 사용내역(11월)'!G:G,'센터 자재 사용내역(11월)'!E:E,'사급자재 사용내역'!C97,'센터 자재 사용내역(11월)'!F:F,"신규")+SUMIFS('센터 자재 사용내역(11월)'!G:G,'센터 자재 사용내역(11월)'!E:E,'사급자재 사용내역'!C97,'센터 자재 사용내역(11월)'!F:F,"교체")</f>
        <v>0</v>
      </c>
      <c r="X97" s="40">
        <f>SUMIFS('센터 자재 사용내역(12월)'!G:G,'센터 자재 사용내역(12월)'!E:E,'사급자재 사용내역'!C97,'센터 자재 사용내역(12월)'!F:F,"신규")+SUMIFS('센터 자재 사용내역(12월)'!G:G,'센터 자재 사용내역(12월)'!E:E,'사급자재 사용내역'!C97,'센터 자재 사용내역(12월)'!F:F,"교체")</f>
        <v>0</v>
      </c>
      <c r="Y97" s="40">
        <f t="shared" si="23"/>
        <v>21</v>
      </c>
      <c r="Z97" s="53"/>
      <c r="AB97" s="56"/>
      <c r="AC97" s="29"/>
      <c r="AD97" s="29"/>
      <c r="AE97" s="29"/>
      <c r="AF97" s="29"/>
      <c r="AG97" s="29"/>
      <c r="AH97" s="29"/>
      <c r="AI97" s="29"/>
      <c r="AJ97" s="29"/>
      <c r="AK97" s="29"/>
      <c r="AL97" s="29"/>
      <c r="AM97" s="29"/>
      <c r="AN97" s="21">
        <f t="shared" si="24"/>
        <v>0</v>
      </c>
      <c r="AO97" s="57"/>
      <c r="AQ97" s="61">
        <f>SUMIFS('센터 자재 사용내역(01월)'!G:G,'센터 자재 사용내역(01월)'!E:E,'사급자재 사용내역'!C97,'센터 자재 사용내역(01월)'!F:F,"불량")</f>
        <v>0</v>
      </c>
      <c r="AR97" s="40">
        <f>SUMIFS('센터 자재 사용내역(02월)'!G:G,'센터 자재 사용내역(02월)'!E:E,'사급자재 사용내역'!C97,'센터 자재 사용내역(02월)'!F:F,"불량")</f>
        <v>0</v>
      </c>
      <c r="AS97" s="40">
        <f>SUMIFS('센터 자재 사용내역(03월)'!G:G,'센터 자재 사용내역(03월)'!E:E,'사급자재 사용내역'!C97,'센터 자재 사용내역(03월)'!F:F,"불량")</f>
        <v>0</v>
      </c>
      <c r="AT97" s="40">
        <f>SUMIFS('센터 자재 사용내역(04월)'!G:G,'센터 자재 사용내역(04월)'!E:E,'사급자재 사용내역'!C97,'센터 자재 사용내역(04월)'!F:F,"불량")</f>
        <v>0</v>
      </c>
      <c r="AU97" s="40">
        <f>SUMIFS('센터 자재 사용내역(05월)'!G:G,'센터 자재 사용내역(05월)'!E:E,'사급자재 사용내역'!C97,'센터 자재 사용내역(05월)'!F:F,"불량")</f>
        <v>0</v>
      </c>
      <c r="AV97" s="40">
        <f>SUMIFS('센터 자재 사용내역(06월)'!G:G,'센터 자재 사용내역(06월)'!E:E,'사급자재 사용내역'!C97,'센터 자재 사용내역(06월)'!F:F,"불량")</f>
        <v>0</v>
      </c>
      <c r="AW97" s="40">
        <f>SUMIFS('센터 자재 사용내역(07월)'!G:G,'센터 자재 사용내역(07월)'!E:E,'사급자재 사용내역'!C97,'센터 자재 사용내역(07월)'!F:F,"불량")</f>
        <v>0</v>
      </c>
      <c r="AX97" s="40">
        <f>SUMIFS('센터 자재 사용내역(08월)'!G:G,'센터 자재 사용내역(08월)'!E:E,'사급자재 사용내역'!C97,'센터 자재 사용내역(08월)'!F:F,"불량")</f>
        <v>0</v>
      </c>
      <c r="AY97" s="40">
        <f>SUMIFS('센터 자재 사용내역(09월)'!G:G,'센터 자재 사용내역(09월)'!E:E,'사급자재 사용내역'!C97,'센터 자재 사용내역(09월)'!F:F,"불량")</f>
        <v>0</v>
      </c>
      <c r="AZ97" s="40">
        <f>SUMIFS('센터 자재 사용내역(10월)'!G:G,'센터 자재 사용내역(10월)'!E:E,'사급자재 사용내역'!C97,'센터 자재 사용내역(10월)'!F:F,"불량")</f>
        <v>0</v>
      </c>
      <c r="BA97" s="40">
        <f>SUMIFS('센터 자재 사용내역(11월)'!G:G,'센터 자재 사용내역(11월)'!E:E,'사급자재 사용내역'!C97,'센터 자재 사용내역(11월)'!F:F,"불량")</f>
        <v>0</v>
      </c>
      <c r="BB97" s="40">
        <f>SUMIFS('센터 자재 사용내역(12월)'!G:G,'센터 자재 사용내역(12월)'!E:E,'사급자재 사용내역'!C97,'센터 자재 사용내역(12월)'!F:F,"불량")</f>
        <v>0</v>
      </c>
      <c r="BC97" s="40">
        <f t="shared" si="19"/>
        <v>0</v>
      </c>
      <c r="BD97" s="62"/>
    </row>
    <row r="98" spans="2:56" ht="19.5" customHeight="1">
      <c r="B98" s="99"/>
      <c r="C98" s="23" t="s">
        <v>203</v>
      </c>
      <c r="D98" s="64" t="s">
        <v>90</v>
      </c>
      <c r="E98" s="67">
        <v>0</v>
      </c>
      <c r="F98" s="47">
        <v>0</v>
      </c>
      <c r="G98" s="46"/>
      <c r="H98" s="78"/>
      <c r="I98" s="90">
        <f t="shared" si="25"/>
        <v>0</v>
      </c>
      <c r="J98" s="89">
        <f t="shared" si="27"/>
        <v>424</v>
      </c>
      <c r="K98" s="78">
        <f t="shared" si="26"/>
        <v>900</v>
      </c>
      <c r="L98" s="84">
        <f t="shared" si="22"/>
        <v>476</v>
      </c>
      <c r="M98" s="79">
        <f>SUMIFS('센터 자재 사용내역(01월)'!G:G,'센터 자재 사용내역(01월)'!E:E,'사급자재 사용내역'!C98,'센터 자재 사용내역(01월)'!F:F,"신규")+SUMIFS('센터 자재 사용내역(01월)'!G:G,'센터 자재 사용내역(01월)'!E:E,'사급자재 사용내역'!C98,'센터 자재 사용내역(01월)'!F:F,"교체")</f>
        <v>0</v>
      </c>
      <c r="N98" s="40">
        <f>SUMIFS('센터 자재 사용내역(02월)'!G:G,'센터 자재 사용내역(02월)'!E:E,'사급자재 사용내역'!C98,'센터 자재 사용내역(02월)'!F:F,"신규")+SUMIFS('센터 자재 사용내역(02월)'!G:G,'센터 자재 사용내역(02월)'!E:E,'사급자재 사용내역'!C98,'센터 자재 사용내역(02월)'!F:F,"교체")</f>
        <v>0</v>
      </c>
      <c r="O98" s="40">
        <f>SUMIFS('센터 자재 사용내역(03월)'!G:G,'센터 자재 사용내역(03월)'!E:E,'사급자재 사용내역'!C98,'센터 자재 사용내역(03월)'!F:F,"신규")+SUMIFS('센터 자재 사용내역(03월)'!G:G,'센터 자재 사용내역(03월)'!E:E,'사급자재 사용내역'!C98,'센터 자재 사용내역(03월)'!F:F,"교체")</f>
        <v>0</v>
      </c>
      <c r="P98" s="40">
        <f>SUMIFS('센터 자재 사용내역(04월)'!G:G,'센터 자재 사용내역(04월)'!E:E,'사급자재 사용내역'!C98,'센터 자재 사용내역(04월)'!F:F,"신규")+SUMIFS('센터 자재 사용내역(04월)'!G:G,'센터 자재 사용내역(04월)'!E:E,'사급자재 사용내역'!C98,'센터 자재 사용내역(04월)'!F:F,"교체")</f>
        <v>7</v>
      </c>
      <c r="Q98" s="40">
        <f>SUMIFS('센터 자재 사용내역(05월)'!G:G,'센터 자재 사용내역(05월)'!E:E,'사급자재 사용내역'!C98,'센터 자재 사용내역(05월)'!F:F,"신규")+SUMIFS('센터 자재 사용내역(05월)'!G:G,'센터 자재 사용내역(05월)'!E:E,'사급자재 사용내역'!C98,'센터 자재 사용내역(05월)'!F:F,"교체")</f>
        <v>175</v>
      </c>
      <c r="R98" s="40">
        <f>SUMIFS('센터 자재 사용내역(06월)'!G:G,'센터 자재 사용내역(06월)'!E:E,'사급자재 사용내역'!C98,'센터 자재 사용내역(06월)'!F:F,"신규")+SUMIFS('센터 자재 사용내역(06월)'!G:G,'센터 자재 사용내역(06월)'!E:E,'사급자재 사용내역'!C98,'센터 자재 사용내역(06월)'!F:F,"교체")</f>
        <v>84</v>
      </c>
      <c r="S98" s="40">
        <f>SUMIFS('센터 자재 사용내역(07월)'!G:G,'센터 자재 사용내역(07월)'!E:E,'사급자재 사용내역'!C98,'센터 자재 사용내역(07월)'!F:F,"신규")+SUMIFS('센터 자재 사용내역(07월)'!G:G,'센터 자재 사용내역(07월)'!E:E,'사급자재 사용내역'!C98,'센터 자재 사용내역(07월)'!F:F,"교체")</f>
        <v>30</v>
      </c>
      <c r="T98" s="40">
        <f>SUMIFS('센터 자재 사용내역(08월)'!G:G,'센터 자재 사용내역(08월)'!E:E,'사급자재 사용내역'!C98,'센터 자재 사용내역(08월)'!F:F,"신규")+SUMIFS('센터 자재 사용내역(08월)'!G:G,'센터 자재 사용내역(08월)'!E:E,'사급자재 사용내역'!C98,'센터 자재 사용내역(08월)'!F:F,"교체")</f>
        <v>128</v>
      </c>
      <c r="U98" s="40">
        <f>SUMIFS('센터 자재 사용내역(09월)'!G:G,'센터 자재 사용내역(09월)'!E:E,'사급자재 사용내역'!C98,'센터 자재 사용내역(09월)'!F:F,"신규")+SUMIFS('센터 자재 사용내역(09월)'!G:G,'센터 자재 사용내역(09월)'!E:E,'사급자재 사용내역'!C98,'센터 자재 사용내역(09월)'!F:F,"교체")</f>
        <v>0</v>
      </c>
      <c r="V98" s="40">
        <f>SUMIFS('센터 자재 사용내역(10월)'!G:G,'센터 자재 사용내역(10월)'!E:E,'사급자재 사용내역'!C98,'센터 자재 사용내역(10월)'!F:F,"신규")+SUMIFS('센터 자재 사용내역(10월)'!G:G,'센터 자재 사용내역(10월)'!E:E,'사급자재 사용내역'!C98,'센터 자재 사용내역(10월)'!F:F,"교체")</f>
        <v>0</v>
      </c>
      <c r="W98" s="40">
        <f>SUMIFS('센터 자재 사용내역(11월)'!G:G,'센터 자재 사용내역(11월)'!E:E,'사급자재 사용내역'!C98,'센터 자재 사용내역(11월)'!F:F,"신규")+SUMIFS('센터 자재 사용내역(11월)'!G:G,'센터 자재 사용내역(11월)'!E:E,'사급자재 사용내역'!C98,'센터 자재 사용내역(11월)'!F:F,"교체")</f>
        <v>0</v>
      </c>
      <c r="X98" s="40">
        <f>SUMIFS('센터 자재 사용내역(12월)'!G:G,'센터 자재 사용내역(12월)'!E:E,'사급자재 사용내역'!C98,'센터 자재 사용내역(12월)'!F:F,"신규")+SUMIFS('센터 자재 사용내역(12월)'!G:G,'센터 자재 사용내역(12월)'!E:E,'사급자재 사용내역'!C98,'센터 자재 사용내역(12월)'!F:F,"교체")</f>
        <v>0</v>
      </c>
      <c r="Y98" s="40">
        <f t="shared" si="23"/>
        <v>424</v>
      </c>
      <c r="Z98" s="53"/>
      <c r="AB98" s="56"/>
      <c r="AC98" s="29"/>
      <c r="AD98" s="29"/>
      <c r="AE98" s="29">
        <v>600</v>
      </c>
      <c r="AF98" s="29"/>
      <c r="AG98" s="29"/>
      <c r="AH98" s="29"/>
      <c r="AI98" s="29">
        <v>300</v>
      </c>
      <c r="AJ98" s="29"/>
      <c r="AK98" s="29"/>
      <c r="AL98" s="29"/>
      <c r="AM98" s="29"/>
      <c r="AN98" s="21">
        <f t="shared" si="24"/>
        <v>900</v>
      </c>
      <c r="AO98" s="57"/>
      <c r="AQ98" s="61">
        <f>SUMIFS('센터 자재 사용내역(01월)'!G:G,'센터 자재 사용내역(01월)'!E:E,'사급자재 사용내역'!C98,'센터 자재 사용내역(01월)'!F:F,"불량")</f>
        <v>0</v>
      </c>
      <c r="AR98" s="40">
        <f>SUMIFS('센터 자재 사용내역(02월)'!G:G,'센터 자재 사용내역(02월)'!E:E,'사급자재 사용내역'!C98,'센터 자재 사용내역(02월)'!F:F,"불량")</f>
        <v>0</v>
      </c>
      <c r="AS98" s="40">
        <f>SUMIFS('센터 자재 사용내역(03월)'!G:G,'센터 자재 사용내역(03월)'!E:E,'사급자재 사용내역'!C98,'센터 자재 사용내역(03월)'!F:F,"불량")</f>
        <v>0</v>
      </c>
      <c r="AT98" s="40">
        <f>SUMIFS('센터 자재 사용내역(04월)'!G:G,'센터 자재 사용내역(04월)'!E:E,'사급자재 사용내역'!C98,'센터 자재 사용내역(04월)'!F:F,"불량")</f>
        <v>0</v>
      </c>
      <c r="AU98" s="40">
        <f>SUMIFS('센터 자재 사용내역(05월)'!G:G,'센터 자재 사용내역(05월)'!E:E,'사급자재 사용내역'!C98,'센터 자재 사용내역(05월)'!F:F,"불량")</f>
        <v>0</v>
      </c>
      <c r="AV98" s="40">
        <f>SUMIFS('센터 자재 사용내역(06월)'!G:G,'센터 자재 사용내역(06월)'!E:E,'사급자재 사용내역'!C98,'센터 자재 사용내역(06월)'!F:F,"불량")</f>
        <v>0</v>
      </c>
      <c r="AW98" s="40">
        <f>SUMIFS('센터 자재 사용내역(07월)'!G:G,'센터 자재 사용내역(07월)'!E:E,'사급자재 사용내역'!C98,'센터 자재 사용내역(07월)'!F:F,"불량")</f>
        <v>0</v>
      </c>
      <c r="AX98" s="40">
        <f>SUMIFS('센터 자재 사용내역(08월)'!G:G,'센터 자재 사용내역(08월)'!E:E,'사급자재 사용내역'!C98,'센터 자재 사용내역(08월)'!F:F,"불량")</f>
        <v>0</v>
      </c>
      <c r="AY98" s="40">
        <f>SUMIFS('센터 자재 사용내역(09월)'!G:G,'센터 자재 사용내역(09월)'!E:E,'사급자재 사용내역'!C98,'센터 자재 사용내역(09월)'!F:F,"불량")</f>
        <v>0</v>
      </c>
      <c r="AZ98" s="40">
        <f>SUMIFS('센터 자재 사용내역(10월)'!G:G,'센터 자재 사용내역(10월)'!E:E,'사급자재 사용내역'!C98,'센터 자재 사용내역(10월)'!F:F,"불량")</f>
        <v>0</v>
      </c>
      <c r="BA98" s="40">
        <f>SUMIFS('센터 자재 사용내역(11월)'!G:G,'센터 자재 사용내역(11월)'!E:E,'사급자재 사용내역'!C98,'센터 자재 사용내역(11월)'!F:F,"불량")</f>
        <v>0</v>
      </c>
      <c r="BB98" s="40">
        <f>SUMIFS('센터 자재 사용내역(12월)'!G:G,'센터 자재 사용내역(12월)'!E:E,'사급자재 사용내역'!C98,'센터 자재 사용내역(12월)'!F:F,"불량")</f>
        <v>0</v>
      </c>
      <c r="BC98" s="40">
        <f t="shared" si="19"/>
        <v>0</v>
      </c>
      <c r="BD98" s="62"/>
    </row>
    <row r="99" spans="2:56" ht="19.5" customHeight="1">
      <c r="B99" s="99"/>
      <c r="C99" s="23" t="s">
        <v>160</v>
      </c>
      <c r="D99" s="64" t="s">
        <v>90</v>
      </c>
      <c r="E99" s="67">
        <v>490</v>
      </c>
      <c r="F99" s="47">
        <v>0</v>
      </c>
      <c r="G99" s="46"/>
      <c r="H99" s="78"/>
      <c r="I99" s="90">
        <f t="shared" si="25"/>
        <v>0</v>
      </c>
      <c r="J99" s="89">
        <f t="shared" si="27"/>
        <v>46</v>
      </c>
      <c r="K99" s="78">
        <f t="shared" si="26"/>
        <v>0</v>
      </c>
      <c r="L99" s="84">
        <f t="shared" si="22"/>
        <v>444</v>
      </c>
      <c r="M99" s="79">
        <f>SUMIFS('센터 자재 사용내역(01월)'!G:G,'센터 자재 사용내역(01월)'!E:E,'사급자재 사용내역'!C99,'센터 자재 사용내역(01월)'!F:F,"신규")+SUMIFS('센터 자재 사용내역(01월)'!G:G,'센터 자재 사용내역(01월)'!E:E,'사급자재 사용내역'!C99,'센터 자재 사용내역(01월)'!F:F,"교체")</f>
        <v>10</v>
      </c>
      <c r="N99" s="40">
        <f>SUMIFS('센터 자재 사용내역(02월)'!G:G,'센터 자재 사용내역(02월)'!E:E,'사급자재 사용내역'!C99,'센터 자재 사용내역(02월)'!F:F,"신규")+SUMIFS('센터 자재 사용내역(02월)'!G:G,'센터 자재 사용내역(02월)'!E:E,'사급자재 사용내역'!C99,'센터 자재 사용내역(02월)'!F:F,"교체")</f>
        <v>0</v>
      </c>
      <c r="O99" s="40">
        <f>SUMIFS('센터 자재 사용내역(03월)'!G:G,'센터 자재 사용내역(03월)'!E:E,'사급자재 사용내역'!C99,'센터 자재 사용내역(03월)'!F:F,"신규")+SUMIFS('센터 자재 사용내역(03월)'!G:G,'센터 자재 사용내역(03월)'!E:E,'사급자재 사용내역'!C99,'센터 자재 사용내역(03월)'!F:F,"교체")</f>
        <v>8</v>
      </c>
      <c r="P99" s="40">
        <f>SUMIFS('센터 자재 사용내역(04월)'!G:G,'센터 자재 사용내역(04월)'!E:E,'사급자재 사용내역'!C99,'센터 자재 사용내역(04월)'!F:F,"신규")+SUMIFS('센터 자재 사용내역(04월)'!G:G,'센터 자재 사용내역(04월)'!E:E,'사급자재 사용내역'!C99,'센터 자재 사용내역(04월)'!F:F,"교체")</f>
        <v>20</v>
      </c>
      <c r="Q99" s="40">
        <f>SUMIFS('센터 자재 사용내역(05월)'!G:G,'센터 자재 사용내역(05월)'!E:E,'사급자재 사용내역'!C99,'센터 자재 사용내역(05월)'!F:F,"신규")+SUMIFS('센터 자재 사용내역(05월)'!G:G,'센터 자재 사용내역(05월)'!E:E,'사급자재 사용내역'!C99,'센터 자재 사용내역(05월)'!F:F,"교체")</f>
        <v>0</v>
      </c>
      <c r="R99" s="40">
        <f>SUMIFS('센터 자재 사용내역(06월)'!G:G,'센터 자재 사용내역(06월)'!E:E,'사급자재 사용내역'!C99,'센터 자재 사용내역(06월)'!F:F,"신규")+SUMIFS('센터 자재 사용내역(06월)'!G:G,'센터 자재 사용내역(06월)'!E:E,'사급자재 사용내역'!C99,'센터 자재 사용내역(06월)'!F:F,"교체")</f>
        <v>0</v>
      </c>
      <c r="S99" s="40">
        <f>SUMIFS('센터 자재 사용내역(07월)'!G:G,'센터 자재 사용내역(07월)'!E:E,'사급자재 사용내역'!C99,'센터 자재 사용내역(07월)'!F:F,"신규")+SUMIFS('센터 자재 사용내역(07월)'!G:G,'센터 자재 사용내역(07월)'!E:E,'사급자재 사용내역'!C99,'센터 자재 사용내역(07월)'!F:F,"교체")</f>
        <v>0</v>
      </c>
      <c r="T99" s="40">
        <f>SUMIFS('센터 자재 사용내역(08월)'!G:G,'센터 자재 사용내역(08월)'!E:E,'사급자재 사용내역'!C99,'센터 자재 사용내역(08월)'!F:F,"신규")+SUMIFS('센터 자재 사용내역(08월)'!G:G,'센터 자재 사용내역(08월)'!E:E,'사급자재 사용내역'!C99,'센터 자재 사용내역(08월)'!F:F,"교체")</f>
        <v>8</v>
      </c>
      <c r="U99" s="40">
        <f>SUMIFS('센터 자재 사용내역(09월)'!G:G,'센터 자재 사용내역(09월)'!E:E,'사급자재 사용내역'!C99,'센터 자재 사용내역(09월)'!F:F,"신규")+SUMIFS('센터 자재 사용내역(09월)'!G:G,'센터 자재 사용내역(09월)'!E:E,'사급자재 사용내역'!C99,'센터 자재 사용내역(09월)'!F:F,"교체")</f>
        <v>0</v>
      </c>
      <c r="V99" s="40">
        <f>SUMIFS('센터 자재 사용내역(10월)'!G:G,'센터 자재 사용내역(10월)'!E:E,'사급자재 사용내역'!C99,'센터 자재 사용내역(10월)'!F:F,"신규")+SUMIFS('센터 자재 사용내역(10월)'!G:G,'센터 자재 사용내역(10월)'!E:E,'사급자재 사용내역'!C99,'센터 자재 사용내역(10월)'!F:F,"교체")</f>
        <v>0</v>
      </c>
      <c r="W99" s="40">
        <f>SUMIFS('센터 자재 사용내역(11월)'!G:G,'센터 자재 사용내역(11월)'!E:E,'사급자재 사용내역'!C99,'센터 자재 사용내역(11월)'!F:F,"신규")+SUMIFS('센터 자재 사용내역(11월)'!G:G,'센터 자재 사용내역(11월)'!E:E,'사급자재 사용내역'!C99,'센터 자재 사용내역(11월)'!F:F,"교체")</f>
        <v>0</v>
      </c>
      <c r="X99" s="40">
        <f>SUMIFS('센터 자재 사용내역(12월)'!G:G,'센터 자재 사용내역(12월)'!E:E,'사급자재 사용내역'!C99,'센터 자재 사용내역(12월)'!F:F,"신규")+SUMIFS('센터 자재 사용내역(12월)'!G:G,'센터 자재 사용내역(12월)'!E:E,'사급자재 사용내역'!C99,'센터 자재 사용내역(12월)'!F:F,"교체")</f>
        <v>0</v>
      </c>
      <c r="Y99" s="40">
        <f t="shared" si="23"/>
        <v>46</v>
      </c>
      <c r="Z99" s="53"/>
      <c r="AB99" s="56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9"/>
      <c r="AN99" s="21">
        <f t="shared" si="24"/>
        <v>0</v>
      </c>
      <c r="AO99" s="57"/>
      <c r="AQ99" s="61">
        <f>SUMIFS('센터 자재 사용내역(01월)'!G:G,'센터 자재 사용내역(01월)'!E:E,'사급자재 사용내역'!C99,'센터 자재 사용내역(01월)'!F:F,"불량")</f>
        <v>0</v>
      </c>
      <c r="AR99" s="40">
        <f>SUMIFS('센터 자재 사용내역(02월)'!G:G,'센터 자재 사용내역(02월)'!E:E,'사급자재 사용내역'!C99,'센터 자재 사용내역(02월)'!F:F,"불량")</f>
        <v>0</v>
      </c>
      <c r="AS99" s="40">
        <f>SUMIFS('센터 자재 사용내역(03월)'!G:G,'센터 자재 사용내역(03월)'!E:E,'사급자재 사용내역'!C99,'센터 자재 사용내역(03월)'!F:F,"불량")</f>
        <v>0</v>
      </c>
      <c r="AT99" s="40">
        <f>SUMIFS('센터 자재 사용내역(04월)'!G:G,'센터 자재 사용내역(04월)'!E:E,'사급자재 사용내역'!C99,'센터 자재 사용내역(04월)'!F:F,"불량")</f>
        <v>0</v>
      </c>
      <c r="AU99" s="40">
        <f>SUMIFS('센터 자재 사용내역(05월)'!G:G,'센터 자재 사용내역(05월)'!E:E,'사급자재 사용내역'!C99,'센터 자재 사용내역(05월)'!F:F,"불량")</f>
        <v>0</v>
      </c>
      <c r="AV99" s="40">
        <f>SUMIFS('센터 자재 사용내역(06월)'!G:G,'센터 자재 사용내역(06월)'!E:E,'사급자재 사용내역'!C99,'센터 자재 사용내역(06월)'!F:F,"불량")</f>
        <v>0</v>
      </c>
      <c r="AW99" s="40">
        <f>SUMIFS('센터 자재 사용내역(07월)'!G:G,'센터 자재 사용내역(07월)'!E:E,'사급자재 사용내역'!C99,'센터 자재 사용내역(07월)'!F:F,"불량")</f>
        <v>0</v>
      </c>
      <c r="AX99" s="40">
        <f>SUMIFS('센터 자재 사용내역(08월)'!G:G,'센터 자재 사용내역(08월)'!E:E,'사급자재 사용내역'!C99,'센터 자재 사용내역(08월)'!F:F,"불량")</f>
        <v>0</v>
      </c>
      <c r="AY99" s="40">
        <f>SUMIFS('센터 자재 사용내역(09월)'!G:G,'센터 자재 사용내역(09월)'!E:E,'사급자재 사용내역'!C99,'센터 자재 사용내역(09월)'!F:F,"불량")</f>
        <v>0</v>
      </c>
      <c r="AZ99" s="40">
        <f>SUMIFS('센터 자재 사용내역(10월)'!G:G,'센터 자재 사용내역(10월)'!E:E,'사급자재 사용내역'!C99,'센터 자재 사용내역(10월)'!F:F,"불량")</f>
        <v>0</v>
      </c>
      <c r="BA99" s="40">
        <f>SUMIFS('센터 자재 사용내역(11월)'!G:G,'센터 자재 사용내역(11월)'!E:E,'사급자재 사용내역'!C99,'센터 자재 사용내역(11월)'!F:F,"불량")</f>
        <v>0</v>
      </c>
      <c r="BB99" s="40">
        <f>SUMIFS('센터 자재 사용내역(12월)'!G:G,'센터 자재 사용내역(12월)'!E:E,'사급자재 사용내역'!C99,'센터 자재 사용내역(12월)'!F:F,"불량")</f>
        <v>0</v>
      </c>
      <c r="BC99" s="40">
        <f t="shared" si="19"/>
        <v>0</v>
      </c>
      <c r="BD99" s="62"/>
    </row>
    <row r="100" spans="2:56" ht="19.5" customHeight="1">
      <c r="B100" s="99"/>
      <c r="C100" s="23" t="s">
        <v>161</v>
      </c>
      <c r="D100" s="64" t="s">
        <v>90</v>
      </c>
      <c r="E100" s="67">
        <v>0</v>
      </c>
      <c r="F100" s="47">
        <v>0</v>
      </c>
      <c r="G100" s="46"/>
      <c r="H100" s="78"/>
      <c r="I100" s="90">
        <f t="shared" si="25"/>
        <v>0</v>
      </c>
      <c r="J100" s="89">
        <f t="shared" si="27"/>
        <v>0</v>
      </c>
      <c r="K100" s="78">
        <f t="shared" si="26"/>
        <v>0</v>
      </c>
      <c r="L100" s="84">
        <f t="shared" si="22"/>
        <v>0</v>
      </c>
      <c r="M100" s="79">
        <f>SUMIFS('센터 자재 사용내역(01월)'!G:G,'센터 자재 사용내역(01월)'!E:E,'사급자재 사용내역'!C100,'센터 자재 사용내역(01월)'!F:F,"신규")+SUMIFS('센터 자재 사용내역(01월)'!G:G,'센터 자재 사용내역(01월)'!E:E,'사급자재 사용내역'!C100,'센터 자재 사용내역(01월)'!F:F,"교체")</f>
        <v>0</v>
      </c>
      <c r="N100" s="40">
        <f>SUMIFS('센터 자재 사용내역(02월)'!G:G,'센터 자재 사용내역(02월)'!E:E,'사급자재 사용내역'!C100,'센터 자재 사용내역(02월)'!F:F,"신규")+SUMIFS('센터 자재 사용내역(02월)'!G:G,'센터 자재 사용내역(02월)'!E:E,'사급자재 사용내역'!C100,'센터 자재 사용내역(02월)'!F:F,"교체")</f>
        <v>0</v>
      </c>
      <c r="O100" s="40">
        <f>SUMIFS('센터 자재 사용내역(03월)'!G:G,'센터 자재 사용내역(03월)'!E:E,'사급자재 사용내역'!C100,'센터 자재 사용내역(03월)'!F:F,"신규")+SUMIFS('센터 자재 사용내역(03월)'!G:G,'센터 자재 사용내역(03월)'!E:E,'사급자재 사용내역'!C100,'센터 자재 사용내역(03월)'!F:F,"교체")</f>
        <v>0</v>
      </c>
      <c r="P100" s="40">
        <f>SUMIFS('센터 자재 사용내역(04월)'!G:G,'센터 자재 사용내역(04월)'!E:E,'사급자재 사용내역'!C100,'센터 자재 사용내역(04월)'!F:F,"신규")+SUMIFS('센터 자재 사용내역(04월)'!G:G,'센터 자재 사용내역(04월)'!E:E,'사급자재 사용내역'!C100,'센터 자재 사용내역(04월)'!F:F,"교체")</f>
        <v>0</v>
      </c>
      <c r="Q100" s="40">
        <f>SUMIFS('센터 자재 사용내역(05월)'!G:G,'센터 자재 사용내역(05월)'!E:E,'사급자재 사용내역'!C100,'센터 자재 사용내역(05월)'!F:F,"신규")+SUMIFS('센터 자재 사용내역(05월)'!G:G,'센터 자재 사용내역(05월)'!E:E,'사급자재 사용내역'!C100,'센터 자재 사용내역(05월)'!F:F,"교체")</f>
        <v>0</v>
      </c>
      <c r="R100" s="40">
        <f>SUMIFS('센터 자재 사용내역(06월)'!G:G,'센터 자재 사용내역(06월)'!E:E,'사급자재 사용내역'!C100,'센터 자재 사용내역(06월)'!F:F,"신규")+SUMIFS('센터 자재 사용내역(06월)'!G:G,'센터 자재 사용내역(06월)'!E:E,'사급자재 사용내역'!C100,'센터 자재 사용내역(06월)'!F:F,"교체")</f>
        <v>0</v>
      </c>
      <c r="S100" s="40">
        <f>SUMIFS('센터 자재 사용내역(07월)'!G:G,'센터 자재 사용내역(07월)'!E:E,'사급자재 사용내역'!C100,'센터 자재 사용내역(07월)'!F:F,"신규")+SUMIFS('센터 자재 사용내역(07월)'!G:G,'센터 자재 사용내역(07월)'!E:E,'사급자재 사용내역'!C100,'센터 자재 사용내역(07월)'!F:F,"교체")</f>
        <v>0</v>
      </c>
      <c r="T100" s="40">
        <f>SUMIFS('센터 자재 사용내역(08월)'!G:G,'센터 자재 사용내역(08월)'!E:E,'사급자재 사용내역'!C100,'센터 자재 사용내역(08월)'!F:F,"신규")+SUMIFS('센터 자재 사용내역(08월)'!G:G,'센터 자재 사용내역(08월)'!E:E,'사급자재 사용내역'!C100,'센터 자재 사용내역(08월)'!F:F,"교체")</f>
        <v>0</v>
      </c>
      <c r="U100" s="40">
        <f>SUMIFS('센터 자재 사용내역(09월)'!G:G,'센터 자재 사용내역(09월)'!E:E,'사급자재 사용내역'!C100,'센터 자재 사용내역(09월)'!F:F,"신규")+SUMIFS('센터 자재 사용내역(09월)'!G:G,'센터 자재 사용내역(09월)'!E:E,'사급자재 사용내역'!C100,'센터 자재 사용내역(09월)'!F:F,"교체")</f>
        <v>0</v>
      </c>
      <c r="V100" s="40">
        <f>SUMIFS('센터 자재 사용내역(10월)'!G:G,'센터 자재 사용내역(10월)'!E:E,'사급자재 사용내역'!C100,'센터 자재 사용내역(10월)'!F:F,"신규")+SUMIFS('센터 자재 사용내역(10월)'!G:G,'센터 자재 사용내역(10월)'!E:E,'사급자재 사용내역'!C100,'센터 자재 사용내역(10월)'!F:F,"교체")</f>
        <v>0</v>
      </c>
      <c r="W100" s="40">
        <f>SUMIFS('센터 자재 사용내역(11월)'!G:G,'센터 자재 사용내역(11월)'!E:E,'사급자재 사용내역'!C100,'센터 자재 사용내역(11월)'!F:F,"신규")+SUMIFS('센터 자재 사용내역(11월)'!G:G,'센터 자재 사용내역(11월)'!E:E,'사급자재 사용내역'!C100,'센터 자재 사용내역(11월)'!F:F,"교체")</f>
        <v>0</v>
      </c>
      <c r="X100" s="40">
        <f>SUMIFS('센터 자재 사용내역(12월)'!G:G,'센터 자재 사용내역(12월)'!E:E,'사급자재 사용내역'!C100,'센터 자재 사용내역(12월)'!F:F,"신규")+SUMIFS('센터 자재 사용내역(12월)'!G:G,'센터 자재 사용내역(12월)'!E:E,'사급자재 사용내역'!C100,'센터 자재 사용내역(12월)'!F:F,"교체")</f>
        <v>0</v>
      </c>
      <c r="Y100" s="40">
        <f t="shared" si="23"/>
        <v>0</v>
      </c>
      <c r="Z100" s="53"/>
      <c r="AB100" s="56"/>
      <c r="AC100" s="29"/>
      <c r="AD100" s="29"/>
      <c r="AE100" s="29"/>
      <c r="AF100" s="29"/>
      <c r="AG100" s="29"/>
      <c r="AH100" s="29"/>
      <c r="AI100" s="29"/>
      <c r="AJ100" s="29"/>
      <c r="AK100" s="29"/>
      <c r="AL100" s="29"/>
      <c r="AM100" s="29"/>
      <c r="AN100" s="21">
        <f t="shared" si="24"/>
        <v>0</v>
      </c>
      <c r="AO100" s="57"/>
      <c r="AQ100" s="61">
        <f>SUMIFS('센터 자재 사용내역(01월)'!G:G,'센터 자재 사용내역(01월)'!E:E,'사급자재 사용내역'!C100,'센터 자재 사용내역(01월)'!F:F,"불량")</f>
        <v>0</v>
      </c>
      <c r="AR100" s="40">
        <f>SUMIFS('센터 자재 사용내역(02월)'!G:G,'센터 자재 사용내역(02월)'!E:E,'사급자재 사용내역'!C100,'센터 자재 사용내역(02월)'!F:F,"불량")</f>
        <v>0</v>
      </c>
      <c r="AS100" s="40">
        <f>SUMIFS('센터 자재 사용내역(03월)'!G:G,'센터 자재 사용내역(03월)'!E:E,'사급자재 사용내역'!C100,'센터 자재 사용내역(03월)'!F:F,"불량")</f>
        <v>0</v>
      </c>
      <c r="AT100" s="40">
        <f>SUMIFS('센터 자재 사용내역(04월)'!G:G,'센터 자재 사용내역(04월)'!E:E,'사급자재 사용내역'!C100,'센터 자재 사용내역(04월)'!F:F,"불량")</f>
        <v>0</v>
      </c>
      <c r="AU100" s="40">
        <f>SUMIFS('센터 자재 사용내역(05월)'!G:G,'센터 자재 사용내역(05월)'!E:E,'사급자재 사용내역'!C100,'센터 자재 사용내역(05월)'!F:F,"불량")</f>
        <v>0</v>
      </c>
      <c r="AV100" s="40">
        <f>SUMIFS('센터 자재 사용내역(06월)'!G:G,'센터 자재 사용내역(06월)'!E:E,'사급자재 사용내역'!C100,'센터 자재 사용내역(06월)'!F:F,"불량")</f>
        <v>0</v>
      </c>
      <c r="AW100" s="40">
        <f>SUMIFS('센터 자재 사용내역(07월)'!G:G,'센터 자재 사용내역(07월)'!E:E,'사급자재 사용내역'!C100,'센터 자재 사용내역(07월)'!F:F,"불량")</f>
        <v>0</v>
      </c>
      <c r="AX100" s="40">
        <f>SUMIFS('센터 자재 사용내역(08월)'!G:G,'센터 자재 사용내역(08월)'!E:E,'사급자재 사용내역'!C100,'센터 자재 사용내역(08월)'!F:F,"불량")</f>
        <v>0</v>
      </c>
      <c r="AY100" s="40">
        <f>SUMIFS('센터 자재 사용내역(09월)'!G:G,'센터 자재 사용내역(09월)'!E:E,'사급자재 사용내역'!C100,'센터 자재 사용내역(09월)'!F:F,"불량")</f>
        <v>0</v>
      </c>
      <c r="AZ100" s="40">
        <f>SUMIFS('센터 자재 사용내역(10월)'!G:G,'센터 자재 사용내역(10월)'!E:E,'사급자재 사용내역'!C100,'센터 자재 사용내역(10월)'!F:F,"불량")</f>
        <v>0</v>
      </c>
      <c r="BA100" s="40">
        <f>SUMIFS('센터 자재 사용내역(11월)'!G:G,'센터 자재 사용내역(11월)'!E:E,'사급자재 사용내역'!C100,'센터 자재 사용내역(11월)'!F:F,"불량")</f>
        <v>0</v>
      </c>
      <c r="BB100" s="40">
        <f>SUMIFS('센터 자재 사용내역(12월)'!G:G,'센터 자재 사용내역(12월)'!E:E,'사급자재 사용내역'!C100,'센터 자재 사용내역(12월)'!F:F,"불량")</f>
        <v>0</v>
      </c>
      <c r="BC100" s="40">
        <f t="shared" si="19"/>
        <v>0</v>
      </c>
      <c r="BD100" s="62"/>
    </row>
    <row r="101" spans="2:56" ht="19.5" customHeight="1">
      <c r="B101" s="99"/>
      <c r="C101" s="23" t="s">
        <v>78</v>
      </c>
      <c r="D101" s="64" t="s">
        <v>129</v>
      </c>
      <c r="E101" s="67">
        <v>45</v>
      </c>
      <c r="F101" s="47">
        <v>0</v>
      </c>
      <c r="G101" s="46"/>
      <c r="H101" s="78"/>
      <c r="I101" s="90">
        <f t="shared" si="25"/>
        <v>0</v>
      </c>
      <c r="J101" s="89">
        <f t="shared" si="27"/>
        <v>18</v>
      </c>
      <c r="K101" s="78">
        <f t="shared" si="26"/>
        <v>0</v>
      </c>
      <c r="L101" s="84">
        <f t="shared" ref="L101:L132" si="28">E101-J101+K101</f>
        <v>27</v>
      </c>
      <c r="M101" s="79">
        <f>SUMIFS('센터 자재 사용내역(01월)'!G:G,'센터 자재 사용내역(01월)'!E:E,'사급자재 사용내역'!C101,'센터 자재 사용내역(01월)'!F:F,"신규")+SUMIFS('센터 자재 사용내역(01월)'!G:G,'센터 자재 사용내역(01월)'!E:E,'사급자재 사용내역'!C101,'센터 자재 사용내역(01월)'!F:F,"교체")</f>
        <v>0</v>
      </c>
      <c r="N101" s="40">
        <f>SUMIFS('센터 자재 사용내역(02월)'!G:G,'센터 자재 사용내역(02월)'!E:E,'사급자재 사용내역'!C101,'센터 자재 사용내역(02월)'!F:F,"신규")+SUMIFS('센터 자재 사용내역(02월)'!G:G,'센터 자재 사용내역(02월)'!E:E,'사급자재 사용내역'!C101,'센터 자재 사용내역(02월)'!F:F,"교체")</f>
        <v>2</v>
      </c>
      <c r="O101" s="40">
        <f>SUMIFS('센터 자재 사용내역(03월)'!G:G,'센터 자재 사용내역(03월)'!E:E,'사급자재 사용내역'!C101,'센터 자재 사용내역(03월)'!F:F,"신규")+SUMIFS('센터 자재 사용내역(03월)'!G:G,'센터 자재 사용내역(03월)'!E:E,'사급자재 사용내역'!C101,'센터 자재 사용내역(03월)'!F:F,"교체")</f>
        <v>2</v>
      </c>
      <c r="P101" s="40">
        <f>SUMIFS('센터 자재 사용내역(04월)'!G:G,'센터 자재 사용내역(04월)'!E:E,'사급자재 사용내역'!C101,'센터 자재 사용내역(04월)'!F:F,"신규")+SUMIFS('센터 자재 사용내역(04월)'!G:G,'센터 자재 사용내역(04월)'!E:E,'사급자재 사용내역'!C101,'센터 자재 사용내역(04월)'!F:F,"교체")</f>
        <v>2</v>
      </c>
      <c r="Q101" s="40">
        <f>SUMIFS('센터 자재 사용내역(05월)'!G:G,'센터 자재 사용내역(05월)'!E:E,'사급자재 사용내역'!C101,'센터 자재 사용내역(05월)'!F:F,"신규")+SUMIFS('센터 자재 사용내역(05월)'!G:G,'센터 자재 사용내역(05월)'!E:E,'사급자재 사용내역'!C101,'센터 자재 사용내역(05월)'!F:F,"교체")</f>
        <v>6</v>
      </c>
      <c r="R101" s="40">
        <f>SUMIFS('센터 자재 사용내역(06월)'!G:G,'센터 자재 사용내역(06월)'!E:E,'사급자재 사용내역'!C101,'센터 자재 사용내역(06월)'!F:F,"신규")+SUMIFS('센터 자재 사용내역(06월)'!G:G,'센터 자재 사용내역(06월)'!E:E,'사급자재 사용내역'!C101,'센터 자재 사용내역(06월)'!F:F,"교체")</f>
        <v>0</v>
      </c>
      <c r="S101" s="40">
        <f>SUMIFS('센터 자재 사용내역(07월)'!G:G,'센터 자재 사용내역(07월)'!E:E,'사급자재 사용내역'!C101,'센터 자재 사용내역(07월)'!F:F,"신규")+SUMIFS('센터 자재 사용내역(07월)'!G:G,'센터 자재 사용내역(07월)'!E:E,'사급자재 사용내역'!C101,'센터 자재 사용내역(07월)'!F:F,"교체")</f>
        <v>4</v>
      </c>
      <c r="T101" s="40">
        <f>SUMIFS('센터 자재 사용내역(08월)'!G:G,'센터 자재 사용내역(08월)'!E:E,'사급자재 사용내역'!C101,'센터 자재 사용내역(08월)'!F:F,"신규")+SUMIFS('센터 자재 사용내역(08월)'!G:G,'센터 자재 사용내역(08월)'!E:E,'사급자재 사용내역'!C101,'센터 자재 사용내역(08월)'!F:F,"교체")</f>
        <v>2</v>
      </c>
      <c r="U101" s="40">
        <f>SUMIFS('센터 자재 사용내역(09월)'!G:G,'센터 자재 사용내역(09월)'!E:E,'사급자재 사용내역'!C101,'센터 자재 사용내역(09월)'!F:F,"신규")+SUMIFS('센터 자재 사용내역(09월)'!G:G,'센터 자재 사용내역(09월)'!E:E,'사급자재 사용내역'!C101,'센터 자재 사용내역(09월)'!F:F,"교체")</f>
        <v>0</v>
      </c>
      <c r="V101" s="40">
        <f>SUMIFS('센터 자재 사용내역(10월)'!G:G,'센터 자재 사용내역(10월)'!E:E,'사급자재 사용내역'!C101,'센터 자재 사용내역(10월)'!F:F,"신규")+SUMIFS('센터 자재 사용내역(10월)'!G:G,'센터 자재 사용내역(10월)'!E:E,'사급자재 사용내역'!C101,'센터 자재 사용내역(10월)'!F:F,"교체")</f>
        <v>0</v>
      </c>
      <c r="W101" s="40">
        <f>SUMIFS('센터 자재 사용내역(11월)'!G:G,'센터 자재 사용내역(11월)'!E:E,'사급자재 사용내역'!C101,'센터 자재 사용내역(11월)'!F:F,"신규")+SUMIFS('센터 자재 사용내역(11월)'!G:G,'센터 자재 사용내역(11월)'!E:E,'사급자재 사용내역'!C101,'센터 자재 사용내역(11월)'!F:F,"교체")</f>
        <v>0</v>
      </c>
      <c r="X101" s="40">
        <f>SUMIFS('센터 자재 사용내역(12월)'!G:G,'센터 자재 사용내역(12월)'!E:E,'사급자재 사용내역'!C101,'센터 자재 사용내역(12월)'!F:F,"신규")+SUMIFS('센터 자재 사용내역(12월)'!G:G,'센터 자재 사용내역(12월)'!E:E,'사급자재 사용내역'!C101,'센터 자재 사용내역(12월)'!F:F,"교체")</f>
        <v>0</v>
      </c>
      <c r="Y101" s="40">
        <f t="shared" ref="Y101:Y143" si="29">SUM(M101:X101)</f>
        <v>18</v>
      </c>
      <c r="Z101" s="53"/>
      <c r="AB101" s="56"/>
      <c r="AC101" s="29"/>
      <c r="AD101" s="29"/>
      <c r="AE101" s="29"/>
      <c r="AF101" s="29"/>
      <c r="AG101" s="29"/>
      <c r="AH101" s="29"/>
      <c r="AI101" s="29"/>
      <c r="AJ101" s="29"/>
      <c r="AK101" s="29"/>
      <c r="AL101" s="29"/>
      <c r="AM101" s="29"/>
      <c r="AN101" s="21">
        <f t="shared" ref="AN101:AN132" si="30">SUM(AB101:AM101)</f>
        <v>0</v>
      </c>
      <c r="AO101" s="57"/>
      <c r="AQ101" s="61">
        <f>SUMIFS('센터 자재 사용내역(01월)'!G:G,'센터 자재 사용내역(01월)'!E:E,'사급자재 사용내역'!C101,'센터 자재 사용내역(01월)'!F:F,"불량")</f>
        <v>0</v>
      </c>
      <c r="AR101" s="40">
        <f>SUMIFS('센터 자재 사용내역(02월)'!G:G,'센터 자재 사용내역(02월)'!E:E,'사급자재 사용내역'!C101,'센터 자재 사용내역(02월)'!F:F,"불량")</f>
        <v>0</v>
      </c>
      <c r="AS101" s="40">
        <f>SUMIFS('센터 자재 사용내역(03월)'!G:G,'센터 자재 사용내역(03월)'!E:E,'사급자재 사용내역'!C101,'센터 자재 사용내역(03월)'!F:F,"불량")</f>
        <v>0</v>
      </c>
      <c r="AT101" s="40">
        <f>SUMIFS('센터 자재 사용내역(04월)'!G:G,'센터 자재 사용내역(04월)'!E:E,'사급자재 사용내역'!C101,'센터 자재 사용내역(04월)'!F:F,"불량")</f>
        <v>0</v>
      </c>
      <c r="AU101" s="40">
        <f>SUMIFS('센터 자재 사용내역(05월)'!G:G,'센터 자재 사용내역(05월)'!E:E,'사급자재 사용내역'!C101,'센터 자재 사용내역(05월)'!F:F,"불량")</f>
        <v>0</v>
      </c>
      <c r="AV101" s="40">
        <f>SUMIFS('센터 자재 사용내역(06월)'!G:G,'센터 자재 사용내역(06월)'!E:E,'사급자재 사용내역'!C101,'센터 자재 사용내역(06월)'!F:F,"불량")</f>
        <v>0</v>
      </c>
      <c r="AW101" s="40">
        <f>SUMIFS('센터 자재 사용내역(07월)'!G:G,'센터 자재 사용내역(07월)'!E:E,'사급자재 사용내역'!C101,'센터 자재 사용내역(07월)'!F:F,"불량")</f>
        <v>0</v>
      </c>
      <c r="AX101" s="40">
        <f>SUMIFS('센터 자재 사용내역(08월)'!G:G,'센터 자재 사용내역(08월)'!E:E,'사급자재 사용내역'!C101,'센터 자재 사용내역(08월)'!F:F,"불량")</f>
        <v>0</v>
      </c>
      <c r="AY101" s="40">
        <f>SUMIFS('센터 자재 사용내역(09월)'!G:G,'센터 자재 사용내역(09월)'!E:E,'사급자재 사용내역'!C101,'센터 자재 사용내역(09월)'!F:F,"불량")</f>
        <v>0</v>
      </c>
      <c r="AZ101" s="40">
        <f>SUMIFS('센터 자재 사용내역(10월)'!G:G,'센터 자재 사용내역(10월)'!E:E,'사급자재 사용내역'!C101,'센터 자재 사용내역(10월)'!F:F,"불량")</f>
        <v>0</v>
      </c>
      <c r="BA101" s="40">
        <f>SUMIFS('센터 자재 사용내역(11월)'!G:G,'센터 자재 사용내역(11월)'!E:E,'사급자재 사용내역'!C101,'센터 자재 사용내역(11월)'!F:F,"불량")</f>
        <v>0</v>
      </c>
      <c r="BB101" s="40">
        <f>SUMIFS('센터 자재 사용내역(12월)'!G:G,'센터 자재 사용내역(12월)'!E:E,'사급자재 사용내역'!C101,'센터 자재 사용내역(12월)'!F:F,"불량")</f>
        <v>0</v>
      </c>
      <c r="BC101" s="40">
        <f t="shared" si="19"/>
        <v>0</v>
      </c>
      <c r="BD101" s="62"/>
    </row>
    <row r="102" spans="2:56" ht="19.5" customHeight="1">
      <c r="B102" s="99"/>
      <c r="C102" s="23" t="s">
        <v>162</v>
      </c>
      <c r="D102" s="64" t="s">
        <v>129</v>
      </c>
      <c r="E102" s="67">
        <v>54</v>
      </c>
      <c r="F102" s="47">
        <v>0</v>
      </c>
      <c r="G102" s="46"/>
      <c r="H102" s="78"/>
      <c r="I102" s="90">
        <f t="shared" si="25"/>
        <v>0</v>
      </c>
      <c r="J102" s="89">
        <f t="shared" si="27"/>
        <v>45</v>
      </c>
      <c r="K102" s="78">
        <f t="shared" si="26"/>
        <v>0</v>
      </c>
      <c r="L102" s="84">
        <f t="shared" si="28"/>
        <v>9</v>
      </c>
      <c r="M102" s="79">
        <f>SUMIFS('센터 자재 사용내역(01월)'!G:G,'센터 자재 사용내역(01월)'!E:E,'사급자재 사용내역'!C102,'센터 자재 사용내역(01월)'!F:F,"신규")+SUMIFS('센터 자재 사용내역(01월)'!G:G,'센터 자재 사용내역(01월)'!E:E,'사급자재 사용내역'!C102,'센터 자재 사용내역(01월)'!F:F,"교체")</f>
        <v>4</v>
      </c>
      <c r="N102" s="40">
        <f>SUMIFS('센터 자재 사용내역(02월)'!G:G,'센터 자재 사용내역(02월)'!E:E,'사급자재 사용내역'!C102,'센터 자재 사용내역(02월)'!F:F,"신규")+SUMIFS('센터 자재 사용내역(02월)'!G:G,'센터 자재 사용내역(02월)'!E:E,'사급자재 사용내역'!C102,'센터 자재 사용내역(02월)'!F:F,"교체")</f>
        <v>2</v>
      </c>
      <c r="O102" s="40">
        <f>SUMIFS('센터 자재 사용내역(03월)'!G:G,'센터 자재 사용내역(03월)'!E:E,'사급자재 사용내역'!C102,'센터 자재 사용내역(03월)'!F:F,"신규")+SUMIFS('센터 자재 사용내역(03월)'!G:G,'센터 자재 사용내역(03월)'!E:E,'사급자재 사용내역'!C102,'센터 자재 사용내역(03월)'!F:F,"교체")</f>
        <v>1</v>
      </c>
      <c r="P102" s="40">
        <f>SUMIFS('센터 자재 사용내역(04월)'!G:G,'센터 자재 사용내역(04월)'!E:E,'사급자재 사용내역'!C102,'센터 자재 사용내역(04월)'!F:F,"신규")+SUMIFS('센터 자재 사용내역(04월)'!G:G,'센터 자재 사용내역(04월)'!E:E,'사급자재 사용내역'!C102,'센터 자재 사용내역(04월)'!F:F,"교체")</f>
        <v>8</v>
      </c>
      <c r="Q102" s="40">
        <f>SUMIFS('센터 자재 사용내역(05월)'!G:G,'센터 자재 사용내역(05월)'!E:E,'사급자재 사용내역'!C102,'센터 자재 사용내역(05월)'!F:F,"신규")+SUMIFS('센터 자재 사용내역(05월)'!G:G,'센터 자재 사용내역(05월)'!E:E,'사급자재 사용내역'!C102,'센터 자재 사용내역(05월)'!F:F,"교체")</f>
        <v>8</v>
      </c>
      <c r="R102" s="40">
        <f>SUMIFS('센터 자재 사용내역(06월)'!G:G,'센터 자재 사용내역(06월)'!E:E,'사급자재 사용내역'!C102,'센터 자재 사용내역(06월)'!F:F,"신규")+SUMIFS('센터 자재 사용내역(06월)'!G:G,'센터 자재 사용내역(06월)'!E:E,'사급자재 사용내역'!C102,'센터 자재 사용내역(06월)'!F:F,"교체")</f>
        <v>8</v>
      </c>
      <c r="S102" s="40">
        <f>SUMIFS('센터 자재 사용내역(07월)'!G:G,'센터 자재 사용내역(07월)'!E:E,'사급자재 사용내역'!C102,'센터 자재 사용내역(07월)'!F:F,"신규")+SUMIFS('센터 자재 사용내역(07월)'!G:G,'센터 자재 사용내역(07월)'!E:E,'사급자재 사용내역'!C102,'센터 자재 사용내역(07월)'!F:F,"교체")</f>
        <v>8</v>
      </c>
      <c r="T102" s="40">
        <f>SUMIFS('센터 자재 사용내역(08월)'!G:G,'센터 자재 사용내역(08월)'!E:E,'사급자재 사용내역'!C102,'센터 자재 사용내역(08월)'!F:F,"신규")+SUMIFS('센터 자재 사용내역(08월)'!G:G,'센터 자재 사용내역(08월)'!E:E,'사급자재 사용내역'!C102,'센터 자재 사용내역(08월)'!F:F,"교체")</f>
        <v>6</v>
      </c>
      <c r="U102" s="40">
        <f>SUMIFS('센터 자재 사용내역(09월)'!G:G,'센터 자재 사용내역(09월)'!E:E,'사급자재 사용내역'!C102,'센터 자재 사용내역(09월)'!F:F,"신규")+SUMIFS('센터 자재 사용내역(09월)'!G:G,'센터 자재 사용내역(09월)'!E:E,'사급자재 사용내역'!C102,'센터 자재 사용내역(09월)'!F:F,"교체")</f>
        <v>0</v>
      </c>
      <c r="V102" s="40">
        <f>SUMIFS('센터 자재 사용내역(10월)'!G:G,'센터 자재 사용내역(10월)'!E:E,'사급자재 사용내역'!C102,'센터 자재 사용내역(10월)'!F:F,"신규")+SUMIFS('센터 자재 사용내역(10월)'!G:G,'센터 자재 사용내역(10월)'!E:E,'사급자재 사용내역'!C102,'센터 자재 사용내역(10월)'!F:F,"교체")</f>
        <v>0</v>
      </c>
      <c r="W102" s="40">
        <f>SUMIFS('센터 자재 사용내역(11월)'!G:G,'센터 자재 사용내역(11월)'!E:E,'사급자재 사용내역'!C102,'센터 자재 사용내역(11월)'!F:F,"신규")+SUMIFS('센터 자재 사용내역(11월)'!G:G,'센터 자재 사용내역(11월)'!E:E,'사급자재 사용내역'!C102,'센터 자재 사용내역(11월)'!F:F,"교체")</f>
        <v>0</v>
      </c>
      <c r="X102" s="40">
        <f>SUMIFS('센터 자재 사용내역(12월)'!G:G,'센터 자재 사용내역(12월)'!E:E,'사급자재 사용내역'!C102,'센터 자재 사용내역(12월)'!F:F,"신규")+SUMIFS('센터 자재 사용내역(12월)'!G:G,'센터 자재 사용내역(12월)'!E:E,'사급자재 사용내역'!C102,'센터 자재 사용내역(12월)'!F:F,"교체")</f>
        <v>0</v>
      </c>
      <c r="Y102" s="40">
        <f t="shared" si="29"/>
        <v>45</v>
      </c>
      <c r="Z102" s="53"/>
      <c r="AB102" s="56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29"/>
      <c r="AN102" s="21">
        <f t="shared" si="30"/>
        <v>0</v>
      </c>
      <c r="AO102" s="57"/>
      <c r="AQ102" s="61">
        <f>SUMIFS('센터 자재 사용내역(01월)'!G:G,'센터 자재 사용내역(01월)'!E:E,'사급자재 사용내역'!C102,'센터 자재 사용내역(01월)'!F:F,"불량")</f>
        <v>0</v>
      </c>
      <c r="AR102" s="40">
        <f>SUMIFS('센터 자재 사용내역(02월)'!G:G,'센터 자재 사용내역(02월)'!E:E,'사급자재 사용내역'!C102,'센터 자재 사용내역(02월)'!F:F,"불량")</f>
        <v>0</v>
      </c>
      <c r="AS102" s="40">
        <f>SUMIFS('센터 자재 사용내역(03월)'!G:G,'센터 자재 사용내역(03월)'!E:E,'사급자재 사용내역'!C102,'센터 자재 사용내역(03월)'!F:F,"불량")</f>
        <v>0</v>
      </c>
      <c r="AT102" s="40">
        <f>SUMIFS('센터 자재 사용내역(04월)'!G:G,'센터 자재 사용내역(04월)'!E:E,'사급자재 사용내역'!C102,'센터 자재 사용내역(04월)'!F:F,"불량")</f>
        <v>0</v>
      </c>
      <c r="AU102" s="40">
        <f>SUMIFS('센터 자재 사용내역(05월)'!G:G,'센터 자재 사용내역(05월)'!E:E,'사급자재 사용내역'!C102,'센터 자재 사용내역(05월)'!F:F,"불량")</f>
        <v>0</v>
      </c>
      <c r="AV102" s="40">
        <f>SUMIFS('센터 자재 사용내역(06월)'!G:G,'센터 자재 사용내역(06월)'!E:E,'사급자재 사용내역'!C102,'센터 자재 사용내역(06월)'!F:F,"불량")</f>
        <v>0</v>
      </c>
      <c r="AW102" s="40">
        <f>SUMIFS('센터 자재 사용내역(07월)'!G:G,'센터 자재 사용내역(07월)'!E:E,'사급자재 사용내역'!C102,'센터 자재 사용내역(07월)'!F:F,"불량")</f>
        <v>0</v>
      </c>
      <c r="AX102" s="40">
        <f>SUMIFS('센터 자재 사용내역(08월)'!G:G,'센터 자재 사용내역(08월)'!E:E,'사급자재 사용내역'!C102,'센터 자재 사용내역(08월)'!F:F,"불량")</f>
        <v>0</v>
      </c>
      <c r="AY102" s="40">
        <f>SUMIFS('센터 자재 사용내역(09월)'!G:G,'센터 자재 사용내역(09월)'!E:E,'사급자재 사용내역'!C102,'센터 자재 사용내역(09월)'!F:F,"불량")</f>
        <v>0</v>
      </c>
      <c r="AZ102" s="40">
        <f>SUMIFS('센터 자재 사용내역(10월)'!G:G,'센터 자재 사용내역(10월)'!E:E,'사급자재 사용내역'!C102,'센터 자재 사용내역(10월)'!F:F,"불량")</f>
        <v>0</v>
      </c>
      <c r="BA102" s="40">
        <f>SUMIFS('센터 자재 사용내역(11월)'!G:G,'센터 자재 사용내역(11월)'!E:E,'사급자재 사용내역'!C102,'센터 자재 사용내역(11월)'!F:F,"불량")</f>
        <v>0</v>
      </c>
      <c r="BB102" s="40">
        <f>SUMIFS('센터 자재 사용내역(12월)'!G:G,'센터 자재 사용내역(12월)'!E:E,'사급자재 사용내역'!C102,'센터 자재 사용내역(12월)'!F:F,"불량")</f>
        <v>0</v>
      </c>
      <c r="BC102" s="40">
        <f t="shared" si="19"/>
        <v>0</v>
      </c>
      <c r="BD102" s="62"/>
    </row>
    <row r="103" spans="2:56" ht="19.5" customHeight="1">
      <c r="B103" s="99"/>
      <c r="C103" s="23" t="s">
        <v>154</v>
      </c>
      <c r="D103" s="64" t="s">
        <v>129</v>
      </c>
      <c r="E103" s="67">
        <v>92</v>
      </c>
      <c r="F103" s="47">
        <v>0</v>
      </c>
      <c r="G103" s="46"/>
      <c r="H103" s="78"/>
      <c r="I103" s="90">
        <f t="shared" si="25"/>
        <v>0</v>
      </c>
      <c r="J103" s="89">
        <f t="shared" si="27"/>
        <v>0</v>
      </c>
      <c r="K103" s="78">
        <f t="shared" si="26"/>
        <v>0</v>
      </c>
      <c r="L103" s="84">
        <f t="shared" si="28"/>
        <v>92</v>
      </c>
      <c r="M103" s="79">
        <f>SUMIFS('센터 자재 사용내역(01월)'!G:G,'센터 자재 사용내역(01월)'!E:E,'사급자재 사용내역'!C103,'센터 자재 사용내역(01월)'!F:F,"신규")+SUMIFS('센터 자재 사용내역(01월)'!G:G,'센터 자재 사용내역(01월)'!E:E,'사급자재 사용내역'!C103,'센터 자재 사용내역(01월)'!F:F,"교체")</f>
        <v>0</v>
      </c>
      <c r="N103" s="40">
        <f>SUMIFS('센터 자재 사용내역(02월)'!G:G,'센터 자재 사용내역(02월)'!E:E,'사급자재 사용내역'!C103,'센터 자재 사용내역(02월)'!F:F,"신규")+SUMIFS('센터 자재 사용내역(02월)'!G:G,'센터 자재 사용내역(02월)'!E:E,'사급자재 사용내역'!C103,'센터 자재 사용내역(02월)'!F:F,"교체")</f>
        <v>0</v>
      </c>
      <c r="O103" s="40">
        <f>SUMIFS('센터 자재 사용내역(03월)'!G:G,'센터 자재 사용내역(03월)'!E:E,'사급자재 사용내역'!C103,'센터 자재 사용내역(03월)'!F:F,"신규")+SUMIFS('센터 자재 사용내역(03월)'!G:G,'센터 자재 사용내역(03월)'!E:E,'사급자재 사용내역'!C103,'센터 자재 사용내역(03월)'!F:F,"교체")</f>
        <v>0</v>
      </c>
      <c r="P103" s="40">
        <f>SUMIFS('센터 자재 사용내역(04월)'!G:G,'센터 자재 사용내역(04월)'!E:E,'사급자재 사용내역'!C103,'센터 자재 사용내역(04월)'!F:F,"신규")+SUMIFS('센터 자재 사용내역(04월)'!G:G,'센터 자재 사용내역(04월)'!E:E,'사급자재 사용내역'!C103,'센터 자재 사용내역(04월)'!F:F,"교체")</f>
        <v>0</v>
      </c>
      <c r="Q103" s="40">
        <f>SUMIFS('센터 자재 사용내역(05월)'!G:G,'센터 자재 사용내역(05월)'!E:E,'사급자재 사용내역'!C103,'센터 자재 사용내역(05월)'!F:F,"신규")+SUMIFS('센터 자재 사용내역(05월)'!G:G,'센터 자재 사용내역(05월)'!E:E,'사급자재 사용내역'!C103,'센터 자재 사용내역(05월)'!F:F,"교체")</f>
        <v>0</v>
      </c>
      <c r="R103" s="40">
        <f>SUMIFS('센터 자재 사용내역(06월)'!G:G,'센터 자재 사용내역(06월)'!E:E,'사급자재 사용내역'!C103,'센터 자재 사용내역(06월)'!F:F,"신규")+SUMIFS('센터 자재 사용내역(06월)'!G:G,'센터 자재 사용내역(06월)'!E:E,'사급자재 사용내역'!C103,'센터 자재 사용내역(06월)'!F:F,"교체")</f>
        <v>0</v>
      </c>
      <c r="S103" s="40">
        <f>SUMIFS('센터 자재 사용내역(07월)'!G:G,'센터 자재 사용내역(07월)'!E:E,'사급자재 사용내역'!C103,'센터 자재 사용내역(07월)'!F:F,"신규")+SUMIFS('센터 자재 사용내역(07월)'!G:G,'센터 자재 사용내역(07월)'!E:E,'사급자재 사용내역'!C103,'센터 자재 사용내역(07월)'!F:F,"교체")</f>
        <v>0</v>
      </c>
      <c r="T103" s="40">
        <f>SUMIFS('센터 자재 사용내역(08월)'!G:G,'센터 자재 사용내역(08월)'!E:E,'사급자재 사용내역'!C103,'센터 자재 사용내역(08월)'!F:F,"신규")+SUMIFS('센터 자재 사용내역(08월)'!G:G,'센터 자재 사용내역(08월)'!E:E,'사급자재 사용내역'!C103,'센터 자재 사용내역(08월)'!F:F,"교체")</f>
        <v>0</v>
      </c>
      <c r="U103" s="40">
        <f>SUMIFS('센터 자재 사용내역(09월)'!G:G,'센터 자재 사용내역(09월)'!E:E,'사급자재 사용내역'!C103,'센터 자재 사용내역(09월)'!F:F,"신규")+SUMIFS('센터 자재 사용내역(09월)'!G:G,'센터 자재 사용내역(09월)'!E:E,'사급자재 사용내역'!C103,'센터 자재 사용내역(09월)'!F:F,"교체")</f>
        <v>0</v>
      </c>
      <c r="V103" s="40">
        <f>SUMIFS('센터 자재 사용내역(10월)'!G:G,'센터 자재 사용내역(10월)'!E:E,'사급자재 사용내역'!C103,'센터 자재 사용내역(10월)'!F:F,"신규")+SUMIFS('센터 자재 사용내역(10월)'!G:G,'센터 자재 사용내역(10월)'!E:E,'사급자재 사용내역'!C103,'센터 자재 사용내역(10월)'!F:F,"교체")</f>
        <v>0</v>
      </c>
      <c r="W103" s="40">
        <f>SUMIFS('센터 자재 사용내역(11월)'!G:G,'센터 자재 사용내역(11월)'!E:E,'사급자재 사용내역'!C103,'센터 자재 사용내역(11월)'!F:F,"신규")+SUMIFS('센터 자재 사용내역(11월)'!G:G,'센터 자재 사용내역(11월)'!E:E,'사급자재 사용내역'!C103,'센터 자재 사용내역(11월)'!F:F,"교체")</f>
        <v>0</v>
      </c>
      <c r="X103" s="40">
        <f>SUMIFS('센터 자재 사용내역(12월)'!G:G,'센터 자재 사용내역(12월)'!E:E,'사급자재 사용내역'!C103,'센터 자재 사용내역(12월)'!F:F,"신규")+SUMIFS('센터 자재 사용내역(12월)'!G:G,'센터 자재 사용내역(12월)'!E:E,'사급자재 사용내역'!C103,'센터 자재 사용내역(12월)'!F:F,"교체")</f>
        <v>0</v>
      </c>
      <c r="Y103" s="40">
        <f t="shared" si="29"/>
        <v>0</v>
      </c>
      <c r="Z103" s="53"/>
      <c r="AB103" s="56"/>
      <c r="AC103" s="29"/>
      <c r="AD103" s="29"/>
      <c r="AE103" s="29"/>
      <c r="AF103" s="29"/>
      <c r="AG103" s="29"/>
      <c r="AH103" s="29"/>
      <c r="AI103" s="29"/>
      <c r="AJ103" s="58"/>
      <c r="AK103" s="29"/>
      <c r="AL103" s="29"/>
      <c r="AM103" s="29"/>
      <c r="AN103" s="21">
        <f t="shared" si="30"/>
        <v>0</v>
      </c>
      <c r="AO103" s="57"/>
      <c r="AQ103" s="61">
        <f>SUMIFS('센터 자재 사용내역(01월)'!G:G,'센터 자재 사용내역(01월)'!E:E,'사급자재 사용내역'!C103,'센터 자재 사용내역(01월)'!F:F,"불량")</f>
        <v>0</v>
      </c>
      <c r="AR103" s="40">
        <f>SUMIFS('센터 자재 사용내역(02월)'!G:G,'센터 자재 사용내역(02월)'!E:E,'사급자재 사용내역'!C103,'센터 자재 사용내역(02월)'!F:F,"불량")</f>
        <v>0</v>
      </c>
      <c r="AS103" s="40">
        <f>SUMIFS('센터 자재 사용내역(03월)'!G:G,'센터 자재 사용내역(03월)'!E:E,'사급자재 사용내역'!C103,'센터 자재 사용내역(03월)'!F:F,"불량")</f>
        <v>0</v>
      </c>
      <c r="AT103" s="40">
        <f>SUMIFS('센터 자재 사용내역(04월)'!G:G,'센터 자재 사용내역(04월)'!E:E,'사급자재 사용내역'!C103,'센터 자재 사용내역(04월)'!F:F,"불량")</f>
        <v>0</v>
      </c>
      <c r="AU103" s="40">
        <f>SUMIFS('센터 자재 사용내역(05월)'!G:G,'센터 자재 사용내역(05월)'!E:E,'사급자재 사용내역'!C103,'센터 자재 사용내역(05월)'!F:F,"불량")</f>
        <v>0</v>
      </c>
      <c r="AV103" s="40">
        <f>SUMIFS('센터 자재 사용내역(06월)'!G:G,'센터 자재 사용내역(06월)'!E:E,'사급자재 사용내역'!C103,'센터 자재 사용내역(06월)'!F:F,"불량")</f>
        <v>0</v>
      </c>
      <c r="AW103" s="40">
        <f>SUMIFS('센터 자재 사용내역(07월)'!G:G,'센터 자재 사용내역(07월)'!E:E,'사급자재 사용내역'!C103,'센터 자재 사용내역(07월)'!F:F,"불량")</f>
        <v>0</v>
      </c>
      <c r="AX103" s="40">
        <f>SUMIFS('센터 자재 사용내역(08월)'!G:G,'센터 자재 사용내역(08월)'!E:E,'사급자재 사용내역'!C103,'센터 자재 사용내역(08월)'!F:F,"불량")</f>
        <v>0</v>
      </c>
      <c r="AY103" s="40">
        <f>SUMIFS('센터 자재 사용내역(09월)'!G:G,'센터 자재 사용내역(09월)'!E:E,'사급자재 사용내역'!C103,'센터 자재 사용내역(09월)'!F:F,"불량")</f>
        <v>0</v>
      </c>
      <c r="AZ103" s="40">
        <f>SUMIFS('센터 자재 사용내역(10월)'!G:G,'센터 자재 사용내역(10월)'!E:E,'사급자재 사용내역'!C103,'센터 자재 사용내역(10월)'!F:F,"불량")</f>
        <v>0</v>
      </c>
      <c r="BA103" s="40">
        <f>SUMIFS('센터 자재 사용내역(11월)'!G:G,'센터 자재 사용내역(11월)'!E:E,'사급자재 사용내역'!C103,'센터 자재 사용내역(11월)'!F:F,"불량")</f>
        <v>0</v>
      </c>
      <c r="BB103" s="40">
        <f>SUMIFS('센터 자재 사용내역(12월)'!G:G,'센터 자재 사용내역(12월)'!E:E,'사급자재 사용내역'!C103,'센터 자재 사용내역(12월)'!F:F,"불량")</f>
        <v>0</v>
      </c>
      <c r="BC103" s="40">
        <f t="shared" si="19"/>
        <v>0</v>
      </c>
      <c r="BD103" s="62"/>
    </row>
    <row r="104" spans="2:56" ht="19.5" customHeight="1">
      <c r="B104" s="99"/>
      <c r="C104" s="23" t="s">
        <v>187</v>
      </c>
      <c r="D104" s="64" t="s">
        <v>129</v>
      </c>
      <c r="E104" s="67">
        <v>98</v>
      </c>
      <c r="F104" s="47">
        <v>0</v>
      </c>
      <c r="G104" s="46"/>
      <c r="H104" s="78"/>
      <c r="I104" s="90">
        <f t="shared" si="25"/>
        <v>0</v>
      </c>
      <c r="J104" s="89">
        <f t="shared" si="27"/>
        <v>2</v>
      </c>
      <c r="K104" s="78">
        <f t="shared" si="26"/>
        <v>0</v>
      </c>
      <c r="L104" s="84">
        <f t="shared" si="28"/>
        <v>96</v>
      </c>
      <c r="M104" s="79">
        <f>SUMIFS('센터 자재 사용내역(01월)'!G:G,'센터 자재 사용내역(01월)'!E:E,'사급자재 사용내역'!C104,'센터 자재 사용내역(01월)'!F:F,"신규")+SUMIFS('센터 자재 사용내역(01월)'!G:G,'센터 자재 사용내역(01월)'!E:E,'사급자재 사용내역'!C104,'센터 자재 사용내역(01월)'!F:F,"교체")</f>
        <v>0</v>
      </c>
      <c r="N104" s="40">
        <f>SUMIFS('센터 자재 사용내역(02월)'!G:G,'센터 자재 사용내역(02월)'!E:E,'사급자재 사용내역'!C104,'센터 자재 사용내역(02월)'!F:F,"신규")+SUMIFS('센터 자재 사용내역(02월)'!G:G,'센터 자재 사용내역(02월)'!E:E,'사급자재 사용내역'!C104,'센터 자재 사용내역(02월)'!F:F,"교체")</f>
        <v>0</v>
      </c>
      <c r="O104" s="40">
        <f>SUMIFS('센터 자재 사용내역(03월)'!G:G,'센터 자재 사용내역(03월)'!E:E,'사급자재 사용내역'!C104,'센터 자재 사용내역(03월)'!F:F,"신규")+SUMIFS('센터 자재 사용내역(03월)'!G:G,'센터 자재 사용내역(03월)'!E:E,'사급자재 사용내역'!C104,'센터 자재 사용내역(03월)'!F:F,"교체")</f>
        <v>1</v>
      </c>
      <c r="P104" s="40">
        <f>SUMIFS('센터 자재 사용내역(04월)'!G:G,'센터 자재 사용내역(04월)'!E:E,'사급자재 사용내역'!C104,'센터 자재 사용내역(04월)'!F:F,"신규")+SUMIFS('센터 자재 사용내역(04월)'!G:G,'센터 자재 사용내역(04월)'!E:E,'사급자재 사용내역'!C104,'센터 자재 사용내역(04월)'!F:F,"교체")</f>
        <v>1</v>
      </c>
      <c r="Q104" s="40">
        <f>SUMIFS('센터 자재 사용내역(05월)'!G:G,'센터 자재 사용내역(05월)'!E:E,'사급자재 사용내역'!C104,'센터 자재 사용내역(05월)'!F:F,"신규")+SUMIFS('센터 자재 사용내역(05월)'!G:G,'센터 자재 사용내역(05월)'!E:E,'사급자재 사용내역'!C104,'센터 자재 사용내역(05월)'!F:F,"교체")</f>
        <v>0</v>
      </c>
      <c r="R104" s="40">
        <f>SUMIFS('센터 자재 사용내역(06월)'!G:G,'센터 자재 사용내역(06월)'!E:E,'사급자재 사용내역'!C104,'센터 자재 사용내역(06월)'!F:F,"신규")+SUMIFS('센터 자재 사용내역(06월)'!G:G,'센터 자재 사용내역(06월)'!E:E,'사급자재 사용내역'!C104,'센터 자재 사용내역(06월)'!F:F,"교체")</f>
        <v>0</v>
      </c>
      <c r="S104" s="40">
        <f>SUMIFS('센터 자재 사용내역(07월)'!G:G,'센터 자재 사용내역(07월)'!E:E,'사급자재 사용내역'!C104,'센터 자재 사용내역(07월)'!F:F,"신규")+SUMIFS('센터 자재 사용내역(07월)'!G:G,'센터 자재 사용내역(07월)'!E:E,'사급자재 사용내역'!C104,'센터 자재 사용내역(07월)'!F:F,"교체")</f>
        <v>0</v>
      </c>
      <c r="T104" s="40">
        <f>SUMIFS('센터 자재 사용내역(08월)'!G:G,'센터 자재 사용내역(08월)'!E:E,'사급자재 사용내역'!C104,'센터 자재 사용내역(08월)'!F:F,"신규")+SUMIFS('센터 자재 사용내역(08월)'!G:G,'센터 자재 사용내역(08월)'!E:E,'사급자재 사용내역'!C104,'센터 자재 사용내역(08월)'!F:F,"교체")</f>
        <v>0</v>
      </c>
      <c r="U104" s="40">
        <f>SUMIFS('센터 자재 사용내역(09월)'!G:G,'센터 자재 사용내역(09월)'!E:E,'사급자재 사용내역'!C104,'센터 자재 사용내역(09월)'!F:F,"신규")+SUMIFS('센터 자재 사용내역(09월)'!G:G,'센터 자재 사용내역(09월)'!E:E,'사급자재 사용내역'!C104,'센터 자재 사용내역(09월)'!F:F,"교체")</f>
        <v>0</v>
      </c>
      <c r="V104" s="40">
        <f>SUMIFS('센터 자재 사용내역(10월)'!G:G,'센터 자재 사용내역(10월)'!E:E,'사급자재 사용내역'!C104,'센터 자재 사용내역(10월)'!F:F,"신규")+SUMIFS('센터 자재 사용내역(10월)'!G:G,'센터 자재 사용내역(10월)'!E:E,'사급자재 사용내역'!C104,'센터 자재 사용내역(10월)'!F:F,"교체")</f>
        <v>0</v>
      </c>
      <c r="W104" s="40">
        <f>SUMIFS('센터 자재 사용내역(11월)'!G:G,'센터 자재 사용내역(11월)'!E:E,'사급자재 사용내역'!C104,'센터 자재 사용내역(11월)'!F:F,"신규")+SUMIFS('센터 자재 사용내역(11월)'!G:G,'센터 자재 사용내역(11월)'!E:E,'사급자재 사용내역'!C104,'센터 자재 사용내역(11월)'!F:F,"교체")</f>
        <v>0</v>
      </c>
      <c r="X104" s="40">
        <f>SUMIFS('센터 자재 사용내역(12월)'!G:G,'센터 자재 사용내역(12월)'!E:E,'사급자재 사용내역'!C104,'센터 자재 사용내역(12월)'!F:F,"신규")+SUMIFS('센터 자재 사용내역(12월)'!G:G,'센터 자재 사용내역(12월)'!E:E,'사급자재 사용내역'!C104,'센터 자재 사용내역(12월)'!F:F,"교체")</f>
        <v>0</v>
      </c>
      <c r="Y104" s="40">
        <f t="shared" si="29"/>
        <v>2</v>
      </c>
      <c r="Z104" s="53"/>
      <c r="AB104" s="56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  <c r="AN104" s="21">
        <f t="shared" si="30"/>
        <v>0</v>
      </c>
      <c r="AO104" s="57"/>
      <c r="AQ104" s="61">
        <f>SUMIFS('센터 자재 사용내역(01월)'!G:G,'센터 자재 사용내역(01월)'!E:E,'사급자재 사용내역'!C104,'센터 자재 사용내역(01월)'!F:F,"불량")</f>
        <v>0</v>
      </c>
      <c r="AR104" s="40">
        <f>SUMIFS('센터 자재 사용내역(02월)'!G:G,'센터 자재 사용내역(02월)'!E:E,'사급자재 사용내역'!C104,'센터 자재 사용내역(02월)'!F:F,"불량")</f>
        <v>0</v>
      </c>
      <c r="AS104" s="40">
        <f>SUMIFS('센터 자재 사용내역(03월)'!G:G,'센터 자재 사용내역(03월)'!E:E,'사급자재 사용내역'!C104,'센터 자재 사용내역(03월)'!F:F,"불량")</f>
        <v>0</v>
      </c>
      <c r="AT104" s="40">
        <f>SUMIFS('센터 자재 사용내역(04월)'!G:G,'센터 자재 사용내역(04월)'!E:E,'사급자재 사용내역'!C104,'센터 자재 사용내역(04월)'!F:F,"불량")</f>
        <v>0</v>
      </c>
      <c r="AU104" s="40">
        <f>SUMIFS('센터 자재 사용내역(05월)'!G:G,'센터 자재 사용내역(05월)'!E:E,'사급자재 사용내역'!C104,'센터 자재 사용내역(05월)'!F:F,"불량")</f>
        <v>0</v>
      </c>
      <c r="AV104" s="40">
        <f>SUMIFS('센터 자재 사용내역(06월)'!G:G,'센터 자재 사용내역(06월)'!E:E,'사급자재 사용내역'!C104,'센터 자재 사용내역(06월)'!F:F,"불량")</f>
        <v>0</v>
      </c>
      <c r="AW104" s="40">
        <f>SUMIFS('센터 자재 사용내역(07월)'!G:G,'센터 자재 사용내역(07월)'!E:E,'사급자재 사용내역'!C104,'센터 자재 사용내역(07월)'!F:F,"불량")</f>
        <v>0</v>
      </c>
      <c r="AX104" s="40">
        <f>SUMIFS('센터 자재 사용내역(08월)'!G:G,'센터 자재 사용내역(08월)'!E:E,'사급자재 사용내역'!C104,'센터 자재 사용내역(08월)'!F:F,"불량")</f>
        <v>0</v>
      </c>
      <c r="AY104" s="40">
        <f>SUMIFS('센터 자재 사용내역(09월)'!G:G,'센터 자재 사용내역(09월)'!E:E,'사급자재 사용내역'!C104,'센터 자재 사용내역(09월)'!F:F,"불량")</f>
        <v>0</v>
      </c>
      <c r="AZ104" s="40">
        <f>SUMIFS('센터 자재 사용내역(10월)'!G:G,'센터 자재 사용내역(10월)'!E:E,'사급자재 사용내역'!C104,'센터 자재 사용내역(10월)'!F:F,"불량")</f>
        <v>0</v>
      </c>
      <c r="BA104" s="40">
        <f>SUMIFS('센터 자재 사용내역(11월)'!G:G,'센터 자재 사용내역(11월)'!E:E,'사급자재 사용내역'!C104,'센터 자재 사용내역(11월)'!F:F,"불량")</f>
        <v>0</v>
      </c>
      <c r="BB104" s="40">
        <f>SUMIFS('센터 자재 사용내역(12월)'!G:G,'센터 자재 사용내역(12월)'!E:E,'사급자재 사용내역'!C104,'센터 자재 사용내역(12월)'!F:F,"불량")</f>
        <v>0</v>
      </c>
      <c r="BC104" s="40">
        <f t="shared" si="19"/>
        <v>0</v>
      </c>
      <c r="BD104" s="62"/>
    </row>
    <row r="105" spans="2:56" ht="19.5" customHeight="1">
      <c r="B105" s="99"/>
      <c r="C105" s="23" t="s">
        <v>179</v>
      </c>
      <c r="D105" s="64" t="s">
        <v>210</v>
      </c>
      <c r="E105" s="67">
        <v>3</v>
      </c>
      <c r="F105" s="47">
        <v>0</v>
      </c>
      <c r="G105" s="46"/>
      <c r="H105" s="78"/>
      <c r="I105" s="90">
        <f t="shared" si="25"/>
        <v>0</v>
      </c>
      <c r="J105" s="89">
        <f t="shared" si="27"/>
        <v>0</v>
      </c>
      <c r="K105" s="78">
        <f t="shared" si="26"/>
        <v>0</v>
      </c>
      <c r="L105" s="84">
        <f t="shared" si="28"/>
        <v>3</v>
      </c>
      <c r="M105" s="79">
        <f>SUMIFS('센터 자재 사용내역(01월)'!G:G,'센터 자재 사용내역(01월)'!E:E,'사급자재 사용내역'!C105,'센터 자재 사용내역(01월)'!F:F,"신규")+SUMIFS('센터 자재 사용내역(01월)'!G:G,'센터 자재 사용내역(01월)'!E:E,'사급자재 사용내역'!C105,'센터 자재 사용내역(01월)'!F:F,"교체")</f>
        <v>0</v>
      </c>
      <c r="N105" s="40">
        <f>SUMIFS('센터 자재 사용내역(02월)'!G:G,'센터 자재 사용내역(02월)'!E:E,'사급자재 사용내역'!C105,'센터 자재 사용내역(02월)'!F:F,"신규")+SUMIFS('센터 자재 사용내역(02월)'!G:G,'센터 자재 사용내역(02월)'!E:E,'사급자재 사용내역'!C105,'센터 자재 사용내역(02월)'!F:F,"교체")</f>
        <v>0</v>
      </c>
      <c r="O105" s="40">
        <f>SUMIFS('센터 자재 사용내역(03월)'!G:G,'센터 자재 사용내역(03월)'!E:E,'사급자재 사용내역'!C105,'센터 자재 사용내역(03월)'!F:F,"신규")+SUMIFS('센터 자재 사용내역(03월)'!G:G,'센터 자재 사용내역(03월)'!E:E,'사급자재 사용내역'!C105,'센터 자재 사용내역(03월)'!F:F,"교체")</f>
        <v>0</v>
      </c>
      <c r="P105" s="40">
        <f>SUMIFS('센터 자재 사용내역(04월)'!G:G,'센터 자재 사용내역(04월)'!E:E,'사급자재 사용내역'!C105,'센터 자재 사용내역(04월)'!F:F,"신규")+SUMIFS('센터 자재 사용내역(04월)'!G:G,'센터 자재 사용내역(04월)'!E:E,'사급자재 사용내역'!C105,'센터 자재 사용내역(04월)'!F:F,"교체")</f>
        <v>0</v>
      </c>
      <c r="Q105" s="40">
        <f>SUMIFS('센터 자재 사용내역(05월)'!G:G,'센터 자재 사용내역(05월)'!E:E,'사급자재 사용내역'!C105,'센터 자재 사용내역(05월)'!F:F,"신규")+SUMIFS('센터 자재 사용내역(05월)'!G:G,'센터 자재 사용내역(05월)'!E:E,'사급자재 사용내역'!C105,'센터 자재 사용내역(05월)'!F:F,"교체")</f>
        <v>0</v>
      </c>
      <c r="R105" s="40">
        <f>SUMIFS('센터 자재 사용내역(06월)'!G:G,'센터 자재 사용내역(06월)'!E:E,'사급자재 사용내역'!C105,'센터 자재 사용내역(06월)'!F:F,"신규")+SUMIFS('센터 자재 사용내역(06월)'!G:G,'센터 자재 사용내역(06월)'!E:E,'사급자재 사용내역'!C105,'센터 자재 사용내역(06월)'!F:F,"교체")</f>
        <v>0</v>
      </c>
      <c r="S105" s="40">
        <f>SUMIFS('센터 자재 사용내역(07월)'!G:G,'센터 자재 사용내역(07월)'!E:E,'사급자재 사용내역'!C105,'센터 자재 사용내역(07월)'!F:F,"신규")+SUMIFS('센터 자재 사용내역(07월)'!G:G,'센터 자재 사용내역(07월)'!E:E,'사급자재 사용내역'!C105,'센터 자재 사용내역(07월)'!F:F,"교체")</f>
        <v>0</v>
      </c>
      <c r="T105" s="40">
        <f>SUMIFS('센터 자재 사용내역(08월)'!G:G,'센터 자재 사용내역(08월)'!E:E,'사급자재 사용내역'!C105,'센터 자재 사용내역(08월)'!F:F,"신규")+SUMIFS('센터 자재 사용내역(08월)'!G:G,'센터 자재 사용내역(08월)'!E:E,'사급자재 사용내역'!C105,'센터 자재 사용내역(08월)'!F:F,"교체")</f>
        <v>0</v>
      </c>
      <c r="U105" s="40">
        <f>SUMIFS('센터 자재 사용내역(09월)'!G:G,'센터 자재 사용내역(09월)'!E:E,'사급자재 사용내역'!C105,'센터 자재 사용내역(09월)'!F:F,"신규")+SUMIFS('센터 자재 사용내역(09월)'!G:G,'센터 자재 사용내역(09월)'!E:E,'사급자재 사용내역'!C105,'센터 자재 사용내역(09월)'!F:F,"교체")</f>
        <v>0</v>
      </c>
      <c r="V105" s="40">
        <f>SUMIFS('센터 자재 사용내역(10월)'!G:G,'센터 자재 사용내역(10월)'!E:E,'사급자재 사용내역'!C105,'센터 자재 사용내역(10월)'!F:F,"신규")+SUMIFS('센터 자재 사용내역(10월)'!G:G,'센터 자재 사용내역(10월)'!E:E,'사급자재 사용내역'!C105,'센터 자재 사용내역(10월)'!F:F,"교체")</f>
        <v>0</v>
      </c>
      <c r="W105" s="40">
        <f>SUMIFS('센터 자재 사용내역(11월)'!G:G,'센터 자재 사용내역(11월)'!E:E,'사급자재 사용내역'!C105,'센터 자재 사용내역(11월)'!F:F,"신규")+SUMIFS('센터 자재 사용내역(11월)'!G:G,'센터 자재 사용내역(11월)'!E:E,'사급자재 사용내역'!C105,'센터 자재 사용내역(11월)'!F:F,"교체")</f>
        <v>0</v>
      </c>
      <c r="X105" s="40">
        <f>SUMIFS('센터 자재 사용내역(12월)'!G:G,'센터 자재 사용내역(12월)'!E:E,'사급자재 사용내역'!C105,'센터 자재 사용내역(12월)'!F:F,"신규")+SUMIFS('센터 자재 사용내역(12월)'!G:G,'센터 자재 사용내역(12월)'!E:E,'사급자재 사용내역'!C105,'센터 자재 사용내역(12월)'!F:F,"교체")</f>
        <v>0</v>
      </c>
      <c r="Y105" s="40">
        <f t="shared" si="29"/>
        <v>0</v>
      </c>
      <c r="Z105" s="53"/>
      <c r="AB105" s="56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1">
        <f t="shared" si="30"/>
        <v>0</v>
      </c>
      <c r="AO105" s="57"/>
      <c r="AQ105" s="61">
        <f>SUMIFS('센터 자재 사용내역(01월)'!G:G,'센터 자재 사용내역(01월)'!E:E,'사급자재 사용내역'!C105,'센터 자재 사용내역(01월)'!F:F,"불량")</f>
        <v>0</v>
      </c>
      <c r="AR105" s="40">
        <f>SUMIFS('센터 자재 사용내역(02월)'!G:G,'센터 자재 사용내역(02월)'!E:E,'사급자재 사용내역'!C105,'센터 자재 사용내역(02월)'!F:F,"불량")</f>
        <v>0</v>
      </c>
      <c r="AS105" s="40">
        <f>SUMIFS('센터 자재 사용내역(03월)'!G:G,'센터 자재 사용내역(03월)'!E:E,'사급자재 사용내역'!C105,'센터 자재 사용내역(03월)'!F:F,"불량")</f>
        <v>0</v>
      </c>
      <c r="AT105" s="40">
        <f>SUMIFS('센터 자재 사용내역(04월)'!G:G,'센터 자재 사용내역(04월)'!E:E,'사급자재 사용내역'!C105,'센터 자재 사용내역(04월)'!F:F,"불량")</f>
        <v>0</v>
      </c>
      <c r="AU105" s="40">
        <f>SUMIFS('센터 자재 사용내역(05월)'!G:G,'센터 자재 사용내역(05월)'!E:E,'사급자재 사용내역'!C105,'센터 자재 사용내역(05월)'!F:F,"불량")</f>
        <v>0</v>
      </c>
      <c r="AV105" s="40">
        <f>SUMIFS('센터 자재 사용내역(06월)'!G:G,'센터 자재 사용내역(06월)'!E:E,'사급자재 사용내역'!C105,'센터 자재 사용내역(06월)'!F:F,"불량")</f>
        <v>0</v>
      </c>
      <c r="AW105" s="40">
        <f>SUMIFS('센터 자재 사용내역(07월)'!G:G,'센터 자재 사용내역(07월)'!E:E,'사급자재 사용내역'!C105,'센터 자재 사용내역(07월)'!F:F,"불량")</f>
        <v>0</v>
      </c>
      <c r="AX105" s="40">
        <f>SUMIFS('센터 자재 사용내역(08월)'!G:G,'센터 자재 사용내역(08월)'!E:E,'사급자재 사용내역'!C105,'센터 자재 사용내역(08월)'!F:F,"불량")</f>
        <v>0</v>
      </c>
      <c r="AY105" s="40">
        <f>SUMIFS('센터 자재 사용내역(09월)'!G:G,'센터 자재 사용내역(09월)'!E:E,'사급자재 사용내역'!C105,'센터 자재 사용내역(09월)'!F:F,"불량")</f>
        <v>0</v>
      </c>
      <c r="AZ105" s="40">
        <f>SUMIFS('센터 자재 사용내역(10월)'!G:G,'센터 자재 사용내역(10월)'!E:E,'사급자재 사용내역'!C105,'센터 자재 사용내역(10월)'!F:F,"불량")</f>
        <v>0</v>
      </c>
      <c r="BA105" s="40">
        <f>SUMIFS('센터 자재 사용내역(11월)'!G:G,'센터 자재 사용내역(11월)'!E:E,'사급자재 사용내역'!C105,'센터 자재 사용내역(11월)'!F:F,"불량")</f>
        <v>0</v>
      </c>
      <c r="BB105" s="40">
        <f>SUMIFS('센터 자재 사용내역(12월)'!G:G,'센터 자재 사용내역(12월)'!E:E,'사급자재 사용내역'!C105,'센터 자재 사용내역(12월)'!F:F,"불량")</f>
        <v>0</v>
      </c>
      <c r="BC105" s="40">
        <f t="shared" si="19"/>
        <v>0</v>
      </c>
      <c r="BD105" s="62"/>
    </row>
    <row r="106" spans="2:56" ht="19.5" customHeight="1">
      <c r="B106" s="99"/>
      <c r="C106" s="23" t="s">
        <v>180</v>
      </c>
      <c r="D106" s="64" t="s">
        <v>210</v>
      </c>
      <c r="E106" s="67">
        <v>4</v>
      </c>
      <c r="F106" s="47">
        <v>0</v>
      </c>
      <c r="G106" s="46"/>
      <c r="H106" s="78"/>
      <c r="I106" s="90">
        <f t="shared" si="25"/>
        <v>0</v>
      </c>
      <c r="J106" s="89">
        <f t="shared" si="27"/>
        <v>1</v>
      </c>
      <c r="K106" s="78">
        <f t="shared" si="26"/>
        <v>0</v>
      </c>
      <c r="L106" s="84">
        <f t="shared" si="28"/>
        <v>3</v>
      </c>
      <c r="M106" s="79">
        <f>SUMIFS('센터 자재 사용내역(01월)'!G:G,'센터 자재 사용내역(01월)'!E:E,'사급자재 사용내역'!C106,'센터 자재 사용내역(01월)'!F:F,"신규")+SUMIFS('센터 자재 사용내역(01월)'!G:G,'센터 자재 사용내역(01월)'!E:E,'사급자재 사용내역'!C106,'센터 자재 사용내역(01월)'!F:F,"교체")</f>
        <v>0</v>
      </c>
      <c r="N106" s="40">
        <f>SUMIFS('센터 자재 사용내역(02월)'!G:G,'센터 자재 사용내역(02월)'!E:E,'사급자재 사용내역'!C106,'센터 자재 사용내역(02월)'!F:F,"신규")+SUMIFS('센터 자재 사용내역(02월)'!G:G,'센터 자재 사용내역(02월)'!E:E,'사급자재 사용내역'!C106,'센터 자재 사용내역(02월)'!F:F,"교체")</f>
        <v>0</v>
      </c>
      <c r="O106" s="40">
        <f>SUMIFS('센터 자재 사용내역(03월)'!G:G,'센터 자재 사용내역(03월)'!E:E,'사급자재 사용내역'!C106,'센터 자재 사용내역(03월)'!F:F,"신규")+SUMIFS('센터 자재 사용내역(03월)'!G:G,'센터 자재 사용내역(03월)'!E:E,'사급자재 사용내역'!C106,'센터 자재 사용내역(03월)'!F:F,"교체")</f>
        <v>0</v>
      </c>
      <c r="P106" s="40">
        <f>SUMIFS('센터 자재 사용내역(04월)'!G:G,'센터 자재 사용내역(04월)'!E:E,'사급자재 사용내역'!C106,'센터 자재 사용내역(04월)'!F:F,"신규")+SUMIFS('센터 자재 사용내역(04월)'!G:G,'센터 자재 사용내역(04월)'!E:E,'사급자재 사용내역'!C106,'센터 자재 사용내역(04월)'!F:F,"교체")</f>
        <v>1</v>
      </c>
      <c r="Q106" s="40">
        <f>SUMIFS('센터 자재 사용내역(05월)'!G:G,'센터 자재 사용내역(05월)'!E:E,'사급자재 사용내역'!C106,'센터 자재 사용내역(05월)'!F:F,"신규")+SUMIFS('센터 자재 사용내역(05월)'!G:G,'센터 자재 사용내역(05월)'!E:E,'사급자재 사용내역'!C106,'센터 자재 사용내역(05월)'!F:F,"교체")</f>
        <v>0</v>
      </c>
      <c r="R106" s="40">
        <f>SUMIFS('센터 자재 사용내역(06월)'!G:G,'센터 자재 사용내역(06월)'!E:E,'사급자재 사용내역'!C106,'센터 자재 사용내역(06월)'!F:F,"신규")+SUMIFS('센터 자재 사용내역(06월)'!G:G,'센터 자재 사용내역(06월)'!E:E,'사급자재 사용내역'!C106,'센터 자재 사용내역(06월)'!F:F,"교체")</f>
        <v>0</v>
      </c>
      <c r="S106" s="40">
        <f>SUMIFS('센터 자재 사용내역(07월)'!G:G,'센터 자재 사용내역(07월)'!E:E,'사급자재 사용내역'!C106,'센터 자재 사용내역(07월)'!F:F,"신규")+SUMIFS('센터 자재 사용내역(07월)'!G:G,'센터 자재 사용내역(07월)'!E:E,'사급자재 사용내역'!C106,'센터 자재 사용내역(07월)'!F:F,"교체")</f>
        <v>0</v>
      </c>
      <c r="T106" s="40">
        <f>SUMIFS('센터 자재 사용내역(08월)'!G:G,'센터 자재 사용내역(08월)'!E:E,'사급자재 사용내역'!C106,'센터 자재 사용내역(08월)'!F:F,"신규")+SUMIFS('센터 자재 사용내역(08월)'!G:G,'센터 자재 사용내역(08월)'!E:E,'사급자재 사용내역'!C106,'센터 자재 사용내역(08월)'!F:F,"교체")</f>
        <v>0</v>
      </c>
      <c r="U106" s="40">
        <f>SUMIFS('센터 자재 사용내역(09월)'!G:G,'센터 자재 사용내역(09월)'!E:E,'사급자재 사용내역'!C106,'센터 자재 사용내역(09월)'!F:F,"신규")+SUMIFS('센터 자재 사용내역(09월)'!G:G,'센터 자재 사용내역(09월)'!E:E,'사급자재 사용내역'!C106,'센터 자재 사용내역(09월)'!F:F,"교체")</f>
        <v>0</v>
      </c>
      <c r="V106" s="40">
        <f>SUMIFS('센터 자재 사용내역(10월)'!G:G,'센터 자재 사용내역(10월)'!E:E,'사급자재 사용내역'!C106,'센터 자재 사용내역(10월)'!F:F,"신규")+SUMIFS('센터 자재 사용내역(10월)'!G:G,'센터 자재 사용내역(10월)'!E:E,'사급자재 사용내역'!C106,'센터 자재 사용내역(10월)'!F:F,"교체")</f>
        <v>0</v>
      </c>
      <c r="W106" s="40">
        <f>SUMIFS('센터 자재 사용내역(11월)'!G:G,'센터 자재 사용내역(11월)'!E:E,'사급자재 사용내역'!C106,'센터 자재 사용내역(11월)'!F:F,"신규")+SUMIFS('센터 자재 사용내역(11월)'!G:G,'센터 자재 사용내역(11월)'!E:E,'사급자재 사용내역'!C106,'센터 자재 사용내역(11월)'!F:F,"교체")</f>
        <v>0</v>
      </c>
      <c r="X106" s="40">
        <f>SUMIFS('센터 자재 사용내역(12월)'!G:G,'센터 자재 사용내역(12월)'!E:E,'사급자재 사용내역'!C106,'센터 자재 사용내역(12월)'!F:F,"신규")+SUMIFS('센터 자재 사용내역(12월)'!G:G,'센터 자재 사용내역(12월)'!E:E,'사급자재 사용내역'!C106,'센터 자재 사용내역(12월)'!F:F,"교체")</f>
        <v>0</v>
      </c>
      <c r="Y106" s="40">
        <f t="shared" si="29"/>
        <v>1</v>
      </c>
      <c r="Z106" s="53"/>
      <c r="AB106" s="56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  <c r="AN106" s="21">
        <f t="shared" si="30"/>
        <v>0</v>
      </c>
      <c r="AO106" s="57"/>
      <c r="AQ106" s="61">
        <f>SUMIFS('센터 자재 사용내역(01월)'!G:G,'센터 자재 사용내역(01월)'!E:E,'사급자재 사용내역'!C106,'센터 자재 사용내역(01월)'!F:F,"불량")</f>
        <v>0</v>
      </c>
      <c r="AR106" s="40">
        <f>SUMIFS('센터 자재 사용내역(02월)'!G:G,'센터 자재 사용내역(02월)'!E:E,'사급자재 사용내역'!C106,'센터 자재 사용내역(02월)'!F:F,"불량")</f>
        <v>0</v>
      </c>
      <c r="AS106" s="40">
        <f>SUMIFS('센터 자재 사용내역(03월)'!G:G,'센터 자재 사용내역(03월)'!E:E,'사급자재 사용내역'!C106,'센터 자재 사용내역(03월)'!F:F,"불량")</f>
        <v>0</v>
      </c>
      <c r="AT106" s="40">
        <f>SUMIFS('센터 자재 사용내역(04월)'!G:G,'센터 자재 사용내역(04월)'!E:E,'사급자재 사용내역'!C106,'센터 자재 사용내역(04월)'!F:F,"불량")</f>
        <v>0</v>
      </c>
      <c r="AU106" s="40">
        <f>SUMIFS('센터 자재 사용내역(05월)'!G:G,'센터 자재 사용내역(05월)'!E:E,'사급자재 사용내역'!C106,'센터 자재 사용내역(05월)'!F:F,"불량")</f>
        <v>0</v>
      </c>
      <c r="AV106" s="40">
        <f>SUMIFS('센터 자재 사용내역(06월)'!G:G,'센터 자재 사용내역(06월)'!E:E,'사급자재 사용내역'!C106,'센터 자재 사용내역(06월)'!F:F,"불량")</f>
        <v>0</v>
      </c>
      <c r="AW106" s="40">
        <f>SUMIFS('센터 자재 사용내역(07월)'!G:G,'센터 자재 사용내역(07월)'!E:E,'사급자재 사용내역'!C106,'센터 자재 사용내역(07월)'!F:F,"불량")</f>
        <v>0</v>
      </c>
      <c r="AX106" s="40">
        <f>SUMIFS('센터 자재 사용내역(08월)'!G:G,'센터 자재 사용내역(08월)'!E:E,'사급자재 사용내역'!C106,'센터 자재 사용내역(08월)'!F:F,"불량")</f>
        <v>0</v>
      </c>
      <c r="AY106" s="40">
        <f>SUMIFS('센터 자재 사용내역(09월)'!G:G,'센터 자재 사용내역(09월)'!E:E,'사급자재 사용내역'!C106,'센터 자재 사용내역(09월)'!F:F,"불량")</f>
        <v>0</v>
      </c>
      <c r="AZ106" s="40">
        <f>SUMIFS('센터 자재 사용내역(10월)'!G:G,'센터 자재 사용내역(10월)'!E:E,'사급자재 사용내역'!C106,'센터 자재 사용내역(10월)'!F:F,"불량")</f>
        <v>0</v>
      </c>
      <c r="BA106" s="40">
        <f>SUMIFS('센터 자재 사용내역(11월)'!G:G,'센터 자재 사용내역(11월)'!E:E,'사급자재 사용내역'!C106,'센터 자재 사용내역(11월)'!F:F,"불량")</f>
        <v>0</v>
      </c>
      <c r="BB106" s="40">
        <f>SUMIFS('센터 자재 사용내역(12월)'!G:G,'센터 자재 사용내역(12월)'!E:E,'사급자재 사용내역'!C106,'센터 자재 사용내역(12월)'!F:F,"불량")</f>
        <v>0</v>
      </c>
      <c r="BC106" s="40">
        <f t="shared" si="19"/>
        <v>0</v>
      </c>
      <c r="BD106" s="62"/>
    </row>
    <row r="107" spans="2:56" ht="19.5" customHeight="1">
      <c r="B107" s="99"/>
      <c r="C107" s="23" t="s">
        <v>181</v>
      </c>
      <c r="D107" s="64" t="s">
        <v>210</v>
      </c>
      <c r="E107" s="67">
        <v>10</v>
      </c>
      <c r="F107" s="47">
        <v>0</v>
      </c>
      <c r="G107" s="46"/>
      <c r="H107" s="78"/>
      <c r="I107" s="90">
        <f t="shared" si="25"/>
        <v>0</v>
      </c>
      <c r="J107" s="89">
        <f t="shared" ref="J107:J111" si="31">Y107</f>
        <v>1</v>
      </c>
      <c r="K107" s="78">
        <f t="shared" si="26"/>
        <v>0</v>
      </c>
      <c r="L107" s="84">
        <f t="shared" si="28"/>
        <v>9</v>
      </c>
      <c r="M107" s="79">
        <f>SUMIFS('센터 자재 사용내역(01월)'!G:G,'센터 자재 사용내역(01월)'!E:E,'사급자재 사용내역'!C107,'센터 자재 사용내역(01월)'!F:F,"신규")+SUMIFS('센터 자재 사용내역(01월)'!G:G,'센터 자재 사용내역(01월)'!E:E,'사급자재 사용내역'!C107,'센터 자재 사용내역(01월)'!F:F,"교체")</f>
        <v>0</v>
      </c>
      <c r="N107" s="40">
        <f>SUMIFS('센터 자재 사용내역(02월)'!G:G,'센터 자재 사용내역(02월)'!E:E,'사급자재 사용내역'!C107,'센터 자재 사용내역(02월)'!F:F,"신규")+SUMIFS('센터 자재 사용내역(02월)'!G:G,'센터 자재 사용내역(02월)'!E:E,'사급자재 사용내역'!C107,'센터 자재 사용내역(02월)'!F:F,"교체")</f>
        <v>0</v>
      </c>
      <c r="O107" s="40">
        <f>SUMIFS('센터 자재 사용내역(03월)'!G:G,'센터 자재 사용내역(03월)'!E:E,'사급자재 사용내역'!C107,'센터 자재 사용내역(03월)'!F:F,"신규")+SUMIFS('센터 자재 사용내역(03월)'!G:G,'센터 자재 사용내역(03월)'!E:E,'사급자재 사용내역'!C107,'센터 자재 사용내역(03월)'!F:F,"교체")</f>
        <v>0</v>
      </c>
      <c r="P107" s="40">
        <f>SUMIFS('센터 자재 사용내역(04월)'!G:G,'센터 자재 사용내역(04월)'!E:E,'사급자재 사용내역'!C107,'센터 자재 사용내역(04월)'!F:F,"신규")+SUMIFS('센터 자재 사용내역(04월)'!G:G,'센터 자재 사용내역(04월)'!E:E,'사급자재 사용내역'!C107,'센터 자재 사용내역(04월)'!F:F,"교체")</f>
        <v>0</v>
      </c>
      <c r="Q107" s="40">
        <f>SUMIFS('센터 자재 사용내역(05월)'!G:G,'센터 자재 사용내역(05월)'!E:E,'사급자재 사용내역'!C107,'센터 자재 사용내역(05월)'!F:F,"신규")+SUMIFS('센터 자재 사용내역(05월)'!G:G,'센터 자재 사용내역(05월)'!E:E,'사급자재 사용내역'!C107,'센터 자재 사용내역(05월)'!F:F,"교체")</f>
        <v>1</v>
      </c>
      <c r="R107" s="40">
        <f>SUMIFS('센터 자재 사용내역(06월)'!G:G,'센터 자재 사용내역(06월)'!E:E,'사급자재 사용내역'!C107,'센터 자재 사용내역(06월)'!F:F,"신규")+SUMIFS('센터 자재 사용내역(06월)'!G:G,'센터 자재 사용내역(06월)'!E:E,'사급자재 사용내역'!C107,'센터 자재 사용내역(06월)'!F:F,"교체")</f>
        <v>0</v>
      </c>
      <c r="S107" s="40">
        <f>SUMIFS('센터 자재 사용내역(07월)'!G:G,'센터 자재 사용내역(07월)'!E:E,'사급자재 사용내역'!C107,'센터 자재 사용내역(07월)'!F:F,"신규")+SUMIFS('센터 자재 사용내역(07월)'!G:G,'센터 자재 사용내역(07월)'!E:E,'사급자재 사용내역'!C107,'센터 자재 사용내역(07월)'!F:F,"교체")</f>
        <v>0</v>
      </c>
      <c r="T107" s="40">
        <f>SUMIFS('센터 자재 사용내역(08월)'!G:G,'센터 자재 사용내역(08월)'!E:E,'사급자재 사용내역'!C107,'센터 자재 사용내역(08월)'!F:F,"신규")+SUMIFS('센터 자재 사용내역(08월)'!G:G,'센터 자재 사용내역(08월)'!E:E,'사급자재 사용내역'!C107,'센터 자재 사용내역(08월)'!F:F,"교체")</f>
        <v>0</v>
      </c>
      <c r="U107" s="40">
        <f>SUMIFS('센터 자재 사용내역(09월)'!G:G,'센터 자재 사용내역(09월)'!E:E,'사급자재 사용내역'!C107,'센터 자재 사용내역(09월)'!F:F,"신규")+SUMIFS('센터 자재 사용내역(09월)'!G:G,'센터 자재 사용내역(09월)'!E:E,'사급자재 사용내역'!C107,'센터 자재 사용내역(09월)'!F:F,"교체")</f>
        <v>0</v>
      </c>
      <c r="V107" s="40">
        <f>SUMIFS('센터 자재 사용내역(10월)'!G:G,'센터 자재 사용내역(10월)'!E:E,'사급자재 사용내역'!C107,'센터 자재 사용내역(10월)'!F:F,"신규")+SUMIFS('센터 자재 사용내역(10월)'!G:G,'센터 자재 사용내역(10월)'!E:E,'사급자재 사용내역'!C107,'센터 자재 사용내역(10월)'!F:F,"교체")</f>
        <v>0</v>
      </c>
      <c r="W107" s="40">
        <f>SUMIFS('센터 자재 사용내역(11월)'!G:G,'센터 자재 사용내역(11월)'!E:E,'사급자재 사용내역'!C107,'센터 자재 사용내역(11월)'!F:F,"신규")+SUMIFS('센터 자재 사용내역(11월)'!G:G,'센터 자재 사용내역(11월)'!E:E,'사급자재 사용내역'!C107,'센터 자재 사용내역(11월)'!F:F,"교체")</f>
        <v>0</v>
      </c>
      <c r="X107" s="40">
        <f>SUMIFS('센터 자재 사용내역(12월)'!G:G,'센터 자재 사용내역(12월)'!E:E,'사급자재 사용내역'!C107,'센터 자재 사용내역(12월)'!F:F,"신규")+SUMIFS('센터 자재 사용내역(12월)'!G:G,'센터 자재 사용내역(12월)'!E:E,'사급자재 사용내역'!C107,'센터 자재 사용내역(12월)'!F:F,"교체")</f>
        <v>0</v>
      </c>
      <c r="Y107" s="40">
        <f t="shared" si="29"/>
        <v>1</v>
      </c>
      <c r="Z107" s="53"/>
      <c r="AB107" s="56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  <c r="AM107" s="29"/>
      <c r="AN107" s="21">
        <f t="shared" si="30"/>
        <v>0</v>
      </c>
      <c r="AO107" s="57"/>
      <c r="AQ107" s="61">
        <f>SUMIFS('센터 자재 사용내역(01월)'!G:G,'센터 자재 사용내역(01월)'!E:E,'사급자재 사용내역'!C107,'센터 자재 사용내역(01월)'!F:F,"불량")</f>
        <v>0</v>
      </c>
      <c r="AR107" s="40">
        <f>SUMIFS('센터 자재 사용내역(02월)'!G:G,'센터 자재 사용내역(02월)'!E:E,'사급자재 사용내역'!C107,'센터 자재 사용내역(02월)'!F:F,"불량")</f>
        <v>0</v>
      </c>
      <c r="AS107" s="40">
        <f>SUMIFS('센터 자재 사용내역(03월)'!G:G,'센터 자재 사용내역(03월)'!E:E,'사급자재 사용내역'!C107,'센터 자재 사용내역(03월)'!F:F,"불량")</f>
        <v>0</v>
      </c>
      <c r="AT107" s="40">
        <f>SUMIFS('센터 자재 사용내역(04월)'!G:G,'센터 자재 사용내역(04월)'!E:E,'사급자재 사용내역'!C107,'센터 자재 사용내역(04월)'!F:F,"불량")</f>
        <v>0</v>
      </c>
      <c r="AU107" s="40">
        <f>SUMIFS('센터 자재 사용내역(05월)'!G:G,'센터 자재 사용내역(05월)'!E:E,'사급자재 사용내역'!C107,'센터 자재 사용내역(05월)'!F:F,"불량")</f>
        <v>0</v>
      </c>
      <c r="AV107" s="40">
        <f>SUMIFS('센터 자재 사용내역(06월)'!G:G,'센터 자재 사용내역(06월)'!E:E,'사급자재 사용내역'!C107,'센터 자재 사용내역(06월)'!F:F,"불량")</f>
        <v>0</v>
      </c>
      <c r="AW107" s="40">
        <f>SUMIFS('센터 자재 사용내역(07월)'!G:G,'센터 자재 사용내역(07월)'!E:E,'사급자재 사용내역'!C107,'센터 자재 사용내역(07월)'!F:F,"불량")</f>
        <v>0</v>
      </c>
      <c r="AX107" s="40">
        <f>SUMIFS('센터 자재 사용내역(08월)'!G:G,'센터 자재 사용내역(08월)'!E:E,'사급자재 사용내역'!C107,'센터 자재 사용내역(08월)'!F:F,"불량")</f>
        <v>0</v>
      </c>
      <c r="AY107" s="40">
        <f>SUMIFS('센터 자재 사용내역(09월)'!G:G,'센터 자재 사용내역(09월)'!E:E,'사급자재 사용내역'!C107,'센터 자재 사용내역(09월)'!F:F,"불량")</f>
        <v>0</v>
      </c>
      <c r="AZ107" s="40">
        <f>SUMIFS('센터 자재 사용내역(10월)'!G:G,'센터 자재 사용내역(10월)'!E:E,'사급자재 사용내역'!C107,'센터 자재 사용내역(10월)'!F:F,"불량")</f>
        <v>0</v>
      </c>
      <c r="BA107" s="40">
        <f>SUMIFS('센터 자재 사용내역(11월)'!G:G,'센터 자재 사용내역(11월)'!E:E,'사급자재 사용내역'!C107,'센터 자재 사용내역(11월)'!F:F,"불량")</f>
        <v>0</v>
      </c>
      <c r="BB107" s="40">
        <f>SUMIFS('센터 자재 사용내역(12월)'!G:G,'센터 자재 사용내역(12월)'!E:E,'사급자재 사용내역'!C107,'센터 자재 사용내역(12월)'!F:F,"불량")</f>
        <v>0</v>
      </c>
      <c r="BC107" s="40">
        <f t="shared" si="19"/>
        <v>0</v>
      </c>
      <c r="BD107" s="62"/>
    </row>
    <row r="108" spans="2:56" ht="19.5" customHeight="1">
      <c r="B108" s="99"/>
      <c r="C108" s="23" t="s">
        <v>182</v>
      </c>
      <c r="D108" s="64" t="s">
        <v>210</v>
      </c>
      <c r="E108" s="67">
        <v>7</v>
      </c>
      <c r="F108" s="47">
        <v>0</v>
      </c>
      <c r="G108" s="46"/>
      <c r="H108" s="78"/>
      <c r="I108" s="90">
        <f t="shared" si="25"/>
        <v>0</v>
      </c>
      <c r="J108" s="89">
        <f t="shared" si="31"/>
        <v>0</v>
      </c>
      <c r="K108" s="78">
        <f t="shared" si="26"/>
        <v>0</v>
      </c>
      <c r="L108" s="84">
        <f t="shared" si="28"/>
        <v>7</v>
      </c>
      <c r="M108" s="79">
        <f>SUMIFS('센터 자재 사용내역(01월)'!G:G,'센터 자재 사용내역(01월)'!E:E,'사급자재 사용내역'!C108,'센터 자재 사용내역(01월)'!F:F,"신규")+SUMIFS('센터 자재 사용내역(01월)'!G:G,'센터 자재 사용내역(01월)'!E:E,'사급자재 사용내역'!C108,'센터 자재 사용내역(01월)'!F:F,"교체")</f>
        <v>0</v>
      </c>
      <c r="N108" s="40">
        <f>SUMIFS('센터 자재 사용내역(02월)'!G:G,'센터 자재 사용내역(02월)'!E:E,'사급자재 사용내역'!C108,'센터 자재 사용내역(02월)'!F:F,"신규")+SUMIFS('센터 자재 사용내역(02월)'!G:G,'센터 자재 사용내역(02월)'!E:E,'사급자재 사용내역'!C108,'센터 자재 사용내역(02월)'!F:F,"교체")</f>
        <v>0</v>
      </c>
      <c r="O108" s="40">
        <f>SUMIFS('센터 자재 사용내역(03월)'!G:G,'센터 자재 사용내역(03월)'!E:E,'사급자재 사용내역'!C108,'센터 자재 사용내역(03월)'!F:F,"신규")+SUMIFS('센터 자재 사용내역(03월)'!G:G,'센터 자재 사용내역(03월)'!E:E,'사급자재 사용내역'!C108,'센터 자재 사용내역(03월)'!F:F,"교체")</f>
        <v>0</v>
      </c>
      <c r="P108" s="40">
        <f>SUMIFS('센터 자재 사용내역(04월)'!G:G,'센터 자재 사용내역(04월)'!E:E,'사급자재 사용내역'!C108,'센터 자재 사용내역(04월)'!F:F,"신규")+SUMIFS('센터 자재 사용내역(04월)'!G:G,'센터 자재 사용내역(04월)'!E:E,'사급자재 사용내역'!C108,'센터 자재 사용내역(04월)'!F:F,"교체")</f>
        <v>0</v>
      </c>
      <c r="Q108" s="40">
        <f>SUMIFS('센터 자재 사용내역(05월)'!G:G,'센터 자재 사용내역(05월)'!E:E,'사급자재 사용내역'!C108,'센터 자재 사용내역(05월)'!F:F,"신규")+SUMIFS('센터 자재 사용내역(05월)'!G:G,'센터 자재 사용내역(05월)'!E:E,'사급자재 사용내역'!C108,'센터 자재 사용내역(05월)'!F:F,"교체")</f>
        <v>0</v>
      </c>
      <c r="R108" s="40">
        <f>SUMIFS('센터 자재 사용내역(06월)'!G:G,'센터 자재 사용내역(06월)'!E:E,'사급자재 사용내역'!C108,'센터 자재 사용내역(06월)'!F:F,"신규")+SUMIFS('센터 자재 사용내역(06월)'!G:G,'센터 자재 사용내역(06월)'!E:E,'사급자재 사용내역'!C108,'센터 자재 사용내역(06월)'!F:F,"교체")</f>
        <v>0</v>
      </c>
      <c r="S108" s="40">
        <f>SUMIFS('센터 자재 사용내역(07월)'!G:G,'센터 자재 사용내역(07월)'!E:E,'사급자재 사용내역'!C108,'센터 자재 사용내역(07월)'!F:F,"신규")+SUMIFS('센터 자재 사용내역(07월)'!G:G,'센터 자재 사용내역(07월)'!E:E,'사급자재 사용내역'!C108,'센터 자재 사용내역(07월)'!F:F,"교체")</f>
        <v>0</v>
      </c>
      <c r="T108" s="40">
        <f>SUMIFS('센터 자재 사용내역(08월)'!G:G,'센터 자재 사용내역(08월)'!E:E,'사급자재 사용내역'!C108,'센터 자재 사용내역(08월)'!F:F,"신규")+SUMIFS('센터 자재 사용내역(08월)'!G:G,'센터 자재 사용내역(08월)'!E:E,'사급자재 사용내역'!C108,'센터 자재 사용내역(08월)'!F:F,"교체")</f>
        <v>0</v>
      </c>
      <c r="U108" s="40">
        <f>SUMIFS('센터 자재 사용내역(09월)'!G:G,'센터 자재 사용내역(09월)'!E:E,'사급자재 사용내역'!C108,'센터 자재 사용내역(09월)'!F:F,"신규")+SUMIFS('센터 자재 사용내역(09월)'!G:G,'센터 자재 사용내역(09월)'!E:E,'사급자재 사용내역'!C108,'센터 자재 사용내역(09월)'!F:F,"교체")</f>
        <v>0</v>
      </c>
      <c r="V108" s="40">
        <f>SUMIFS('센터 자재 사용내역(10월)'!G:G,'센터 자재 사용내역(10월)'!E:E,'사급자재 사용내역'!C108,'센터 자재 사용내역(10월)'!F:F,"신규")+SUMIFS('센터 자재 사용내역(10월)'!G:G,'센터 자재 사용내역(10월)'!E:E,'사급자재 사용내역'!C108,'센터 자재 사용내역(10월)'!F:F,"교체")</f>
        <v>0</v>
      </c>
      <c r="W108" s="40">
        <f>SUMIFS('센터 자재 사용내역(11월)'!G:G,'센터 자재 사용내역(11월)'!E:E,'사급자재 사용내역'!C108,'센터 자재 사용내역(11월)'!F:F,"신규")+SUMIFS('센터 자재 사용내역(11월)'!G:G,'센터 자재 사용내역(11월)'!E:E,'사급자재 사용내역'!C108,'센터 자재 사용내역(11월)'!F:F,"교체")</f>
        <v>0</v>
      </c>
      <c r="X108" s="40">
        <f>SUMIFS('센터 자재 사용내역(12월)'!G:G,'센터 자재 사용내역(12월)'!E:E,'사급자재 사용내역'!C108,'센터 자재 사용내역(12월)'!F:F,"신규")+SUMIFS('센터 자재 사용내역(12월)'!G:G,'센터 자재 사용내역(12월)'!E:E,'사급자재 사용내역'!C108,'센터 자재 사용내역(12월)'!F:F,"교체")</f>
        <v>0</v>
      </c>
      <c r="Y108" s="40">
        <f t="shared" si="29"/>
        <v>0</v>
      </c>
      <c r="Z108" s="53"/>
      <c r="AB108" s="56"/>
      <c r="AC108" s="29"/>
      <c r="AD108" s="29"/>
      <c r="AE108" s="29"/>
      <c r="AF108" s="29"/>
      <c r="AG108" s="29"/>
      <c r="AH108" s="29"/>
      <c r="AI108" s="29"/>
      <c r="AJ108" s="29"/>
      <c r="AK108" s="29"/>
      <c r="AL108" s="29"/>
      <c r="AM108" s="29"/>
      <c r="AN108" s="21">
        <f t="shared" si="30"/>
        <v>0</v>
      </c>
      <c r="AO108" s="57"/>
      <c r="AQ108" s="61">
        <f>SUMIFS('센터 자재 사용내역(01월)'!G:G,'센터 자재 사용내역(01월)'!E:E,'사급자재 사용내역'!C108,'센터 자재 사용내역(01월)'!F:F,"불량")</f>
        <v>0</v>
      </c>
      <c r="AR108" s="40">
        <f>SUMIFS('센터 자재 사용내역(02월)'!G:G,'센터 자재 사용내역(02월)'!E:E,'사급자재 사용내역'!C108,'센터 자재 사용내역(02월)'!F:F,"불량")</f>
        <v>0</v>
      </c>
      <c r="AS108" s="40">
        <f>SUMIFS('센터 자재 사용내역(03월)'!G:G,'센터 자재 사용내역(03월)'!E:E,'사급자재 사용내역'!C108,'센터 자재 사용내역(03월)'!F:F,"불량")</f>
        <v>0</v>
      </c>
      <c r="AT108" s="40">
        <f>SUMIFS('센터 자재 사용내역(04월)'!G:G,'센터 자재 사용내역(04월)'!E:E,'사급자재 사용내역'!C108,'센터 자재 사용내역(04월)'!F:F,"불량")</f>
        <v>0</v>
      </c>
      <c r="AU108" s="40">
        <f>SUMIFS('센터 자재 사용내역(05월)'!G:G,'센터 자재 사용내역(05월)'!E:E,'사급자재 사용내역'!C108,'센터 자재 사용내역(05월)'!F:F,"불량")</f>
        <v>0</v>
      </c>
      <c r="AV108" s="40">
        <f>SUMIFS('센터 자재 사용내역(06월)'!G:G,'센터 자재 사용내역(06월)'!E:E,'사급자재 사용내역'!C108,'센터 자재 사용내역(06월)'!F:F,"불량")</f>
        <v>0</v>
      </c>
      <c r="AW108" s="40">
        <f>SUMIFS('센터 자재 사용내역(07월)'!G:G,'센터 자재 사용내역(07월)'!E:E,'사급자재 사용내역'!C108,'센터 자재 사용내역(07월)'!F:F,"불량")</f>
        <v>0</v>
      </c>
      <c r="AX108" s="40">
        <f>SUMIFS('센터 자재 사용내역(08월)'!G:G,'센터 자재 사용내역(08월)'!E:E,'사급자재 사용내역'!C108,'센터 자재 사용내역(08월)'!F:F,"불량")</f>
        <v>0</v>
      </c>
      <c r="AY108" s="40">
        <f>SUMIFS('센터 자재 사용내역(09월)'!G:G,'센터 자재 사용내역(09월)'!E:E,'사급자재 사용내역'!C108,'센터 자재 사용내역(09월)'!F:F,"불량")</f>
        <v>0</v>
      </c>
      <c r="AZ108" s="40">
        <f>SUMIFS('센터 자재 사용내역(10월)'!G:G,'센터 자재 사용내역(10월)'!E:E,'사급자재 사용내역'!C108,'센터 자재 사용내역(10월)'!F:F,"불량")</f>
        <v>0</v>
      </c>
      <c r="BA108" s="40">
        <f>SUMIFS('센터 자재 사용내역(11월)'!G:G,'센터 자재 사용내역(11월)'!E:E,'사급자재 사용내역'!C108,'센터 자재 사용내역(11월)'!F:F,"불량")</f>
        <v>0</v>
      </c>
      <c r="BB108" s="40">
        <f>SUMIFS('센터 자재 사용내역(12월)'!G:G,'센터 자재 사용내역(12월)'!E:E,'사급자재 사용내역'!C108,'센터 자재 사용내역(12월)'!F:F,"불량")</f>
        <v>0</v>
      </c>
      <c r="BC108" s="40">
        <f t="shared" si="19"/>
        <v>0</v>
      </c>
      <c r="BD108" s="62"/>
    </row>
    <row r="109" spans="2:56" ht="19.5" customHeight="1">
      <c r="B109" s="99"/>
      <c r="C109" s="23" t="s">
        <v>183</v>
      </c>
      <c r="D109" s="64" t="s">
        <v>210</v>
      </c>
      <c r="E109" s="67">
        <v>10</v>
      </c>
      <c r="F109" s="47">
        <v>0</v>
      </c>
      <c r="G109" s="46"/>
      <c r="H109" s="78"/>
      <c r="I109" s="90">
        <f t="shared" si="25"/>
        <v>0</v>
      </c>
      <c r="J109" s="89">
        <f t="shared" si="31"/>
        <v>2</v>
      </c>
      <c r="K109" s="78">
        <f t="shared" si="26"/>
        <v>0</v>
      </c>
      <c r="L109" s="84">
        <f t="shared" si="28"/>
        <v>8</v>
      </c>
      <c r="M109" s="79">
        <f>SUMIFS('센터 자재 사용내역(01월)'!G:G,'센터 자재 사용내역(01월)'!E:E,'사급자재 사용내역'!C109,'센터 자재 사용내역(01월)'!F:F,"신규")+SUMIFS('센터 자재 사용내역(01월)'!G:G,'센터 자재 사용내역(01월)'!E:E,'사급자재 사용내역'!C109,'센터 자재 사용내역(01월)'!F:F,"교체")</f>
        <v>0</v>
      </c>
      <c r="N109" s="40">
        <f>SUMIFS('센터 자재 사용내역(02월)'!G:G,'센터 자재 사용내역(02월)'!E:E,'사급자재 사용내역'!C109,'센터 자재 사용내역(02월)'!F:F,"신규")+SUMIFS('센터 자재 사용내역(02월)'!G:G,'센터 자재 사용내역(02월)'!E:E,'사급자재 사용내역'!C109,'센터 자재 사용내역(02월)'!F:F,"교체")</f>
        <v>0</v>
      </c>
      <c r="O109" s="40">
        <f>SUMIFS('센터 자재 사용내역(03월)'!G:G,'센터 자재 사용내역(03월)'!E:E,'사급자재 사용내역'!C109,'센터 자재 사용내역(03월)'!F:F,"신규")+SUMIFS('센터 자재 사용내역(03월)'!G:G,'센터 자재 사용내역(03월)'!E:E,'사급자재 사용내역'!C109,'센터 자재 사용내역(03월)'!F:F,"교체")</f>
        <v>0</v>
      </c>
      <c r="P109" s="40">
        <f>SUMIFS('센터 자재 사용내역(04월)'!G:G,'센터 자재 사용내역(04월)'!E:E,'사급자재 사용내역'!C109,'센터 자재 사용내역(04월)'!F:F,"신규")+SUMIFS('센터 자재 사용내역(04월)'!G:G,'센터 자재 사용내역(04월)'!E:E,'사급자재 사용내역'!C109,'센터 자재 사용내역(04월)'!F:F,"교체")</f>
        <v>2</v>
      </c>
      <c r="Q109" s="40">
        <f>SUMIFS('센터 자재 사용내역(05월)'!G:G,'센터 자재 사용내역(05월)'!E:E,'사급자재 사용내역'!C109,'센터 자재 사용내역(05월)'!F:F,"신규")+SUMIFS('센터 자재 사용내역(05월)'!G:G,'센터 자재 사용내역(05월)'!E:E,'사급자재 사용내역'!C109,'센터 자재 사용내역(05월)'!F:F,"교체")</f>
        <v>0</v>
      </c>
      <c r="R109" s="40">
        <f>SUMIFS('센터 자재 사용내역(06월)'!G:G,'센터 자재 사용내역(06월)'!E:E,'사급자재 사용내역'!C109,'센터 자재 사용내역(06월)'!F:F,"신규")+SUMIFS('센터 자재 사용내역(06월)'!G:G,'센터 자재 사용내역(06월)'!E:E,'사급자재 사용내역'!C109,'센터 자재 사용내역(06월)'!F:F,"교체")</f>
        <v>0</v>
      </c>
      <c r="S109" s="40">
        <f>SUMIFS('센터 자재 사용내역(07월)'!G:G,'센터 자재 사용내역(07월)'!E:E,'사급자재 사용내역'!C109,'센터 자재 사용내역(07월)'!F:F,"신규")+SUMIFS('센터 자재 사용내역(07월)'!G:G,'센터 자재 사용내역(07월)'!E:E,'사급자재 사용내역'!C109,'센터 자재 사용내역(07월)'!F:F,"교체")</f>
        <v>0</v>
      </c>
      <c r="T109" s="40">
        <f>SUMIFS('센터 자재 사용내역(08월)'!G:G,'센터 자재 사용내역(08월)'!E:E,'사급자재 사용내역'!C109,'센터 자재 사용내역(08월)'!F:F,"신규")+SUMIFS('센터 자재 사용내역(08월)'!G:G,'센터 자재 사용내역(08월)'!E:E,'사급자재 사용내역'!C109,'센터 자재 사용내역(08월)'!F:F,"교체")</f>
        <v>0</v>
      </c>
      <c r="U109" s="40">
        <f>SUMIFS('센터 자재 사용내역(09월)'!G:G,'센터 자재 사용내역(09월)'!E:E,'사급자재 사용내역'!C109,'센터 자재 사용내역(09월)'!F:F,"신규")+SUMIFS('센터 자재 사용내역(09월)'!G:G,'센터 자재 사용내역(09월)'!E:E,'사급자재 사용내역'!C109,'센터 자재 사용내역(09월)'!F:F,"교체")</f>
        <v>0</v>
      </c>
      <c r="V109" s="40">
        <f>SUMIFS('센터 자재 사용내역(10월)'!G:G,'센터 자재 사용내역(10월)'!E:E,'사급자재 사용내역'!C109,'센터 자재 사용내역(10월)'!F:F,"신규")+SUMIFS('센터 자재 사용내역(10월)'!G:G,'센터 자재 사용내역(10월)'!E:E,'사급자재 사용내역'!C109,'센터 자재 사용내역(10월)'!F:F,"교체")</f>
        <v>0</v>
      </c>
      <c r="W109" s="40">
        <f>SUMIFS('센터 자재 사용내역(11월)'!G:G,'센터 자재 사용내역(11월)'!E:E,'사급자재 사용내역'!C109,'센터 자재 사용내역(11월)'!F:F,"신규")+SUMIFS('센터 자재 사용내역(11월)'!G:G,'센터 자재 사용내역(11월)'!E:E,'사급자재 사용내역'!C109,'센터 자재 사용내역(11월)'!F:F,"교체")</f>
        <v>0</v>
      </c>
      <c r="X109" s="40">
        <f>SUMIFS('센터 자재 사용내역(12월)'!G:G,'센터 자재 사용내역(12월)'!E:E,'사급자재 사용내역'!C109,'센터 자재 사용내역(12월)'!F:F,"신규")+SUMIFS('센터 자재 사용내역(12월)'!G:G,'센터 자재 사용내역(12월)'!E:E,'사급자재 사용내역'!C109,'센터 자재 사용내역(12월)'!F:F,"교체")</f>
        <v>0</v>
      </c>
      <c r="Y109" s="40">
        <f t="shared" si="29"/>
        <v>2</v>
      </c>
      <c r="Z109" s="53"/>
      <c r="AB109" s="56"/>
      <c r="AC109" s="29"/>
      <c r="AD109" s="29"/>
      <c r="AE109" s="29"/>
      <c r="AF109" s="29"/>
      <c r="AG109" s="29"/>
      <c r="AH109" s="29"/>
      <c r="AI109" s="29"/>
      <c r="AJ109" s="29"/>
      <c r="AK109" s="29"/>
      <c r="AL109" s="29"/>
      <c r="AM109" s="29"/>
      <c r="AN109" s="21">
        <f t="shared" si="30"/>
        <v>0</v>
      </c>
      <c r="AO109" s="57"/>
      <c r="AQ109" s="61">
        <f>SUMIFS('센터 자재 사용내역(01월)'!G:G,'센터 자재 사용내역(01월)'!E:E,'사급자재 사용내역'!C109,'센터 자재 사용내역(01월)'!F:F,"불량")</f>
        <v>0</v>
      </c>
      <c r="AR109" s="40">
        <f>SUMIFS('센터 자재 사용내역(02월)'!G:G,'센터 자재 사용내역(02월)'!E:E,'사급자재 사용내역'!C109,'센터 자재 사용내역(02월)'!F:F,"불량")</f>
        <v>0</v>
      </c>
      <c r="AS109" s="40">
        <f>SUMIFS('센터 자재 사용내역(03월)'!G:G,'센터 자재 사용내역(03월)'!E:E,'사급자재 사용내역'!C109,'센터 자재 사용내역(03월)'!F:F,"불량")</f>
        <v>0</v>
      </c>
      <c r="AT109" s="40">
        <f>SUMIFS('센터 자재 사용내역(04월)'!G:G,'센터 자재 사용내역(04월)'!E:E,'사급자재 사용내역'!C109,'센터 자재 사용내역(04월)'!F:F,"불량")</f>
        <v>0</v>
      </c>
      <c r="AU109" s="40">
        <f>SUMIFS('센터 자재 사용내역(05월)'!G:G,'센터 자재 사용내역(05월)'!E:E,'사급자재 사용내역'!C109,'센터 자재 사용내역(05월)'!F:F,"불량")</f>
        <v>0</v>
      </c>
      <c r="AV109" s="40">
        <f>SUMIFS('센터 자재 사용내역(06월)'!G:G,'센터 자재 사용내역(06월)'!E:E,'사급자재 사용내역'!C109,'센터 자재 사용내역(06월)'!F:F,"불량")</f>
        <v>0</v>
      </c>
      <c r="AW109" s="40">
        <f>SUMIFS('센터 자재 사용내역(07월)'!G:G,'센터 자재 사용내역(07월)'!E:E,'사급자재 사용내역'!C109,'센터 자재 사용내역(07월)'!F:F,"불량")</f>
        <v>0</v>
      </c>
      <c r="AX109" s="40">
        <f>SUMIFS('센터 자재 사용내역(08월)'!G:G,'센터 자재 사용내역(08월)'!E:E,'사급자재 사용내역'!C109,'센터 자재 사용내역(08월)'!F:F,"불량")</f>
        <v>0</v>
      </c>
      <c r="AY109" s="40">
        <f>SUMIFS('센터 자재 사용내역(09월)'!G:G,'센터 자재 사용내역(09월)'!E:E,'사급자재 사용내역'!C109,'센터 자재 사용내역(09월)'!F:F,"불량")</f>
        <v>0</v>
      </c>
      <c r="AZ109" s="40">
        <f>SUMIFS('센터 자재 사용내역(10월)'!G:G,'센터 자재 사용내역(10월)'!E:E,'사급자재 사용내역'!C109,'센터 자재 사용내역(10월)'!F:F,"불량")</f>
        <v>0</v>
      </c>
      <c r="BA109" s="40">
        <f>SUMIFS('센터 자재 사용내역(11월)'!G:G,'센터 자재 사용내역(11월)'!E:E,'사급자재 사용내역'!C109,'센터 자재 사용내역(11월)'!F:F,"불량")</f>
        <v>0</v>
      </c>
      <c r="BB109" s="40">
        <f>SUMIFS('센터 자재 사용내역(12월)'!G:G,'센터 자재 사용내역(12월)'!E:E,'사급자재 사용내역'!C109,'센터 자재 사용내역(12월)'!F:F,"불량")</f>
        <v>0</v>
      </c>
      <c r="BC109" s="40">
        <f t="shared" si="19"/>
        <v>0</v>
      </c>
      <c r="BD109" s="62"/>
    </row>
    <row r="110" spans="2:56" ht="19.5" customHeight="1">
      <c r="B110" s="99"/>
      <c r="C110" s="23" t="s">
        <v>190</v>
      </c>
      <c r="D110" s="64" t="s">
        <v>210</v>
      </c>
      <c r="E110" s="67">
        <v>38</v>
      </c>
      <c r="F110" s="47">
        <v>0</v>
      </c>
      <c r="G110" s="46"/>
      <c r="H110" s="78"/>
      <c r="I110" s="90">
        <f t="shared" si="25"/>
        <v>0</v>
      </c>
      <c r="J110" s="89">
        <f t="shared" si="31"/>
        <v>2</v>
      </c>
      <c r="K110" s="78">
        <f t="shared" si="26"/>
        <v>0</v>
      </c>
      <c r="L110" s="84">
        <f t="shared" si="28"/>
        <v>36</v>
      </c>
      <c r="M110" s="79">
        <f>SUMIFS('센터 자재 사용내역(01월)'!G:G,'센터 자재 사용내역(01월)'!E:E,'사급자재 사용내역'!C110,'센터 자재 사용내역(01월)'!F:F,"신규")+SUMIFS('센터 자재 사용내역(01월)'!G:G,'센터 자재 사용내역(01월)'!E:E,'사급자재 사용내역'!C110,'센터 자재 사용내역(01월)'!F:F,"교체")</f>
        <v>0</v>
      </c>
      <c r="N110" s="40">
        <f>SUMIFS('센터 자재 사용내역(02월)'!G:G,'센터 자재 사용내역(02월)'!E:E,'사급자재 사용내역'!C110,'센터 자재 사용내역(02월)'!F:F,"신규")+SUMIFS('센터 자재 사용내역(02월)'!G:G,'센터 자재 사용내역(02월)'!E:E,'사급자재 사용내역'!C110,'센터 자재 사용내역(02월)'!F:F,"교체")</f>
        <v>0</v>
      </c>
      <c r="O110" s="40">
        <f>SUMIFS('센터 자재 사용내역(03월)'!G:G,'센터 자재 사용내역(03월)'!E:E,'사급자재 사용내역'!C110,'센터 자재 사용내역(03월)'!F:F,"신규")+SUMIFS('센터 자재 사용내역(03월)'!G:G,'센터 자재 사용내역(03월)'!E:E,'사급자재 사용내역'!C110,'센터 자재 사용내역(03월)'!F:F,"교체")</f>
        <v>0</v>
      </c>
      <c r="P110" s="40">
        <f>SUMIFS('센터 자재 사용내역(04월)'!G:G,'센터 자재 사용내역(04월)'!E:E,'사급자재 사용내역'!C110,'센터 자재 사용내역(04월)'!F:F,"신규")+SUMIFS('센터 자재 사용내역(04월)'!G:G,'센터 자재 사용내역(04월)'!E:E,'사급자재 사용내역'!C110,'센터 자재 사용내역(04월)'!F:F,"교체")</f>
        <v>1</v>
      </c>
      <c r="Q110" s="40">
        <f>SUMIFS('센터 자재 사용내역(05월)'!G:G,'센터 자재 사용내역(05월)'!E:E,'사급자재 사용내역'!C110,'센터 자재 사용내역(05월)'!F:F,"신규")+SUMIFS('센터 자재 사용내역(05월)'!G:G,'센터 자재 사용내역(05월)'!E:E,'사급자재 사용내역'!C110,'센터 자재 사용내역(05월)'!F:F,"교체")</f>
        <v>1</v>
      </c>
      <c r="R110" s="40">
        <f>SUMIFS('센터 자재 사용내역(06월)'!G:G,'센터 자재 사용내역(06월)'!E:E,'사급자재 사용내역'!C110,'센터 자재 사용내역(06월)'!F:F,"신규")+SUMIFS('센터 자재 사용내역(06월)'!G:G,'센터 자재 사용내역(06월)'!E:E,'사급자재 사용내역'!C110,'센터 자재 사용내역(06월)'!F:F,"교체")</f>
        <v>0</v>
      </c>
      <c r="S110" s="40">
        <f>SUMIFS('센터 자재 사용내역(07월)'!G:G,'센터 자재 사용내역(07월)'!E:E,'사급자재 사용내역'!C110,'센터 자재 사용내역(07월)'!F:F,"신규")+SUMIFS('센터 자재 사용내역(07월)'!G:G,'센터 자재 사용내역(07월)'!E:E,'사급자재 사용내역'!C110,'센터 자재 사용내역(07월)'!F:F,"교체")</f>
        <v>0</v>
      </c>
      <c r="T110" s="40">
        <f>SUMIFS('센터 자재 사용내역(08월)'!G:G,'센터 자재 사용내역(08월)'!E:E,'사급자재 사용내역'!C110,'센터 자재 사용내역(08월)'!F:F,"신규")+SUMIFS('센터 자재 사용내역(08월)'!G:G,'센터 자재 사용내역(08월)'!E:E,'사급자재 사용내역'!C110,'센터 자재 사용내역(08월)'!F:F,"교체")</f>
        <v>0</v>
      </c>
      <c r="U110" s="40">
        <f>SUMIFS('센터 자재 사용내역(09월)'!G:G,'센터 자재 사용내역(09월)'!E:E,'사급자재 사용내역'!C110,'센터 자재 사용내역(09월)'!F:F,"신규")+SUMIFS('센터 자재 사용내역(09월)'!G:G,'센터 자재 사용내역(09월)'!E:E,'사급자재 사용내역'!C110,'센터 자재 사용내역(09월)'!F:F,"교체")</f>
        <v>0</v>
      </c>
      <c r="V110" s="40">
        <f>SUMIFS('센터 자재 사용내역(10월)'!G:G,'센터 자재 사용내역(10월)'!E:E,'사급자재 사용내역'!C110,'센터 자재 사용내역(10월)'!F:F,"신규")+SUMIFS('센터 자재 사용내역(10월)'!G:G,'센터 자재 사용내역(10월)'!E:E,'사급자재 사용내역'!C110,'센터 자재 사용내역(10월)'!F:F,"교체")</f>
        <v>0</v>
      </c>
      <c r="W110" s="40">
        <f>SUMIFS('센터 자재 사용내역(11월)'!G:G,'센터 자재 사용내역(11월)'!E:E,'사급자재 사용내역'!C110,'센터 자재 사용내역(11월)'!F:F,"신규")+SUMIFS('센터 자재 사용내역(11월)'!G:G,'센터 자재 사용내역(11월)'!E:E,'사급자재 사용내역'!C110,'센터 자재 사용내역(11월)'!F:F,"교체")</f>
        <v>0</v>
      </c>
      <c r="X110" s="40">
        <f>SUMIFS('센터 자재 사용내역(12월)'!G:G,'센터 자재 사용내역(12월)'!E:E,'사급자재 사용내역'!C110,'센터 자재 사용내역(12월)'!F:F,"신규")+SUMIFS('센터 자재 사용내역(12월)'!G:G,'센터 자재 사용내역(12월)'!E:E,'사급자재 사용내역'!C110,'센터 자재 사용내역(12월)'!F:F,"교체")</f>
        <v>0</v>
      </c>
      <c r="Y110" s="40">
        <f t="shared" si="29"/>
        <v>2</v>
      </c>
      <c r="Z110" s="53"/>
      <c r="AB110" s="56"/>
      <c r="AC110" s="29"/>
      <c r="AD110" s="29"/>
      <c r="AE110" s="29"/>
      <c r="AF110" s="29"/>
      <c r="AG110" s="29"/>
      <c r="AH110" s="29"/>
      <c r="AI110" s="29"/>
      <c r="AJ110" s="29"/>
      <c r="AK110" s="29"/>
      <c r="AL110" s="29"/>
      <c r="AM110" s="29"/>
      <c r="AN110" s="21">
        <f t="shared" si="30"/>
        <v>0</v>
      </c>
      <c r="AO110" s="57"/>
      <c r="AQ110" s="61">
        <f>SUMIFS('센터 자재 사용내역(01월)'!G:G,'센터 자재 사용내역(01월)'!E:E,'사급자재 사용내역'!C110,'센터 자재 사용내역(01월)'!F:F,"불량")</f>
        <v>0</v>
      </c>
      <c r="AR110" s="40">
        <f>SUMIFS('센터 자재 사용내역(02월)'!G:G,'센터 자재 사용내역(02월)'!E:E,'사급자재 사용내역'!C110,'센터 자재 사용내역(02월)'!F:F,"불량")</f>
        <v>0</v>
      </c>
      <c r="AS110" s="40">
        <f>SUMIFS('센터 자재 사용내역(03월)'!G:G,'센터 자재 사용내역(03월)'!E:E,'사급자재 사용내역'!C110,'센터 자재 사용내역(03월)'!F:F,"불량")</f>
        <v>0</v>
      </c>
      <c r="AT110" s="40">
        <f>SUMIFS('센터 자재 사용내역(04월)'!G:G,'센터 자재 사용내역(04월)'!E:E,'사급자재 사용내역'!C110,'센터 자재 사용내역(04월)'!F:F,"불량")</f>
        <v>0</v>
      </c>
      <c r="AU110" s="40">
        <f>SUMIFS('센터 자재 사용내역(05월)'!G:G,'센터 자재 사용내역(05월)'!E:E,'사급자재 사용내역'!C110,'센터 자재 사용내역(05월)'!F:F,"불량")</f>
        <v>0</v>
      </c>
      <c r="AV110" s="40">
        <f>SUMIFS('센터 자재 사용내역(06월)'!G:G,'센터 자재 사용내역(06월)'!E:E,'사급자재 사용내역'!C110,'센터 자재 사용내역(06월)'!F:F,"불량")</f>
        <v>0</v>
      </c>
      <c r="AW110" s="40">
        <f>SUMIFS('센터 자재 사용내역(07월)'!G:G,'센터 자재 사용내역(07월)'!E:E,'사급자재 사용내역'!C110,'센터 자재 사용내역(07월)'!F:F,"불량")</f>
        <v>0</v>
      </c>
      <c r="AX110" s="40">
        <f>SUMIFS('센터 자재 사용내역(08월)'!G:G,'센터 자재 사용내역(08월)'!E:E,'사급자재 사용내역'!C110,'센터 자재 사용내역(08월)'!F:F,"불량")</f>
        <v>0</v>
      </c>
      <c r="AY110" s="40">
        <f>SUMIFS('센터 자재 사용내역(09월)'!G:G,'센터 자재 사용내역(09월)'!E:E,'사급자재 사용내역'!C110,'센터 자재 사용내역(09월)'!F:F,"불량")</f>
        <v>0</v>
      </c>
      <c r="AZ110" s="40">
        <f>SUMIFS('센터 자재 사용내역(10월)'!G:G,'센터 자재 사용내역(10월)'!E:E,'사급자재 사용내역'!C110,'센터 자재 사용내역(10월)'!F:F,"불량")</f>
        <v>0</v>
      </c>
      <c r="BA110" s="40">
        <f>SUMIFS('센터 자재 사용내역(11월)'!G:G,'센터 자재 사용내역(11월)'!E:E,'사급자재 사용내역'!C110,'센터 자재 사용내역(11월)'!F:F,"불량")</f>
        <v>0</v>
      </c>
      <c r="BB110" s="40">
        <f>SUMIFS('센터 자재 사용내역(12월)'!G:G,'센터 자재 사용내역(12월)'!E:E,'사급자재 사용내역'!C110,'센터 자재 사용내역(12월)'!F:F,"불량")</f>
        <v>0</v>
      </c>
      <c r="BC110" s="40">
        <f t="shared" si="19"/>
        <v>0</v>
      </c>
      <c r="BD110" s="62"/>
    </row>
    <row r="111" spans="2:56" ht="19.5" customHeight="1">
      <c r="B111" s="99"/>
      <c r="C111" s="23" t="s">
        <v>191</v>
      </c>
      <c r="D111" s="64" t="s">
        <v>210</v>
      </c>
      <c r="E111" s="67">
        <v>26</v>
      </c>
      <c r="F111" s="47">
        <v>0</v>
      </c>
      <c r="G111" s="46"/>
      <c r="H111" s="78"/>
      <c r="I111" s="90">
        <f t="shared" si="25"/>
        <v>0</v>
      </c>
      <c r="J111" s="89">
        <f t="shared" si="31"/>
        <v>3</v>
      </c>
      <c r="K111" s="78">
        <f t="shared" si="26"/>
        <v>0</v>
      </c>
      <c r="L111" s="84">
        <f t="shared" si="28"/>
        <v>23</v>
      </c>
      <c r="M111" s="79">
        <f>SUMIFS('센터 자재 사용내역(01월)'!G:G,'센터 자재 사용내역(01월)'!E:E,'사급자재 사용내역'!C111,'센터 자재 사용내역(01월)'!F:F,"신규")+SUMIFS('센터 자재 사용내역(01월)'!G:G,'센터 자재 사용내역(01월)'!E:E,'사급자재 사용내역'!C111,'센터 자재 사용내역(01월)'!F:F,"교체")</f>
        <v>0</v>
      </c>
      <c r="N111" s="40">
        <f>SUMIFS('센터 자재 사용내역(02월)'!G:G,'센터 자재 사용내역(02월)'!E:E,'사급자재 사용내역'!C111,'센터 자재 사용내역(02월)'!F:F,"신규")+SUMIFS('센터 자재 사용내역(02월)'!G:G,'센터 자재 사용내역(02월)'!E:E,'사급자재 사용내역'!C111,'센터 자재 사용내역(02월)'!F:F,"교체")</f>
        <v>0</v>
      </c>
      <c r="O111" s="40">
        <f>SUMIFS('센터 자재 사용내역(03월)'!G:G,'센터 자재 사용내역(03월)'!E:E,'사급자재 사용내역'!C111,'센터 자재 사용내역(03월)'!F:F,"신규")+SUMIFS('센터 자재 사용내역(03월)'!G:G,'센터 자재 사용내역(03월)'!E:E,'사급자재 사용내역'!C111,'센터 자재 사용내역(03월)'!F:F,"교체")</f>
        <v>0</v>
      </c>
      <c r="P111" s="40">
        <f>SUMIFS('센터 자재 사용내역(04월)'!G:G,'센터 자재 사용내역(04월)'!E:E,'사급자재 사용내역'!C111,'센터 자재 사용내역(04월)'!F:F,"신규")+SUMIFS('센터 자재 사용내역(04월)'!G:G,'센터 자재 사용내역(04월)'!E:E,'사급자재 사용내역'!C111,'센터 자재 사용내역(04월)'!F:F,"교체")</f>
        <v>3</v>
      </c>
      <c r="Q111" s="40">
        <f>SUMIFS('센터 자재 사용내역(05월)'!G:G,'센터 자재 사용내역(05월)'!E:E,'사급자재 사용내역'!C111,'센터 자재 사용내역(05월)'!F:F,"신규")+SUMIFS('센터 자재 사용내역(05월)'!G:G,'센터 자재 사용내역(05월)'!E:E,'사급자재 사용내역'!C111,'센터 자재 사용내역(05월)'!F:F,"교체")</f>
        <v>0</v>
      </c>
      <c r="R111" s="40">
        <f>SUMIFS('센터 자재 사용내역(06월)'!G:G,'센터 자재 사용내역(06월)'!E:E,'사급자재 사용내역'!C111,'센터 자재 사용내역(06월)'!F:F,"신규")+SUMIFS('센터 자재 사용내역(06월)'!G:G,'센터 자재 사용내역(06월)'!E:E,'사급자재 사용내역'!C111,'센터 자재 사용내역(06월)'!F:F,"교체")</f>
        <v>0</v>
      </c>
      <c r="S111" s="40">
        <f>SUMIFS('센터 자재 사용내역(07월)'!G:G,'센터 자재 사용내역(07월)'!E:E,'사급자재 사용내역'!C111,'센터 자재 사용내역(07월)'!F:F,"신규")+SUMIFS('센터 자재 사용내역(07월)'!G:G,'센터 자재 사용내역(07월)'!E:E,'사급자재 사용내역'!C111,'센터 자재 사용내역(07월)'!F:F,"교체")</f>
        <v>0</v>
      </c>
      <c r="T111" s="40">
        <f>SUMIFS('센터 자재 사용내역(08월)'!G:G,'센터 자재 사용내역(08월)'!E:E,'사급자재 사용내역'!C111,'센터 자재 사용내역(08월)'!F:F,"신규")+SUMIFS('센터 자재 사용내역(08월)'!G:G,'센터 자재 사용내역(08월)'!E:E,'사급자재 사용내역'!C111,'센터 자재 사용내역(08월)'!F:F,"교체")</f>
        <v>0</v>
      </c>
      <c r="U111" s="40">
        <f>SUMIFS('센터 자재 사용내역(09월)'!G:G,'센터 자재 사용내역(09월)'!E:E,'사급자재 사용내역'!C111,'센터 자재 사용내역(09월)'!F:F,"신규")+SUMIFS('센터 자재 사용내역(09월)'!G:G,'센터 자재 사용내역(09월)'!E:E,'사급자재 사용내역'!C111,'센터 자재 사용내역(09월)'!F:F,"교체")</f>
        <v>0</v>
      </c>
      <c r="V111" s="40">
        <f>SUMIFS('센터 자재 사용내역(10월)'!G:G,'센터 자재 사용내역(10월)'!E:E,'사급자재 사용내역'!C111,'센터 자재 사용내역(10월)'!F:F,"신규")+SUMIFS('센터 자재 사용내역(10월)'!G:G,'센터 자재 사용내역(10월)'!E:E,'사급자재 사용내역'!C111,'센터 자재 사용내역(10월)'!F:F,"교체")</f>
        <v>0</v>
      </c>
      <c r="W111" s="40">
        <f>SUMIFS('센터 자재 사용내역(11월)'!G:G,'센터 자재 사용내역(11월)'!E:E,'사급자재 사용내역'!C111,'센터 자재 사용내역(11월)'!F:F,"신규")+SUMIFS('센터 자재 사용내역(11월)'!G:G,'센터 자재 사용내역(11월)'!E:E,'사급자재 사용내역'!C111,'센터 자재 사용내역(11월)'!F:F,"교체")</f>
        <v>0</v>
      </c>
      <c r="X111" s="40">
        <f>SUMIFS('센터 자재 사용내역(12월)'!G:G,'센터 자재 사용내역(12월)'!E:E,'사급자재 사용내역'!C111,'센터 자재 사용내역(12월)'!F:F,"신규")+SUMIFS('센터 자재 사용내역(12월)'!G:G,'센터 자재 사용내역(12월)'!E:E,'사급자재 사용내역'!C111,'센터 자재 사용내역(12월)'!F:F,"교체")</f>
        <v>0</v>
      </c>
      <c r="Y111" s="40">
        <f t="shared" si="29"/>
        <v>3</v>
      </c>
      <c r="Z111" s="53"/>
      <c r="AB111" s="56"/>
      <c r="AC111" s="29"/>
      <c r="AD111" s="29"/>
      <c r="AE111" s="29"/>
      <c r="AF111" s="29"/>
      <c r="AG111" s="29"/>
      <c r="AH111" s="29"/>
      <c r="AI111" s="29"/>
      <c r="AJ111" s="29"/>
      <c r="AK111" s="29"/>
      <c r="AL111" s="29"/>
      <c r="AM111" s="29"/>
      <c r="AN111" s="21">
        <f t="shared" si="30"/>
        <v>0</v>
      </c>
      <c r="AO111" s="57"/>
      <c r="AQ111" s="61">
        <f>SUMIFS('센터 자재 사용내역(01월)'!G:G,'센터 자재 사용내역(01월)'!E:E,'사급자재 사용내역'!C111,'센터 자재 사용내역(01월)'!F:F,"불량")</f>
        <v>0</v>
      </c>
      <c r="AR111" s="40">
        <f>SUMIFS('센터 자재 사용내역(02월)'!G:G,'센터 자재 사용내역(02월)'!E:E,'사급자재 사용내역'!C111,'센터 자재 사용내역(02월)'!F:F,"불량")</f>
        <v>0</v>
      </c>
      <c r="AS111" s="40">
        <f>SUMIFS('센터 자재 사용내역(03월)'!G:G,'센터 자재 사용내역(03월)'!E:E,'사급자재 사용내역'!C111,'센터 자재 사용내역(03월)'!F:F,"불량")</f>
        <v>0</v>
      </c>
      <c r="AT111" s="40">
        <f>SUMIFS('센터 자재 사용내역(04월)'!G:G,'센터 자재 사용내역(04월)'!E:E,'사급자재 사용내역'!C111,'센터 자재 사용내역(04월)'!F:F,"불량")</f>
        <v>0</v>
      </c>
      <c r="AU111" s="40">
        <f>SUMIFS('센터 자재 사용내역(05월)'!G:G,'센터 자재 사용내역(05월)'!E:E,'사급자재 사용내역'!C111,'센터 자재 사용내역(05월)'!F:F,"불량")</f>
        <v>0</v>
      </c>
      <c r="AV111" s="40">
        <f>SUMIFS('센터 자재 사용내역(06월)'!G:G,'센터 자재 사용내역(06월)'!E:E,'사급자재 사용내역'!C111,'센터 자재 사용내역(06월)'!F:F,"불량")</f>
        <v>0</v>
      </c>
      <c r="AW111" s="40">
        <f>SUMIFS('센터 자재 사용내역(07월)'!G:G,'센터 자재 사용내역(07월)'!E:E,'사급자재 사용내역'!C111,'센터 자재 사용내역(07월)'!F:F,"불량")</f>
        <v>0</v>
      </c>
      <c r="AX111" s="40">
        <f>SUMIFS('센터 자재 사용내역(08월)'!G:G,'센터 자재 사용내역(08월)'!E:E,'사급자재 사용내역'!C111,'센터 자재 사용내역(08월)'!F:F,"불량")</f>
        <v>0</v>
      </c>
      <c r="AY111" s="40">
        <f>SUMIFS('센터 자재 사용내역(09월)'!G:G,'센터 자재 사용내역(09월)'!E:E,'사급자재 사용내역'!C111,'센터 자재 사용내역(09월)'!F:F,"불량")</f>
        <v>0</v>
      </c>
      <c r="AZ111" s="40">
        <f>SUMIFS('센터 자재 사용내역(10월)'!G:G,'센터 자재 사용내역(10월)'!E:E,'사급자재 사용내역'!C111,'센터 자재 사용내역(10월)'!F:F,"불량")</f>
        <v>0</v>
      </c>
      <c r="BA111" s="40">
        <f>SUMIFS('센터 자재 사용내역(11월)'!G:G,'센터 자재 사용내역(11월)'!E:E,'사급자재 사용내역'!C111,'센터 자재 사용내역(11월)'!F:F,"불량")</f>
        <v>0</v>
      </c>
      <c r="BB111" s="40">
        <f>SUMIFS('센터 자재 사용내역(12월)'!G:G,'센터 자재 사용내역(12월)'!E:E,'사급자재 사용내역'!C111,'센터 자재 사용내역(12월)'!F:F,"불량")</f>
        <v>0</v>
      </c>
      <c r="BC111" s="40">
        <f t="shared" si="19"/>
        <v>0</v>
      </c>
      <c r="BD111" s="62"/>
    </row>
    <row r="112" spans="2:56" ht="19.5" customHeight="1">
      <c r="B112" s="99"/>
      <c r="C112" s="23" t="s">
        <v>184</v>
      </c>
      <c r="D112" s="64" t="s">
        <v>210</v>
      </c>
      <c r="E112" s="67">
        <v>140</v>
      </c>
      <c r="F112" s="47">
        <v>0</v>
      </c>
      <c r="G112" s="46"/>
      <c r="H112" s="78"/>
      <c r="I112" s="90">
        <f t="shared" si="25"/>
        <v>0</v>
      </c>
      <c r="J112" s="89">
        <f t="shared" ref="J112:J113" si="32">Y112</f>
        <v>0</v>
      </c>
      <c r="K112" s="78">
        <f t="shared" si="26"/>
        <v>0</v>
      </c>
      <c r="L112" s="84">
        <f t="shared" si="28"/>
        <v>140</v>
      </c>
      <c r="M112" s="79">
        <f>SUMIFS('센터 자재 사용내역(01월)'!G:G,'센터 자재 사용내역(01월)'!E:E,'사급자재 사용내역'!C112,'센터 자재 사용내역(01월)'!F:F,"신규")+SUMIFS('센터 자재 사용내역(01월)'!G:G,'센터 자재 사용내역(01월)'!E:E,'사급자재 사용내역'!C112,'센터 자재 사용내역(01월)'!F:F,"교체")</f>
        <v>0</v>
      </c>
      <c r="N112" s="40">
        <f>SUMIFS('센터 자재 사용내역(02월)'!G:G,'센터 자재 사용내역(02월)'!E:E,'사급자재 사용내역'!C112,'센터 자재 사용내역(02월)'!F:F,"신규")+SUMIFS('센터 자재 사용내역(02월)'!G:G,'센터 자재 사용내역(02월)'!E:E,'사급자재 사용내역'!C112,'센터 자재 사용내역(02월)'!F:F,"교체")</f>
        <v>0</v>
      </c>
      <c r="O112" s="40">
        <f>SUMIFS('센터 자재 사용내역(03월)'!G:G,'센터 자재 사용내역(03월)'!E:E,'사급자재 사용내역'!C112,'센터 자재 사용내역(03월)'!F:F,"신규")+SUMIFS('센터 자재 사용내역(03월)'!G:G,'센터 자재 사용내역(03월)'!E:E,'사급자재 사용내역'!C112,'센터 자재 사용내역(03월)'!F:F,"교체")</f>
        <v>0</v>
      </c>
      <c r="P112" s="40">
        <f>SUMIFS('센터 자재 사용내역(04월)'!G:G,'센터 자재 사용내역(04월)'!E:E,'사급자재 사용내역'!C112,'센터 자재 사용내역(04월)'!F:F,"신규")+SUMIFS('센터 자재 사용내역(04월)'!G:G,'센터 자재 사용내역(04월)'!E:E,'사급자재 사용내역'!C112,'센터 자재 사용내역(04월)'!F:F,"교체")</f>
        <v>0</v>
      </c>
      <c r="Q112" s="40">
        <f>SUMIFS('센터 자재 사용내역(05월)'!G:G,'센터 자재 사용내역(05월)'!E:E,'사급자재 사용내역'!C112,'센터 자재 사용내역(05월)'!F:F,"신규")+SUMIFS('센터 자재 사용내역(05월)'!G:G,'센터 자재 사용내역(05월)'!E:E,'사급자재 사용내역'!C112,'센터 자재 사용내역(05월)'!F:F,"교체")</f>
        <v>0</v>
      </c>
      <c r="R112" s="40">
        <f>SUMIFS('센터 자재 사용내역(06월)'!G:G,'센터 자재 사용내역(06월)'!E:E,'사급자재 사용내역'!C112,'센터 자재 사용내역(06월)'!F:F,"신규")+SUMIFS('센터 자재 사용내역(06월)'!G:G,'센터 자재 사용내역(06월)'!E:E,'사급자재 사용내역'!C112,'센터 자재 사용내역(06월)'!F:F,"교체")</f>
        <v>0</v>
      </c>
      <c r="S112" s="40">
        <f>SUMIFS('센터 자재 사용내역(07월)'!G:G,'센터 자재 사용내역(07월)'!E:E,'사급자재 사용내역'!C112,'센터 자재 사용내역(07월)'!F:F,"신규")+SUMIFS('센터 자재 사용내역(07월)'!G:G,'센터 자재 사용내역(07월)'!E:E,'사급자재 사용내역'!C112,'센터 자재 사용내역(07월)'!F:F,"교체")</f>
        <v>0</v>
      </c>
      <c r="T112" s="40">
        <f>SUMIFS('센터 자재 사용내역(08월)'!G:G,'센터 자재 사용내역(08월)'!E:E,'사급자재 사용내역'!C112,'센터 자재 사용내역(08월)'!F:F,"신규")+SUMIFS('센터 자재 사용내역(08월)'!G:G,'센터 자재 사용내역(08월)'!E:E,'사급자재 사용내역'!C112,'센터 자재 사용내역(08월)'!F:F,"교체")</f>
        <v>0</v>
      </c>
      <c r="U112" s="40">
        <f>SUMIFS('센터 자재 사용내역(09월)'!G:G,'센터 자재 사용내역(09월)'!E:E,'사급자재 사용내역'!C112,'센터 자재 사용내역(09월)'!F:F,"신규")+SUMIFS('센터 자재 사용내역(09월)'!G:G,'센터 자재 사용내역(09월)'!E:E,'사급자재 사용내역'!C112,'센터 자재 사용내역(09월)'!F:F,"교체")</f>
        <v>0</v>
      </c>
      <c r="V112" s="40">
        <f>SUMIFS('센터 자재 사용내역(10월)'!G:G,'센터 자재 사용내역(10월)'!E:E,'사급자재 사용내역'!C112,'센터 자재 사용내역(10월)'!F:F,"신규")+SUMIFS('센터 자재 사용내역(10월)'!G:G,'센터 자재 사용내역(10월)'!E:E,'사급자재 사용내역'!C112,'센터 자재 사용내역(10월)'!F:F,"교체")</f>
        <v>0</v>
      </c>
      <c r="W112" s="40">
        <f>SUMIFS('센터 자재 사용내역(11월)'!G:G,'센터 자재 사용내역(11월)'!E:E,'사급자재 사용내역'!C112,'센터 자재 사용내역(11월)'!F:F,"신규")+SUMIFS('센터 자재 사용내역(11월)'!G:G,'센터 자재 사용내역(11월)'!E:E,'사급자재 사용내역'!C112,'센터 자재 사용내역(11월)'!F:F,"교체")</f>
        <v>0</v>
      </c>
      <c r="X112" s="40">
        <f>SUMIFS('센터 자재 사용내역(12월)'!G:G,'센터 자재 사용내역(12월)'!E:E,'사급자재 사용내역'!C112,'센터 자재 사용내역(12월)'!F:F,"신규")+SUMIFS('센터 자재 사용내역(12월)'!G:G,'센터 자재 사용내역(12월)'!E:E,'사급자재 사용내역'!C112,'센터 자재 사용내역(12월)'!F:F,"교체")</f>
        <v>0</v>
      </c>
      <c r="Y112" s="40">
        <f t="shared" ref="Y112:Y113" si="33">SUM(M112:X112)</f>
        <v>0</v>
      </c>
      <c r="Z112" s="53"/>
      <c r="AB112" s="56"/>
      <c r="AC112" s="29"/>
      <c r="AD112" s="29"/>
      <c r="AE112" s="29"/>
      <c r="AF112" s="29"/>
      <c r="AG112" s="29"/>
      <c r="AH112" s="29"/>
      <c r="AI112" s="29"/>
      <c r="AJ112" s="29"/>
      <c r="AK112" s="29"/>
      <c r="AL112" s="29"/>
      <c r="AM112" s="29"/>
      <c r="AN112" s="21">
        <f t="shared" si="30"/>
        <v>0</v>
      </c>
      <c r="AO112" s="57"/>
      <c r="AQ112" s="61">
        <f>SUMIFS('센터 자재 사용내역(01월)'!G:G,'센터 자재 사용내역(01월)'!E:E,'사급자재 사용내역'!C112,'센터 자재 사용내역(01월)'!F:F,"불량")</f>
        <v>0</v>
      </c>
      <c r="AR112" s="40">
        <f>SUMIFS('센터 자재 사용내역(02월)'!G:G,'센터 자재 사용내역(02월)'!E:E,'사급자재 사용내역'!C112,'센터 자재 사용내역(02월)'!F:F,"불량")</f>
        <v>0</v>
      </c>
      <c r="AS112" s="40">
        <f>SUMIFS('센터 자재 사용내역(03월)'!G:G,'센터 자재 사용내역(03월)'!E:E,'사급자재 사용내역'!C112,'센터 자재 사용내역(03월)'!F:F,"불량")</f>
        <v>0</v>
      </c>
      <c r="AT112" s="40">
        <f>SUMIFS('센터 자재 사용내역(04월)'!G:G,'센터 자재 사용내역(04월)'!E:E,'사급자재 사용내역'!C112,'센터 자재 사용내역(04월)'!F:F,"불량")</f>
        <v>0</v>
      </c>
      <c r="AU112" s="40">
        <f>SUMIFS('센터 자재 사용내역(05월)'!G:G,'센터 자재 사용내역(05월)'!E:E,'사급자재 사용내역'!C112,'센터 자재 사용내역(05월)'!F:F,"불량")</f>
        <v>0</v>
      </c>
      <c r="AV112" s="40">
        <f>SUMIFS('센터 자재 사용내역(06월)'!G:G,'센터 자재 사용내역(06월)'!E:E,'사급자재 사용내역'!C112,'센터 자재 사용내역(06월)'!F:F,"불량")</f>
        <v>0</v>
      </c>
      <c r="AW112" s="40">
        <f>SUMIFS('센터 자재 사용내역(07월)'!G:G,'센터 자재 사용내역(07월)'!E:E,'사급자재 사용내역'!C112,'센터 자재 사용내역(07월)'!F:F,"불량")</f>
        <v>0</v>
      </c>
      <c r="AX112" s="40">
        <f>SUMIFS('센터 자재 사용내역(08월)'!G:G,'센터 자재 사용내역(08월)'!E:E,'사급자재 사용내역'!C112,'센터 자재 사용내역(08월)'!F:F,"불량")</f>
        <v>0</v>
      </c>
      <c r="AY112" s="40">
        <f>SUMIFS('센터 자재 사용내역(09월)'!G:G,'센터 자재 사용내역(09월)'!E:E,'사급자재 사용내역'!C112,'센터 자재 사용내역(09월)'!F:F,"불량")</f>
        <v>0</v>
      </c>
      <c r="AZ112" s="40">
        <f>SUMIFS('센터 자재 사용내역(10월)'!G:G,'센터 자재 사용내역(10월)'!E:E,'사급자재 사용내역'!C112,'센터 자재 사용내역(10월)'!F:F,"불량")</f>
        <v>0</v>
      </c>
      <c r="BA112" s="40">
        <f>SUMIFS('센터 자재 사용내역(11월)'!G:G,'센터 자재 사용내역(11월)'!E:E,'사급자재 사용내역'!C112,'센터 자재 사용내역(11월)'!F:F,"불량")</f>
        <v>0</v>
      </c>
      <c r="BB112" s="40">
        <f>SUMIFS('센터 자재 사용내역(12월)'!G:G,'센터 자재 사용내역(12월)'!E:E,'사급자재 사용내역'!C112,'센터 자재 사용내역(12월)'!F:F,"불량")</f>
        <v>0</v>
      </c>
      <c r="BC112" s="40">
        <f t="shared" si="19"/>
        <v>0</v>
      </c>
      <c r="BD112" s="62"/>
    </row>
    <row r="113" spans="2:56" ht="19.5" customHeight="1">
      <c r="B113" s="99"/>
      <c r="C113" s="23" t="s">
        <v>193</v>
      </c>
      <c r="D113" s="64" t="s">
        <v>210</v>
      </c>
      <c r="E113" s="67">
        <v>50</v>
      </c>
      <c r="F113" s="47">
        <v>0</v>
      </c>
      <c r="G113" s="46"/>
      <c r="H113" s="78"/>
      <c r="I113" s="90">
        <f t="shared" si="25"/>
        <v>0</v>
      </c>
      <c r="J113" s="89">
        <f t="shared" si="32"/>
        <v>0</v>
      </c>
      <c r="K113" s="78">
        <f t="shared" si="26"/>
        <v>0</v>
      </c>
      <c r="L113" s="84">
        <f t="shared" si="28"/>
        <v>50</v>
      </c>
      <c r="M113" s="79">
        <f>SUMIFS('센터 자재 사용내역(01월)'!G:G,'센터 자재 사용내역(01월)'!E:E,'사급자재 사용내역'!C113,'센터 자재 사용내역(01월)'!F:F,"신규")+SUMIFS('센터 자재 사용내역(01월)'!G:G,'센터 자재 사용내역(01월)'!E:E,'사급자재 사용내역'!C113,'센터 자재 사용내역(01월)'!F:F,"교체")</f>
        <v>0</v>
      </c>
      <c r="N113" s="40">
        <f>SUMIFS('센터 자재 사용내역(02월)'!G:G,'센터 자재 사용내역(02월)'!E:E,'사급자재 사용내역'!C113,'센터 자재 사용내역(02월)'!F:F,"신규")+SUMIFS('센터 자재 사용내역(02월)'!G:G,'센터 자재 사용내역(02월)'!E:E,'사급자재 사용내역'!C113,'센터 자재 사용내역(02월)'!F:F,"교체")</f>
        <v>0</v>
      </c>
      <c r="O113" s="40">
        <f>SUMIFS('센터 자재 사용내역(03월)'!G:G,'센터 자재 사용내역(03월)'!E:E,'사급자재 사용내역'!C113,'센터 자재 사용내역(03월)'!F:F,"신규")+SUMIFS('센터 자재 사용내역(03월)'!G:G,'센터 자재 사용내역(03월)'!E:E,'사급자재 사용내역'!C113,'센터 자재 사용내역(03월)'!F:F,"교체")</f>
        <v>0</v>
      </c>
      <c r="P113" s="40">
        <f>SUMIFS('센터 자재 사용내역(04월)'!G:G,'센터 자재 사용내역(04월)'!E:E,'사급자재 사용내역'!C113,'센터 자재 사용내역(04월)'!F:F,"신규")+SUMIFS('센터 자재 사용내역(04월)'!G:G,'센터 자재 사용내역(04월)'!E:E,'사급자재 사용내역'!C113,'센터 자재 사용내역(04월)'!F:F,"교체")</f>
        <v>0</v>
      </c>
      <c r="Q113" s="40">
        <f>SUMIFS('센터 자재 사용내역(05월)'!G:G,'센터 자재 사용내역(05월)'!E:E,'사급자재 사용내역'!C113,'센터 자재 사용내역(05월)'!F:F,"신규")+SUMIFS('센터 자재 사용내역(05월)'!G:G,'센터 자재 사용내역(05월)'!E:E,'사급자재 사용내역'!C113,'센터 자재 사용내역(05월)'!F:F,"교체")</f>
        <v>0</v>
      </c>
      <c r="R113" s="40">
        <f>SUMIFS('센터 자재 사용내역(06월)'!G:G,'센터 자재 사용내역(06월)'!E:E,'사급자재 사용내역'!C113,'센터 자재 사용내역(06월)'!F:F,"신규")+SUMIFS('센터 자재 사용내역(06월)'!G:G,'센터 자재 사용내역(06월)'!E:E,'사급자재 사용내역'!C113,'센터 자재 사용내역(06월)'!F:F,"교체")</f>
        <v>0</v>
      </c>
      <c r="S113" s="40">
        <f>SUMIFS('센터 자재 사용내역(07월)'!G:G,'센터 자재 사용내역(07월)'!E:E,'사급자재 사용내역'!C113,'센터 자재 사용내역(07월)'!F:F,"신규")+SUMIFS('센터 자재 사용내역(07월)'!G:G,'센터 자재 사용내역(07월)'!E:E,'사급자재 사용내역'!C113,'센터 자재 사용내역(07월)'!F:F,"교체")</f>
        <v>0</v>
      </c>
      <c r="T113" s="40">
        <f>SUMIFS('센터 자재 사용내역(08월)'!G:G,'센터 자재 사용내역(08월)'!E:E,'사급자재 사용내역'!C113,'센터 자재 사용내역(08월)'!F:F,"신규")+SUMIFS('센터 자재 사용내역(08월)'!G:G,'센터 자재 사용내역(08월)'!E:E,'사급자재 사용내역'!C113,'센터 자재 사용내역(08월)'!F:F,"교체")</f>
        <v>0</v>
      </c>
      <c r="U113" s="40">
        <f>SUMIFS('센터 자재 사용내역(09월)'!G:G,'센터 자재 사용내역(09월)'!E:E,'사급자재 사용내역'!C113,'센터 자재 사용내역(09월)'!F:F,"신규")+SUMIFS('센터 자재 사용내역(09월)'!G:G,'센터 자재 사용내역(09월)'!E:E,'사급자재 사용내역'!C113,'센터 자재 사용내역(09월)'!F:F,"교체")</f>
        <v>0</v>
      </c>
      <c r="V113" s="40">
        <f>SUMIFS('센터 자재 사용내역(10월)'!G:G,'센터 자재 사용내역(10월)'!E:E,'사급자재 사용내역'!C113,'센터 자재 사용내역(10월)'!F:F,"신규")+SUMIFS('센터 자재 사용내역(10월)'!G:G,'센터 자재 사용내역(10월)'!E:E,'사급자재 사용내역'!C113,'센터 자재 사용내역(10월)'!F:F,"교체")</f>
        <v>0</v>
      </c>
      <c r="W113" s="40">
        <f>SUMIFS('센터 자재 사용내역(11월)'!G:G,'센터 자재 사용내역(11월)'!E:E,'사급자재 사용내역'!C113,'센터 자재 사용내역(11월)'!F:F,"신규")+SUMIFS('센터 자재 사용내역(11월)'!G:G,'센터 자재 사용내역(11월)'!E:E,'사급자재 사용내역'!C113,'센터 자재 사용내역(11월)'!F:F,"교체")</f>
        <v>0</v>
      </c>
      <c r="X113" s="40">
        <f>SUMIFS('센터 자재 사용내역(12월)'!G:G,'센터 자재 사용내역(12월)'!E:E,'사급자재 사용내역'!C113,'센터 자재 사용내역(12월)'!F:F,"신규")+SUMIFS('센터 자재 사용내역(12월)'!G:G,'센터 자재 사용내역(12월)'!E:E,'사급자재 사용내역'!C113,'센터 자재 사용내역(12월)'!F:F,"교체")</f>
        <v>0</v>
      </c>
      <c r="Y113" s="40">
        <f t="shared" si="33"/>
        <v>0</v>
      </c>
      <c r="Z113" s="53"/>
      <c r="AB113" s="56"/>
      <c r="AC113" s="29"/>
      <c r="AD113" s="29"/>
      <c r="AE113" s="29"/>
      <c r="AF113" s="29"/>
      <c r="AG113" s="29"/>
      <c r="AH113" s="29"/>
      <c r="AI113" s="29"/>
      <c r="AJ113" s="29"/>
      <c r="AK113" s="29"/>
      <c r="AL113" s="29"/>
      <c r="AM113" s="29"/>
      <c r="AN113" s="21">
        <f t="shared" si="30"/>
        <v>0</v>
      </c>
      <c r="AO113" s="57"/>
      <c r="AQ113" s="61">
        <f>SUMIFS('센터 자재 사용내역(01월)'!G:G,'센터 자재 사용내역(01월)'!E:E,'사급자재 사용내역'!C113,'센터 자재 사용내역(01월)'!F:F,"불량")</f>
        <v>0</v>
      </c>
      <c r="AR113" s="40">
        <f>SUMIFS('센터 자재 사용내역(02월)'!G:G,'센터 자재 사용내역(02월)'!E:E,'사급자재 사용내역'!C113,'센터 자재 사용내역(02월)'!F:F,"불량")</f>
        <v>0</v>
      </c>
      <c r="AS113" s="40">
        <f>SUMIFS('센터 자재 사용내역(03월)'!G:G,'센터 자재 사용내역(03월)'!E:E,'사급자재 사용내역'!C113,'센터 자재 사용내역(03월)'!F:F,"불량")</f>
        <v>0</v>
      </c>
      <c r="AT113" s="40">
        <f>SUMIFS('센터 자재 사용내역(04월)'!G:G,'센터 자재 사용내역(04월)'!E:E,'사급자재 사용내역'!C113,'센터 자재 사용내역(04월)'!F:F,"불량")</f>
        <v>0</v>
      </c>
      <c r="AU113" s="40">
        <f>SUMIFS('센터 자재 사용내역(05월)'!G:G,'센터 자재 사용내역(05월)'!E:E,'사급자재 사용내역'!C113,'센터 자재 사용내역(05월)'!F:F,"불량")</f>
        <v>0</v>
      </c>
      <c r="AV113" s="40">
        <f>SUMIFS('센터 자재 사용내역(06월)'!G:G,'센터 자재 사용내역(06월)'!E:E,'사급자재 사용내역'!C113,'센터 자재 사용내역(06월)'!F:F,"불량")</f>
        <v>0</v>
      </c>
      <c r="AW113" s="40">
        <f>SUMIFS('센터 자재 사용내역(07월)'!G:G,'센터 자재 사용내역(07월)'!E:E,'사급자재 사용내역'!C113,'센터 자재 사용내역(07월)'!F:F,"불량")</f>
        <v>0</v>
      </c>
      <c r="AX113" s="40">
        <f>SUMIFS('센터 자재 사용내역(08월)'!G:G,'센터 자재 사용내역(08월)'!E:E,'사급자재 사용내역'!C113,'센터 자재 사용내역(08월)'!F:F,"불량")</f>
        <v>0</v>
      </c>
      <c r="AY113" s="40">
        <f>SUMIFS('센터 자재 사용내역(09월)'!G:G,'센터 자재 사용내역(09월)'!E:E,'사급자재 사용내역'!C113,'센터 자재 사용내역(09월)'!F:F,"불량")</f>
        <v>0</v>
      </c>
      <c r="AZ113" s="40">
        <f>SUMIFS('센터 자재 사용내역(10월)'!G:G,'센터 자재 사용내역(10월)'!E:E,'사급자재 사용내역'!C113,'센터 자재 사용내역(10월)'!F:F,"불량")</f>
        <v>0</v>
      </c>
      <c r="BA113" s="40">
        <f>SUMIFS('센터 자재 사용내역(11월)'!G:G,'센터 자재 사용내역(11월)'!E:E,'사급자재 사용내역'!C113,'센터 자재 사용내역(11월)'!F:F,"불량")</f>
        <v>0</v>
      </c>
      <c r="BB113" s="40">
        <f>SUMIFS('센터 자재 사용내역(12월)'!G:G,'센터 자재 사용내역(12월)'!E:E,'사급자재 사용내역'!C113,'센터 자재 사용내역(12월)'!F:F,"불량")</f>
        <v>0</v>
      </c>
      <c r="BC113" s="40">
        <f t="shared" si="19"/>
        <v>0</v>
      </c>
      <c r="BD113" s="62"/>
    </row>
    <row r="114" spans="2:56" ht="19.5" customHeight="1">
      <c r="B114" s="99"/>
      <c r="C114" s="23" t="s">
        <v>192</v>
      </c>
      <c r="D114" s="64" t="s">
        <v>210</v>
      </c>
      <c r="E114" s="67">
        <v>3</v>
      </c>
      <c r="F114" s="47">
        <v>0</v>
      </c>
      <c r="G114" s="46"/>
      <c r="H114" s="78"/>
      <c r="I114" s="90">
        <f t="shared" si="25"/>
        <v>0</v>
      </c>
      <c r="J114" s="89">
        <f t="shared" si="27"/>
        <v>3</v>
      </c>
      <c r="K114" s="78">
        <f t="shared" si="26"/>
        <v>0</v>
      </c>
      <c r="L114" s="84">
        <f t="shared" si="28"/>
        <v>0</v>
      </c>
      <c r="M114" s="79">
        <f>SUMIFS('센터 자재 사용내역(01월)'!G:G,'센터 자재 사용내역(01월)'!E:E,'사급자재 사용내역'!C114,'센터 자재 사용내역(01월)'!F:F,"신규")+SUMIFS('센터 자재 사용내역(01월)'!G:G,'센터 자재 사용내역(01월)'!E:E,'사급자재 사용내역'!C114,'센터 자재 사용내역(01월)'!F:F,"교체")</f>
        <v>0</v>
      </c>
      <c r="N114" s="40">
        <f>SUMIFS('센터 자재 사용내역(02월)'!G:G,'센터 자재 사용내역(02월)'!E:E,'사급자재 사용내역'!C114,'센터 자재 사용내역(02월)'!F:F,"신규")+SUMIFS('센터 자재 사용내역(02월)'!G:G,'센터 자재 사용내역(02월)'!E:E,'사급자재 사용내역'!C114,'센터 자재 사용내역(02월)'!F:F,"교체")</f>
        <v>0</v>
      </c>
      <c r="O114" s="40">
        <f>SUMIFS('센터 자재 사용내역(03월)'!G:G,'센터 자재 사용내역(03월)'!E:E,'사급자재 사용내역'!C114,'센터 자재 사용내역(03월)'!F:F,"신규")+SUMIFS('센터 자재 사용내역(03월)'!G:G,'센터 자재 사용내역(03월)'!E:E,'사급자재 사용내역'!C114,'센터 자재 사용내역(03월)'!F:F,"교체")</f>
        <v>1</v>
      </c>
      <c r="P114" s="40">
        <f>SUMIFS('센터 자재 사용내역(04월)'!G:G,'센터 자재 사용내역(04월)'!E:E,'사급자재 사용내역'!C114,'센터 자재 사용내역(04월)'!F:F,"신규")+SUMIFS('센터 자재 사용내역(04월)'!G:G,'센터 자재 사용내역(04월)'!E:E,'사급자재 사용내역'!C114,'센터 자재 사용내역(04월)'!F:F,"교체")</f>
        <v>0</v>
      </c>
      <c r="Q114" s="40">
        <f>SUMIFS('센터 자재 사용내역(05월)'!G:G,'센터 자재 사용내역(05월)'!E:E,'사급자재 사용내역'!C114,'센터 자재 사용내역(05월)'!F:F,"신규")+SUMIFS('센터 자재 사용내역(05월)'!G:G,'센터 자재 사용내역(05월)'!E:E,'사급자재 사용내역'!C114,'센터 자재 사용내역(05월)'!F:F,"교체")</f>
        <v>0</v>
      </c>
      <c r="R114" s="40">
        <f>SUMIFS('센터 자재 사용내역(06월)'!G:G,'센터 자재 사용내역(06월)'!E:E,'사급자재 사용내역'!C114,'센터 자재 사용내역(06월)'!F:F,"신규")+SUMIFS('센터 자재 사용내역(06월)'!G:G,'센터 자재 사용내역(06월)'!E:E,'사급자재 사용내역'!C114,'센터 자재 사용내역(06월)'!F:F,"교체")</f>
        <v>1</v>
      </c>
      <c r="S114" s="40">
        <f>SUMIFS('센터 자재 사용내역(07월)'!G:G,'센터 자재 사용내역(07월)'!E:E,'사급자재 사용내역'!C114,'센터 자재 사용내역(07월)'!F:F,"신규")+SUMIFS('센터 자재 사용내역(07월)'!G:G,'센터 자재 사용내역(07월)'!E:E,'사급자재 사용내역'!C114,'센터 자재 사용내역(07월)'!F:F,"교체")</f>
        <v>0</v>
      </c>
      <c r="T114" s="40">
        <f>SUMIFS('센터 자재 사용내역(08월)'!G:G,'센터 자재 사용내역(08월)'!E:E,'사급자재 사용내역'!C114,'센터 자재 사용내역(08월)'!F:F,"신규")+SUMIFS('센터 자재 사용내역(08월)'!G:G,'센터 자재 사용내역(08월)'!E:E,'사급자재 사용내역'!C114,'센터 자재 사용내역(08월)'!F:F,"교체")</f>
        <v>1</v>
      </c>
      <c r="U114" s="40">
        <f>SUMIFS('센터 자재 사용내역(09월)'!G:G,'센터 자재 사용내역(09월)'!E:E,'사급자재 사용내역'!C114,'센터 자재 사용내역(09월)'!F:F,"신규")+SUMIFS('센터 자재 사용내역(09월)'!G:G,'센터 자재 사용내역(09월)'!E:E,'사급자재 사용내역'!C114,'센터 자재 사용내역(09월)'!F:F,"교체")</f>
        <v>0</v>
      </c>
      <c r="V114" s="40">
        <f>SUMIFS('센터 자재 사용내역(10월)'!G:G,'센터 자재 사용내역(10월)'!E:E,'사급자재 사용내역'!C114,'센터 자재 사용내역(10월)'!F:F,"신규")+SUMIFS('센터 자재 사용내역(10월)'!G:G,'센터 자재 사용내역(10월)'!E:E,'사급자재 사용내역'!C114,'센터 자재 사용내역(10월)'!F:F,"교체")</f>
        <v>0</v>
      </c>
      <c r="W114" s="40">
        <f>SUMIFS('센터 자재 사용내역(11월)'!G:G,'센터 자재 사용내역(11월)'!E:E,'사급자재 사용내역'!C114,'센터 자재 사용내역(11월)'!F:F,"신규")+SUMIFS('센터 자재 사용내역(11월)'!G:G,'센터 자재 사용내역(11월)'!E:E,'사급자재 사용내역'!C114,'센터 자재 사용내역(11월)'!F:F,"교체")</f>
        <v>0</v>
      </c>
      <c r="X114" s="40">
        <f>SUMIFS('센터 자재 사용내역(12월)'!G:G,'센터 자재 사용내역(12월)'!E:E,'사급자재 사용내역'!C114,'센터 자재 사용내역(12월)'!F:F,"신규")+SUMIFS('센터 자재 사용내역(12월)'!G:G,'센터 자재 사용내역(12월)'!E:E,'사급자재 사용내역'!C114,'센터 자재 사용내역(12월)'!F:F,"교체")</f>
        <v>0</v>
      </c>
      <c r="Y114" s="40">
        <f t="shared" si="29"/>
        <v>3</v>
      </c>
      <c r="Z114" s="53"/>
      <c r="AB114" s="56"/>
      <c r="AC114" s="29"/>
      <c r="AD114" s="29"/>
      <c r="AE114" s="29"/>
      <c r="AF114" s="29"/>
      <c r="AG114" s="29"/>
      <c r="AH114" s="29"/>
      <c r="AI114" s="29"/>
      <c r="AJ114" s="29"/>
      <c r="AK114" s="29"/>
      <c r="AL114" s="29"/>
      <c r="AM114" s="29"/>
      <c r="AN114" s="21">
        <f t="shared" si="30"/>
        <v>0</v>
      </c>
      <c r="AO114" s="57"/>
      <c r="AQ114" s="61">
        <f>SUMIFS('센터 자재 사용내역(01월)'!G:G,'센터 자재 사용내역(01월)'!E:E,'사급자재 사용내역'!C114,'센터 자재 사용내역(01월)'!F:F,"불량")</f>
        <v>0</v>
      </c>
      <c r="AR114" s="40">
        <f>SUMIFS('센터 자재 사용내역(02월)'!G:G,'센터 자재 사용내역(02월)'!E:E,'사급자재 사용내역'!C114,'센터 자재 사용내역(02월)'!F:F,"불량")</f>
        <v>0</v>
      </c>
      <c r="AS114" s="40">
        <f>SUMIFS('센터 자재 사용내역(03월)'!G:G,'센터 자재 사용내역(03월)'!E:E,'사급자재 사용내역'!C114,'센터 자재 사용내역(03월)'!F:F,"불량")</f>
        <v>0</v>
      </c>
      <c r="AT114" s="40">
        <f>SUMIFS('센터 자재 사용내역(04월)'!G:G,'센터 자재 사용내역(04월)'!E:E,'사급자재 사용내역'!C114,'센터 자재 사용내역(04월)'!F:F,"불량")</f>
        <v>0</v>
      </c>
      <c r="AU114" s="40">
        <f>SUMIFS('센터 자재 사용내역(05월)'!G:G,'센터 자재 사용내역(05월)'!E:E,'사급자재 사용내역'!C114,'센터 자재 사용내역(05월)'!F:F,"불량")</f>
        <v>0</v>
      </c>
      <c r="AV114" s="40">
        <f>SUMIFS('센터 자재 사용내역(06월)'!G:G,'센터 자재 사용내역(06월)'!E:E,'사급자재 사용내역'!C114,'센터 자재 사용내역(06월)'!F:F,"불량")</f>
        <v>0</v>
      </c>
      <c r="AW114" s="40">
        <f>SUMIFS('센터 자재 사용내역(07월)'!G:G,'센터 자재 사용내역(07월)'!E:E,'사급자재 사용내역'!C114,'센터 자재 사용내역(07월)'!F:F,"불량")</f>
        <v>0</v>
      </c>
      <c r="AX114" s="40">
        <f>SUMIFS('센터 자재 사용내역(08월)'!G:G,'센터 자재 사용내역(08월)'!E:E,'사급자재 사용내역'!C114,'센터 자재 사용내역(08월)'!F:F,"불량")</f>
        <v>0</v>
      </c>
      <c r="AY114" s="40">
        <f>SUMIFS('센터 자재 사용내역(09월)'!G:G,'센터 자재 사용내역(09월)'!E:E,'사급자재 사용내역'!C114,'센터 자재 사용내역(09월)'!F:F,"불량")</f>
        <v>0</v>
      </c>
      <c r="AZ114" s="40">
        <f>SUMIFS('센터 자재 사용내역(10월)'!G:G,'센터 자재 사용내역(10월)'!E:E,'사급자재 사용내역'!C114,'센터 자재 사용내역(10월)'!F:F,"불량")</f>
        <v>0</v>
      </c>
      <c r="BA114" s="40">
        <f>SUMIFS('센터 자재 사용내역(11월)'!G:G,'센터 자재 사용내역(11월)'!E:E,'사급자재 사용내역'!C114,'센터 자재 사용내역(11월)'!F:F,"불량")</f>
        <v>0</v>
      </c>
      <c r="BB114" s="40">
        <f>SUMIFS('센터 자재 사용내역(12월)'!G:G,'센터 자재 사용내역(12월)'!E:E,'사급자재 사용내역'!C114,'센터 자재 사용내역(12월)'!F:F,"불량")</f>
        <v>0</v>
      </c>
      <c r="BC114" s="40">
        <f t="shared" si="19"/>
        <v>0</v>
      </c>
      <c r="BD114" s="62"/>
    </row>
    <row r="115" spans="2:56" ht="19.5" customHeight="1">
      <c r="B115" s="99"/>
      <c r="C115" s="23" t="s">
        <v>77</v>
      </c>
      <c r="D115" s="64" t="s">
        <v>210</v>
      </c>
      <c r="E115" s="67">
        <v>0</v>
      </c>
      <c r="F115" s="47">
        <v>0</v>
      </c>
      <c r="G115" s="46"/>
      <c r="H115" s="78"/>
      <c r="I115" s="90">
        <f t="shared" si="25"/>
        <v>0</v>
      </c>
      <c r="J115" s="89">
        <f t="shared" si="27"/>
        <v>0</v>
      </c>
      <c r="K115" s="78">
        <f t="shared" si="26"/>
        <v>0</v>
      </c>
      <c r="L115" s="84">
        <f t="shared" si="28"/>
        <v>0</v>
      </c>
      <c r="M115" s="79">
        <f>SUMIFS('센터 자재 사용내역(01월)'!G:G,'센터 자재 사용내역(01월)'!E:E,'사급자재 사용내역'!C115,'센터 자재 사용내역(01월)'!F:F,"신규")+SUMIFS('센터 자재 사용내역(01월)'!G:G,'센터 자재 사용내역(01월)'!E:E,'사급자재 사용내역'!C115,'센터 자재 사용내역(01월)'!F:F,"교체")</f>
        <v>0</v>
      </c>
      <c r="N115" s="40">
        <f>SUMIFS('센터 자재 사용내역(02월)'!G:G,'센터 자재 사용내역(02월)'!E:E,'사급자재 사용내역'!C115,'센터 자재 사용내역(02월)'!F:F,"신규")+SUMIFS('센터 자재 사용내역(02월)'!G:G,'센터 자재 사용내역(02월)'!E:E,'사급자재 사용내역'!C115,'센터 자재 사용내역(02월)'!F:F,"교체")</f>
        <v>0</v>
      </c>
      <c r="O115" s="40">
        <f>SUMIFS('센터 자재 사용내역(03월)'!G:G,'센터 자재 사용내역(03월)'!E:E,'사급자재 사용내역'!C115,'센터 자재 사용내역(03월)'!F:F,"신규")+SUMIFS('센터 자재 사용내역(03월)'!G:G,'센터 자재 사용내역(03월)'!E:E,'사급자재 사용내역'!C115,'센터 자재 사용내역(03월)'!F:F,"교체")</f>
        <v>0</v>
      </c>
      <c r="P115" s="40">
        <f>SUMIFS('센터 자재 사용내역(04월)'!G:G,'센터 자재 사용내역(04월)'!E:E,'사급자재 사용내역'!C115,'센터 자재 사용내역(04월)'!F:F,"신규")+SUMIFS('센터 자재 사용내역(04월)'!G:G,'센터 자재 사용내역(04월)'!E:E,'사급자재 사용내역'!C115,'센터 자재 사용내역(04월)'!F:F,"교체")</f>
        <v>0</v>
      </c>
      <c r="Q115" s="40">
        <f>SUMIFS('센터 자재 사용내역(05월)'!G:G,'센터 자재 사용내역(05월)'!E:E,'사급자재 사용내역'!C115,'센터 자재 사용내역(05월)'!F:F,"신규")+SUMIFS('센터 자재 사용내역(05월)'!G:G,'센터 자재 사용내역(05월)'!E:E,'사급자재 사용내역'!C115,'센터 자재 사용내역(05월)'!F:F,"교체")</f>
        <v>0</v>
      </c>
      <c r="R115" s="40">
        <f>SUMIFS('센터 자재 사용내역(06월)'!G:G,'센터 자재 사용내역(06월)'!E:E,'사급자재 사용내역'!C115,'센터 자재 사용내역(06월)'!F:F,"신규")+SUMIFS('센터 자재 사용내역(06월)'!G:G,'센터 자재 사용내역(06월)'!E:E,'사급자재 사용내역'!C115,'센터 자재 사용내역(06월)'!F:F,"교체")</f>
        <v>0</v>
      </c>
      <c r="S115" s="40">
        <f>SUMIFS('센터 자재 사용내역(07월)'!G:G,'센터 자재 사용내역(07월)'!E:E,'사급자재 사용내역'!C115,'센터 자재 사용내역(07월)'!F:F,"신규")+SUMIFS('센터 자재 사용내역(07월)'!G:G,'센터 자재 사용내역(07월)'!E:E,'사급자재 사용내역'!C115,'센터 자재 사용내역(07월)'!F:F,"교체")</f>
        <v>0</v>
      </c>
      <c r="T115" s="40">
        <f>SUMIFS('센터 자재 사용내역(08월)'!G:G,'센터 자재 사용내역(08월)'!E:E,'사급자재 사용내역'!C115,'센터 자재 사용내역(08월)'!F:F,"신규")+SUMIFS('센터 자재 사용내역(08월)'!G:G,'센터 자재 사용내역(08월)'!E:E,'사급자재 사용내역'!C115,'센터 자재 사용내역(08월)'!F:F,"교체")</f>
        <v>0</v>
      </c>
      <c r="U115" s="40">
        <f>SUMIFS('센터 자재 사용내역(09월)'!G:G,'센터 자재 사용내역(09월)'!E:E,'사급자재 사용내역'!C115,'센터 자재 사용내역(09월)'!F:F,"신규")+SUMIFS('센터 자재 사용내역(09월)'!G:G,'센터 자재 사용내역(09월)'!E:E,'사급자재 사용내역'!C115,'센터 자재 사용내역(09월)'!F:F,"교체")</f>
        <v>0</v>
      </c>
      <c r="V115" s="40">
        <f>SUMIFS('센터 자재 사용내역(10월)'!G:G,'센터 자재 사용내역(10월)'!E:E,'사급자재 사용내역'!C115,'센터 자재 사용내역(10월)'!F:F,"신규")+SUMIFS('센터 자재 사용내역(10월)'!G:G,'센터 자재 사용내역(10월)'!E:E,'사급자재 사용내역'!C115,'센터 자재 사용내역(10월)'!F:F,"교체")</f>
        <v>0</v>
      </c>
      <c r="W115" s="40">
        <f>SUMIFS('센터 자재 사용내역(11월)'!G:G,'센터 자재 사용내역(11월)'!E:E,'사급자재 사용내역'!C115,'센터 자재 사용내역(11월)'!F:F,"신규")+SUMIFS('센터 자재 사용내역(11월)'!G:G,'센터 자재 사용내역(11월)'!E:E,'사급자재 사용내역'!C115,'센터 자재 사용내역(11월)'!F:F,"교체")</f>
        <v>0</v>
      </c>
      <c r="X115" s="40">
        <f>SUMIFS('센터 자재 사용내역(12월)'!G:G,'센터 자재 사용내역(12월)'!E:E,'사급자재 사용내역'!C115,'센터 자재 사용내역(12월)'!F:F,"신규")+SUMIFS('센터 자재 사용내역(12월)'!G:G,'센터 자재 사용내역(12월)'!E:E,'사급자재 사용내역'!C115,'센터 자재 사용내역(12월)'!F:F,"교체")</f>
        <v>0</v>
      </c>
      <c r="Y115" s="40">
        <f t="shared" ref="Y115:Y118" si="34">SUM(M115:X115)</f>
        <v>0</v>
      </c>
      <c r="Z115" s="53" t="s">
        <v>214</v>
      </c>
      <c r="AB115" s="56"/>
      <c r="AC115" s="29"/>
      <c r="AD115" s="29"/>
      <c r="AE115" s="29"/>
      <c r="AF115" s="29"/>
      <c r="AG115" s="29"/>
      <c r="AH115" s="29"/>
      <c r="AI115" s="29"/>
      <c r="AJ115" s="29"/>
      <c r="AK115" s="29"/>
      <c r="AL115" s="29"/>
      <c r="AM115" s="29"/>
      <c r="AN115" s="21">
        <f t="shared" si="30"/>
        <v>0</v>
      </c>
      <c r="AO115" s="57"/>
      <c r="AQ115" s="61">
        <f>SUMIFS('센터 자재 사용내역(01월)'!G:G,'센터 자재 사용내역(01월)'!E:E,'사급자재 사용내역'!C115,'센터 자재 사용내역(01월)'!F:F,"불량")</f>
        <v>0</v>
      </c>
      <c r="AR115" s="40">
        <f>SUMIFS('센터 자재 사용내역(02월)'!G:G,'센터 자재 사용내역(02월)'!E:E,'사급자재 사용내역'!C115,'센터 자재 사용내역(02월)'!F:F,"불량")</f>
        <v>0</v>
      </c>
      <c r="AS115" s="40">
        <f>SUMIFS('센터 자재 사용내역(03월)'!G:G,'센터 자재 사용내역(03월)'!E:E,'사급자재 사용내역'!C115,'센터 자재 사용내역(03월)'!F:F,"불량")</f>
        <v>0</v>
      </c>
      <c r="AT115" s="40">
        <f>SUMIFS('센터 자재 사용내역(04월)'!G:G,'센터 자재 사용내역(04월)'!E:E,'사급자재 사용내역'!C115,'센터 자재 사용내역(04월)'!F:F,"불량")</f>
        <v>0</v>
      </c>
      <c r="AU115" s="40">
        <f>SUMIFS('센터 자재 사용내역(05월)'!G:G,'센터 자재 사용내역(05월)'!E:E,'사급자재 사용내역'!C115,'센터 자재 사용내역(05월)'!F:F,"불량")</f>
        <v>0</v>
      </c>
      <c r="AV115" s="40">
        <f>SUMIFS('센터 자재 사용내역(06월)'!G:G,'센터 자재 사용내역(06월)'!E:E,'사급자재 사용내역'!C115,'센터 자재 사용내역(06월)'!F:F,"불량")</f>
        <v>0</v>
      </c>
      <c r="AW115" s="40">
        <f>SUMIFS('센터 자재 사용내역(07월)'!G:G,'센터 자재 사용내역(07월)'!E:E,'사급자재 사용내역'!C115,'센터 자재 사용내역(07월)'!F:F,"불량")</f>
        <v>0</v>
      </c>
      <c r="AX115" s="40">
        <f>SUMIFS('센터 자재 사용내역(08월)'!G:G,'센터 자재 사용내역(08월)'!E:E,'사급자재 사용내역'!C115,'센터 자재 사용내역(08월)'!F:F,"불량")</f>
        <v>0</v>
      </c>
      <c r="AY115" s="40">
        <f>SUMIFS('센터 자재 사용내역(09월)'!G:G,'센터 자재 사용내역(09월)'!E:E,'사급자재 사용내역'!C115,'센터 자재 사용내역(09월)'!F:F,"불량")</f>
        <v>0</v>
      </c>
      <c r="AZ115" s="40">
        <f>SUMIFS('센터 자재 사용내역(10월)'!G:G,'센터 자재 사용내역(10월)'!E:E,'사급자재 사용내역'!C115,'센터 자재 사용내역(10월)'!F:F,"불량")</f>
        <v>0</v>
      </c>
      <c r="BA115" s="40">
        <f>SUMIFS('센터 자재 사용내역(11월)'!G:G,'센터 자재 사용내역(11월)'!E:E,'사급자재 사용내역'!C115,'센터 자재 사용내역(11월)'!F:F,"불량")</f>
        <v>0</v>
      </c>
      <c r="BB115" s="40">
        <f>SUMIFS('센터 자재 사용내역(12월)'!G:G,'센터 자재 사용내역(12월)'!E:E,'사급자재 사용내역'!C115,'센터 자재 사용내역(12월)'!F:F,"불량")</f>
        <v>0</v>
      </c>
      <c r="BC115" s="40">
        <f t="shared" si="19"/>
        <v>0</v>
      </c>
      <c r="BD115" s="62"/>
    </row>
    <row r="116" spans="2:56" ht="19.5" customHeight="1">
      <c r="B116" s="99"/>
      <c r="C116" s="23" t="s">
        <v>206</v>
      </c>
      <c r="D116" s="64" t="s">
        <v>210</v>
      </c>
      <c r="E116" s="67">
        <v>76</v>
      </c>
      <c r="F116" s="47">
        <v>0</v>
      </c>
      <c r="G116" s="46"/>
      <c r="H116" s="78"/>
      <c r="I116" s="90">
        <f t="shared" si="25"/>
        <v>0</v>
      </c>
      <c r="J116" s="89">
        <f t="shared" si="27"/>
        <v>67</v>
      </c>
      <c r="K116" s="78">
        <f t="shared" si="26"/>
        <v>0</v>
      </c>
      <c r="L116" s="84">
        <f t="shared" si="28"/>
        <v>9</v>
      </c>
      <c r="M116" s="79">
        <f>SUMIFS('센터 자재 사용내역(01월)'!G:G,'센터 자재 사용내역(01월)'!E:E,'사급자재 사용내역'!C116,'센터 자재 사용내역(01월)'!F:F,"신규")+SUMIFS('센터 자재 사용내역(01월)'!G:G,'센터 자재 사용내역(01월)'!E:E,'사급자재 사용내역'!C116,'센터 자재 사용내역(01월)'!F:F,"교체")</f>
        <v>12</v>
      </c>
      <c r="N116" s="40">
        <f>SUMIFS('센터 자재 사용내역(02월)'!G:G,'센터 자재 사용내역(02월)'!E:E,'사급자재 사용내역'!C116,'센터 자재 사용내역(02월)'!F:F,"신규")+SUMIFS('센터 자재 사용내역(02월)'!G:G,'센터 자재 사용내역(02월)'!E:E,'사급자재 사용내역'!C116,'센터 자재 사용내역(02월)'!F:F,"교체")</f>
        <v>4</v>
      </c>
      <c r="O116" s="40">
        <f>SUMIFS('센터 자재 사용내역(03월)'!G:G,'센터 자재 사용내역(03월)'!E:E,'사급자재 사용내역'!C116,'센터 자재 사용내역(03월)'!F:F,"신규")+SUMIFS('센터 자재 사용내역(03월)'!G:G,'센터 자재 사용내역(03월)'!E:E,'사급자재 사용내역'!C116,'센터 자재 사용내역(03월)'!F:F,"교체")</f>
        <v>4</v>
      </c>
      <c r="P116" s="40">
        <f>SUMIFS('센터 자재 사용내역(04월)'!G:G,'센터 자재 사용내역(04월)'!E:E,'사급자재 사용내역'!C116,'센터 자재 사용내역(04월)'!F:F,"신규")+SUMIFS('센터 자재 사용내역(04월)'!G:G,'센터 자재 사용내역(04월)'!E:E,'사급자재 사용내역'!C116,'센터 자재 사용내역(04월)'!F:F,"교체")</f>
        <v>6</v>
      </c>
      <c r="Q116" s="40">
        <f>SUMIFS('센터 자재 사용내역(05월)'!G:G,'센터 자재 사용내역(05월)'!E:E,'사급자재 사용내역'!C116,'센터 자재 사용내역(05월)'!F:F,"신규")+SUMIFS('센터 자재 사용내역(05월)'!G:G,'센터 자재 사용내역(05월)'!E:E,'사급자재 사용내역'!C116,'센터 자재 사용내역(05월)'!F:F,"교체")</f>
        <v>8</v>
      </c>
      <c r="R116" s="40">
        <f>SUMIFS('센터 자재 사용내역(06월)'!G:G,'센터 자재 사용내역(06월)'!E:E,'사급자재 사용내역'!C116,'센터 자재 사용내역(06월)'!F:F,"신규")+SUMIFS('센터 자재 사용내역(06월)'!G:G,'센터 자재 사용내역(06월)'!E:E,'사급자재 사용내역'!C116,'센터 자재 사용내역(06월)'!F:F,"교체")</f>
        <v>14</v>
      </c>
      <c r="S116" s="40">
        <f>SUMIFS('센터 자재 사용내역(07월)'!G:G,'센터 자재 사용내역(07월)'!E:E,'사급자재 사용내역'!C116,'센터 자재 사용내역(07월)'!F:F,"신규")+SUMIFS('센터 자재 사용내역(07월)'!G:G,'센터 자재 사용내역(07월)'!E:E,'사급자재 사용내역'!C116,'센터 자재 사용내역(07월)'!F:F,"교체")</f>
        <v>14</v>
      </c>
      <c r="T116" s="40">
        <f>SUMIFS('센터 자재 사용내역(08월)'!G:G,'센터 자재 사용내역(08월)'!E:E,'사급자재 사용내역'!C116,'센터 자재 사용내역(08월)'!F:F,"신규")+SUMIFS('센터 자재 사용내역(08월)'!G:G,'센터 자재 사용내역(08월)'!E:E,'사급자재 사용내역'!C116,'센터 자재 사용내역(08월)'!F:F,"교체")</f>
        <v>5</v>
      </c>
      <c r="U116" s="40">
        <f>SUMIFS('센터 자재 사용내역(09월)'!G:G,'센터 자재 사용내역(09월)'!E:E,'사급자재 사용내역'!C116,'센터 자재 사용내역(09월)'!F:F,"신규")+SUMIFS('센터 자재 사용내역(09월)'!G:G,'센터 자재 사용내역(09월)'!E:E,'사급자재 사용내역'!C116,'센터 자재 사용내역(09월)'!F:F,"교체")</f>
        <v>0</v>
      </c>
      <c r="V116" s="40">
        <f>SUMIFS('센터 자재 사용내역(10월)'!G:G,'센터 자재 사용내역(10월)'!E:E,'사급자재 사용내역'!C116,'센터 자재 사용내역(10월)'!F:F,"신규")+SUMIFS('센터 자재 사용내역(10월)'!G:G,'센터 자재 사용내역(10월)'!E:E,'사급자재 사용내역'!C116,'센터 자재 사용내역(10월)'!F:F,"교체")</f>
        <v>0</v>
      </c>
      <c r="W116" s="40">
        <f>SUMIFS('센터 자재 사용내역(11월)'!G:G,'센터 자재 사용내역(11월)'!E:E,'사급자재 사용내역'!C116,'센터 자재 사용내역(11월)'!F:F,"신규")+SUMIFS('센터 자재 사용내역(11월)'!G:G,'센터 자재 사용내역(11월)'!E:E,'사급자재 사용내역'!C116,'센터 자재 사용내역(11월)'!F:F,"교체")</f>
        <v>0</v>
      </c>
      <c r="X116" s="40">
        <f>SUMIFS('센터 자재 사용내역(12월)'!G:G,'센터 자재 사용내역(12월)'!E:E,'사급자재 사용내역'!C116,'센터 자재 사용내역(12월)'!F:F,"신규")+SUMIFS('센터 자재 사용내역(12월)'!G:G,'센터 자재 사용내역(12월)'!E:E,'사급자재 사용내역'!C116,'센터 자재 사용내역(12월)'!F:F,"교체")</f>
        <v>0</v>
      </c>
      <c r="Y116" s="40">
        <f t="shared" si="34"/>
        <v>67</v>
      </c>
      <c r="Z116" s="53"/>
      <c r="AB116" s="56"/>
      <c r="AC116" s="29"/>
      <c r="AD116" s="29"/>
      <c r="AE116" s="29"/>
      <c r="AF116" s="29"/>
      <c r="AG116" s="29"/>
      <c r="AH116" s="29"/>
      <c r="AI116" s="29"/>
      <c r="AJ116" s="29"/>
      <c r="AK116" s="29"/>
      <c r="AL116" s="29"/>
      <c r="AM116" s="29"/>
      <c r="AN116" s="21">
        <f t="shared" si="30"/>
        <v>0</v>
      </c>
      <c r="AO116" s="57"/>
      <c r="AQ116" s="61">
        <f>SUMIFS('센터 자재 사용내역(01월)'!G:G,'센터 자재 사용내역(01월)'!E:E,'사급자재 사용내역'!C116,'센터 자재 사용내역(01월)'!F:F,"불량")</f>
        <v>0</v>
      </c>
      <c r="AR116" s="40">
        <f>SUMIFS('센터 자재 사용내역(02월)'!G:G,'센터 자재 사용내역(02월)'!E:E,'사급자재 사용내역'!C116,'센터 자재 사용내역(02월)'!F:F,"불량")</f>
        <v>0</v>
      </c>
      <c r="AS116" s="40">
        <f>SUMIFS('센터 자재 사용내역(03월)'!G:G,'센터 자재 사용내역(03월)'!E:E,'사급자재 사용내역'!C116,'센터 자재 사용내역(03월)'!F:F,"불량")</f>
        <v>0</v>
      </c>
      <c r="AT116" s="40">
        <f>SUMIFS('센터 자재 사용내역(04월)'!G:G,'센터 자재 사용내역(04월)'!E:E,'사급자재 사용내역'!C116,'센터 자재 사용내역(04월)'!F:F,"불량")</f>
        <v>0</v>
      </c>
      <c r="AU116" s="40">
        <f>SUMIFS('센터 자재 사용내역(05월)'!G:G,'센터 자재 사용내역(05월)'!E:E,'사급자재 사용내역'!C116,'센터 자재 사용내역(05월)'!F:F,"불량")</f>
        <v>0</v>
      </c>
      <c r="AV116" s="40">
        <f>SUMIFS('센터 자재 사용내역(06월)'!G:G,'센터 자재 사용내역(06월)'!E:E,'사급자재 사용내역'!C116,'센터 자재 사용내역(06월)'!F:F,"불량")</f>
        <v>0</v>
      </c>
      <c r="AW116" s="40">
        <f>SUMIFS('센터 자재 사용내역(07월)'!G:G,'센터 자재 사용내역(07월)'!E:E,'사급자재 사용내역'!C116,'센터 자재 사용내역(07월)'!F:F,"불량")</f>
        <v>0</v>
      </c>
      <c r="AX116" s="40">
        <f>SUMIFS('센터 자재 사용내역(08월)'!G:G,'센터 자재 사용내역(08월)'!E:E,'사급자재 사용내역'!C116,'센터 자재 사용내역(08월)'!F:F,"불량")</f>
        <v>0</v>
      </c>
      <c r="AY116" s="40">
        <f>SUMIFS('센터 자재 사용내역(09월)'!G:G,'센터 자재 사용내역(09월)'!E:E,'사급자재 사용내역'!C116,'센터 자재 사용내역(09월)'!F:F,"불량")</f>
        <v>0</v>
      </c>
      <c r="AZ116" s="40">
        <f>SUMIFS('센터 자재 사용내역(10월)'!G:G,'센터 자재 사용내역(10월)'!E:E,'사급자재 사용내역'!C116,'센터 자재 사용내역(10월)'!F:F,"불량")</f>
        <v>0</v>
      </c>
      <c r="BA116" s="40">
        <f>SUMIFS('센터 자재 사용내역(11월)'!G:G,'센터 자재 사용내역(11월)'!E:E,'사급자재 사용내역'!C116,'센터 자재 사용내역(11월)'!F:F,"불량")</f>
        <v>0</v>
      </c>
      <c r="BB116" s="40">
        <f>SUMIFS('센터 자재 사용내역(12월)'!G:G,'센터 자재 사용내역(12월)'!E:E,'사급자재 사용내역'!C116,'센터 자재 사용내역(12월)'!F:F,"불량")</f>
        <v>0</v>
      </c>
      <c r="BC116" s="40">
        <f t="shared" si="19"/>
        <v>0</v>
      </c>
      <c r="BD116" s="62"/>
    </row>
    <row r="117" spans="2:56" ht="19.5" customHeight="1">
      <c r="B117" s="99"/>
      <c r="C117" s="23" t="s">
        <v>220</v>
      </c>
      <c r="D117" s="64" t="s">
        <v>90</v>
      </c>
      <c r="E117" s="67">
        <v>605</v>
      </c>
      <c r="F117" s="47">
        <v>0</v>
      </c>
      <c r="G117" s="46"/>
      <c r="H117" s="78"/>
      <c r="I117" s="90">
        <f t="shared" si="25"/>
        <v>0</v>
      </c>
      <c r="J117" s="89">
        <f t="shared" si="27"/>
        <v>185</v>
      </c>
      <c r="K117" s="78">
        <f t="shared" si="26"/>
        <v>0</v>
      </c>
      <c r="L117" s="84">
        <f t="shared" si="28"/>
        <v>420</v>
      </c>
      <c r="M117" s="79">
        <f>SUMIFS('센터 자재 사용내역(01월)'!G:G,'센터 자재 사용내역(01월)'!E:E,'사급자재 사용내역'!C117,'센터 자재 사용내역(01월)'!F:F,"신규")+SUMIFS('센터 자재 사용내역(01월)'!G:G,'센터 자재 사용내역(01월)'!E:E,'사급자재 사용내역'!C117,'센터 자재 사용내역(01월)'!F:F,"교체")</f>
        <v>0</v>
      </c>
      <c r="N117" s="40">
        <f>SUMIFS('센터 자재 사용내역(02월)'!G:G,'센터 자재 사용내역(02월)'!E:E,'사급자재 사용내역'!C117,'센터 자재 사용내역(02월)'!F:F,"신규")+SUMIFS('센터 자재 사용내역(02월)'!G:G,'센터 자재 사용내역(02월)'!E:E,'사급자재 사용내역'!C117,'센터 자재 사용내역(02월)'!F:F,"교체")</f>
        <v>0</v>
      </c>
      <c r="O117" s="40">
        <f>SUMIFS('센터 자재 사용내역(03월)'!G:G,'센터 자재 사용내역(03월)'!E:E,'사급자재 사용내역'!C117,'센터 자재 사용내역(03월)'!F:F,"신규")+SUMIFS('센터 자재 사용내역(03월)'!G:G,'센터 자재 사용내역(03월)'!E:E,'사급자재 사용내역'!C117,'센터 자재 사용내역(03월)'!F:F,"교체")</f>
        <v>0</v>
      </c>
      <c r="P117" s="40">
        <f>SUMIFS('센터 자재 사용내역(04월)'!G:G,'센터 자재 사용내역(04월)'!E:E,'사급자재 사용내역'!C117,'센터 자재 사용내역(04월)'!F:F,"신규")+SUMIFS('센터 자재 사용내역(04월)'!G:G,'센터 자재 사용내역(04월)'!E:E,'사급자재 사용내역'!C117,'센터 자재 사용내역(04월)'!F:F,"교체")</f>
        <v>100</v>
      </c>
      <c r="Q117" s="40">
        <f>SUMIFS('센터 자재 사용내역(05월)'!G:G,'센터 자재 사용내역(05월)'!E:E,'사급자재 사용내역'!C117,'센터 자재 사용내역(05월)'!F:F,"신규")+SUMIFS('센터 자재 사용내역(05월)'!G:G,'센터 자재 사용내역(05월)'!E:E,'사급자재 사용내역'!C117,'센터 자재 사용내역(05월)'!F:F,"교체")</f>
        <v>85</v>
      </c>
      <c r="R117" s="40">
        <f>SUMIFS('센터 자재 사용내역(06월)'!G:G,'센터 자재 사용내역(06월)'!E:E,'사급자재 사용내역'!C117,'센터 자재 사용내역(06월)'!F:F,"신규")+SUMIFS('센터 자재 사용내역(06월)'!G:G,'센터 자재 사용내역(06월)'!E:E,'사급자재 사용내역'!C117,'센터 자재 사용내역(06월)'!F:F,"교체")</f>
        <v>0</v>
      </c>
      <c r="S117" s="40">
        <f>SUMIFS('센터 자재 사용내역(07월)'!G:G,'센터 자재 사용내역(07월)'!E:E,'사급자재 사용내역'!C117,'센터 자재 사용내역(07월)'!F:F,"신규")+SUMIFS('센터 자재 사용내역(07월)'!G:G,'센터 자재 사용내역(07월)'!E:E,'사급자재 사용내역'!C117,'센터 자재 사용내역(07월)'!F:F,"교체")</f>
        <v>0</v>
      </c>
      <c r="T117" s="40">
        <f>SUMIFS('센터 자재 사용내역(08월)'!G:G,'센터 자재 사용내역(08월)'!E:E,'사급자재 사용내역'!C117,'센터 자재 사용내역(08월)'!F:F,"신규")+SUMIFS('센터 자재 사용내역(08월)'!G:G,'센터 자재 사용내역(08월)'!E:E,'사급자재 사용내역'!C117,'센터 자재 사용내역(08월)'!F:F,"교체")</f>
        <v>0</v>
      </c>
      <c r="U117" s="40">
        <f>SUMIFS('센터 자재 사용내역(09월)'!G:G,'센터 자재 사용내역(09월)'!E:E,'사급자재 사용내역'!C117,'센터 자재 사용내역(09월)'!F:F,"신규")+SUMIFS('센터 자재 사용내역(09월)'!G:G,'센터 자재 사용내역(09월)'!E:E,'사급자재 사용내역'!C117,'센터 자재 사용내역(09월)'!F:F,"교체")</f>
        <v>0</v>
      </c>
      <c r="V117" s="40">
        <f>SUMIFS('센터 자재 사용내역(10월)'!G:G,'센터 자재 사용내역(10월)'!E:E,'사급자재 사용내역'!C117,'센터 자재 사용내역(10월)'!F:F,"신규")+SUMIFS('센터 자재 사용내역(10월)'!G:G,'센터 자재 사용내역(10월)'!E:E,'사급자재 사용내역'!C117,'센터 자재 사용내역(10월)'!F:F,"교체")</f>
        <v>0</v>
      </c>
      <c r="W117" s="40">
        <f>SUMIFS('센터 자재 사용내역(11월)'!G:G,'센터 자재 사용내역(11월)'!E:E,'사급자재 사용내역'!C117,'센터 자재 사용내역(11월)'!F:F,"신규")+SUMIFS('센터 자재 사용내역(11월)'!G:G,'센터 자재 사용내역(11월)'!E:E,'사급자재 사용내역'!C117,'센터 자재 사용내역(11월)'!F:F,"교체")</f>
        <v>0</v>
      </c>
      <c r="X117" s="40">
        <f>SUMIFS('센터 자재 사용내역(12월)'!G:G,'센터 자재 사용내역(12월)'!E:E,'사급자재 사용내역'!C117,'센터 자재 사용내역(12월)'!F:F,"신규")+SUMIFS('센터 자재 사용내역(12월)'!G:G,'센터 자재 사용내역(12월)'!E:E,'사급자재 사용내역'!C117,'센터 자재 사용내역(12월)'!F:F,"교체")</f>
        <v>0</v>
      </c>
      <c r="Y117" s="40">
        <f t="shared" si="34"/>
        <v>185</v>
      </c>
      <c r="Z117" s="53"/>
      <c r="AB117" s="56"/>
      <c r="AC117" s="29"/>
      <c r="AD117" s="29"/>
      <c r="AE117" s="29"/>
      <c r="AF117" s="29"/>
      <c r="AG117" s="29"/>
      <c r="AH117" s="29"/>
      <c r="AI117" s="29"/>
      <c r="AJ117" s="29"/>
      <c r="AK117" s="29"/>
      <c r="AL117" s="29"/>
      <c r="AM117" s="29"/>
      <c r="AN117" s="21">
        <f t="shared" si="30"/>
        <v>0</v>
      </c>
      <c r="AO117" s="57"/>
      <c r="AQ117" s="61">
        <f>SUMIFS('센터 자재 사용내역(01월)'!G:G,'센터 자재 사용내역(01월)'!E:E,'사급자재 사용내역'!C117,'센터 자재 사용내역(01월)'!F:F,"불량")</f>
        <v>0</v>
      </c>
      <c r="AR117" s="40">
        <f>SUMIFS('센터 자재 사용내역(02월)'!G:G,'센터 자재 사용내역(02월)'!E:E,'사급자재 사용내역'!C117,'센터 자재 사용내역(02월)'!F:F,"불량")</f>
        <v>0</v>
      </c>
      <c r="AS117" s="40">
        <f>SUMIFS('센터 자재 사용내역(03월)'!G:G,'센터 자재 사용내역(03월)'!E:E,'사급자재 사용내역'!C117,'센터 자재 사용내역(03월)'!F:F,"불량")</f>
        <v>0</v>
      </c>
      <c r="AT117" s="40">
        <f>SUMIFS('센터 자재 사용내역(04월)'!G:G,'센터 자재 사용내역(04월)'!E:E,'사급자재 사용내역'!C117,'센터 자재 사용내역(04월)'!F:F,"불량")</f>
        <v>0</v>
      </c>
      <c r="AU117" s="40">
        <f>SUMIFS('센터 자재 사용내역(05월)'!G:G,'센터 자재 사용내역(05월)'!E:E,'사급자재 사용내역'!C117,'센터 자재 사용내역(05월)'!F:F,"불량")</f>
        <v>0</v>
      </c>
      <c r="AV117" s="40">
        <f>SUMIFS('센터 자재 사용내역(06월)'!G:G,'센터 자재 사용내역(06월)'!E:E,'사급자재 사용내역'!C117,'센터 자재 사용내역(06월)'!F:F,"불량")</f>
        <v>0</v>
      </c>
      <c r="AW117" s="40">
        <f>SUMIFS('센터 자재 사용내역(07월)'!G:G,'센터 자재 사용내역(07월)'!E:E,'사급자재 사용내역'!C117,'센터 자재 사용내역(07월)'!F:F,"불량")</f>
        <v>0</v>
      </c>
      <c r="AX117" s="40">
        <f>SUMIFS('센터 자재 사용내역(08월)'!G:G,'센터 자재 사용내역(08월)'!E:E,'사급자재 사용내역'!C117,'센터 자재 사용내역(08월)'!F:F,"불량")</f>
        <v>0</v>
      </c>
      <c r="AY117" s="40">
        <f>SUMIFS('센터 자재 사용내역(09월)'!G:G,'센터 자재 사용내역(09월)'!E:E,'사급자재 사용내역'!C117,'센터 자재 사용내역(09월)'!F:F,"불량")</f>
        <v>0</v>
      </c>
      <c r="AZ117" s="40">
        <f>SUMIFS('센터 자재 사용내역(10월)'!G:G,'센터 자재 사용내역(10월)'!E:E,'사급자재 사용내역'!C117,'센터 자재 사용내역(10월)'!F:F,"불량")</f>
        <v>0</v>
      </c>
      <c r="BA117" s="40">
        <f>SUMIFS('센터 자재 사용내역(11월)'!G:G,'센터 자재 사용내역(11월)'!E:E,'사급자재 사용내역'!C117,'센터 자재 사용내역(11월)'!F:F,"불량")</f>
        <v>0</v>
      </c>
      <c r="BB117" s="40">
        <f>SUMIFS('센터 자재 사용내역(12월)'!G:G,'센터 자재 사용내역(12월)'!E:E,'사급자재 사용내역'!C117,'센터 자재 사용내역(12월)'!F:F,"불량")</f>
        <v>0</v>
      </c>
      <c r="BC117" s="40">
        <f t="shared" si="19"/>
        <v>0</v>
      </c>
      <c r="BD117" s="62"/>
    </row>
    <row r="118" spans="2:56" ht="19.5" customHeight="1">
      <c r="B118" s="99"/>
      <c r="C118" s="23" t="s">
        <v>1324</v>
      </c>
      <c r="D118" s="64" t="s">
        <v>129</v>
      </c>
      <c r="E118" s="67">
        <v>0</v>
      </c>
      <c r="F118" s="47">
        <v>0</v>
      </c>
      <c r="G118" s="46"/>
      <c r="H118" s="78"/>
      <c r="I118" s="90">
        <f t="shared" si="25"/>
        <v>0</v>
      </c>
      <c r="J118" s="89">
        <f t="shared" si="27"/>
        <v>0</v>
      </c>
      <c r="K118" s="78">
        <f t="shared" si="26"/>
        <v>500</v>
      </c>
      <c r="L118" s="84">
        <f t="shared" si="28"/>
        <v>500</v>
      </c>
      <c r="M118" s="79">
        <f>SUMIFS('센터 자재 사용내역(01월)'!G:G,'센터 자재 사용내역(01월)'!E:E,'사급자재 사용내역'!C118,'센터 자재 사용내역(01월)'!F:F,"신규")+SUMIFS('센터 자재 사용내역(01월)'!G:G,'센터 자재 사용내역(01월)'!E:E,'사급자재 사용내역'!C118,'센터 자재 사용내역(01월)'!F:F,"교체")</f>
        <v>0</v>
      </c>
      <c r="N118" s="40">
        <f>SUMIFS('센터 자재 사용내역(02월)'!G:G,'센터 자재 사용내역(02월)'!E:E,'사급자재 사용내역'!C118,'센터 자재 사용내역(02월)'!F:F,"신규")+SUMIFS('센터 자재 사용내역(02월)'!G:G,'센터 자재 사용내역(02월)'!E:E,'사급자재 사용내역'!C118,'센터 자재 사용내역(02월)'!F:F,"교체")</f>
        <v>0</v>
      </c>
      <c r="O118" s="40">
        <f>SUMIFS('센터 자재 사용내역(03월)'!G:G,'센터 자재 사용내역(03월)'!E:E,'사급자재 사용내역'!C118,'센터 자재 사용내역(03월)'!F:F,"신규")+SUMIFS('센터 자재 사용내역(03월)'!G:G,'센터 자재 사용내역(03월)'!E:E,'사급자재 사용내역'!C118,'센터 자재 사용내역(03월)'!F:F,"교체")</f>
        <v>0</v>
      </c>
      <c r="P118" s="40">
        <f>SUMIFS('센터 자재 사용내역(04월)'!G:G,'센터 자재 사용내역(04월)'!E:E,'사급자재 사용내역'!C118,'센터 자재 사용내역(04월)'!F:F,"신규")+SUMIFS('센터 자재 사용내역(04월)'!G:G,'센터 자재 사용내역(04월)'!E:E,'사급자재 사용내역'!C118,'센터 자재 사용내역(04월)'!F:F,"교체")</f>
        <v>0</v>
      </c>
      <c r="Q118" s="40">
        <f>SUMIFS('센터 자재 사용내역(05월)'!G:G,'센터 자재 사용내역(05월)'!E:E,'사급자재 사용내역'!C118,'센터 자재 사용내역(05월)'!F:F,"신규")+SUMIFS('센터 자재 사용내역(05월)'!G:G,'센터 자재 사용내역(05월)'!E:E,'사급자재 사용내역'!C118,'센터 자재 사용내역(05월)'!F:F,"교체")</f>
        <v>0</v>
      </c>
      <c r="R118" s="40">
        <f>SUMIFS('센터 자재 사용내역(06월)'!G:G,'센터 자재 사용내역(06월)'!E:E,'사급자재 사용내역'!C118,'센터 자재 사용내역(06월)'!F:F,"신규")+SUMIFS('센터 자재 사용내역(06월)'!G:G,'센터 자재 사용내역(06월)'!E:E,'사급자재 사용내역'!C118,'센터 자재 사용내역(06월)'!F:F,"교체")</f>
        <v>0</v>
      </c>
      <c r="S118" s="40">
        <f>SUMIFS('센터 자재 사용내역(07월)'!G:G,'센터 자재 사용내역(07월)'!E:E,'사급자재 사용내역'!C118,'센터 자재 사용내역(07월)'!F:F,"신규")+SUMIFS('센터 자재 사용내역(07월)'!G:G,'센터 자재 사용내역(07월)'!E:E,'사급자재 사용내역'!C118,'센터 자재 사용내역(07월)'!F:F,"교체")</f>
        <v>0</v>
      </c>
      <c r="T118" s="40">
        <f>SUMIFS('센터 자재 사용내역(08월)'!G:G,'센터 자재 사용내역(08월)'!E:E,'사급자재 사용내역'!C118,'센터 자재 사용내역(08월)'!F:F,"신규")+SUMIFS('센터 자재 사용내역(08월)'!G:G,'센터 자재 사용내역(08월)'!E:E,'사급자재 사용내역'!C118,'센터 자재 사용내역(08월)'!F:F,"교체")</f>
        <v>0</v>
      </c>
      <c r="U118" s="40">
        <f>SUMIFS('센터 자재 사용내역(09월)'!G:G,'센터 자재 사용내역(09월)'!E:E,'사급자재 사용내역'!C118,'센터 자재 사용내역(09월)'!F:F,"신규")+SUMIFS('센터 자재 사용내역(09월)'!G:G,'센터 자재 사용내역(09월)'!E:E,'사급자재 사용내역'!C118,'센터 자재 사용내역(09월)'!F:F,"교체")</f>
        <v>0</v>
      </c>
      <c r="V118" s="40">
        <f>SUMIFS('센터 자재 사용내역(10월)'!G:G,'센터 자재 사용내역(10월)'!E:E,'사급자재 사용내역'!C118,'센터 자재 사용내역(10월)'!F:F,"신규")+SUMIFS('센터 자재 사용내역(10월)'!G:G,'센터 자재 사용내역(10월)'!E:E,'사급자재 사용내역'!C118,'센터 자재 사용내역(10월)'!F:F,"교체")</f>
        <v>0</v>
      </c>
      <c r="W118" s="40">
        <f>SUMIFS('센터 자재 사용내역(11월)'!G:G,'센터 자재 사용내역(11월)'!E:E,'사급자재 사용내역'!C118,'센터 자재 사용내역(11월)'!F:F,"신규")+SUMIFS('센터 자재 사용내역(11월)'!G:G,'센터 자재 사용내역(11월)'!E:E,'사급자재 사용내역'!C118,'센터 자재 사용내역(11월)'!F:F,"교체")</f>
        <v>0</v>
      </c>
      <c r="X118" s="40">
        <f>SUMIFS('센터 자재 사용내역(12월)'!G:G,'센터 자재 사용내역(12월)'!E:E,'사급자재 사용내역'!C118,'센터 자재 사용내역(12월)'!F:F,"신규")+SUMIFS('센터 자재 사용내역(12월)'!G:G,'센터 자재 사용내역(12월)'!E:E,'사급자재 사용내역'!C118,'센터 자재 사용내역(12월)'!F:F,"교체")</f>
        <v>0</v>
      </c>
      <c r="Y118" s="40">
        <f t="shared" si="34"/>
        <v>0</v>
      </c>
      <c r="Z118" s="53"/>
      <c r="AB118" s="56"/>
      <c r="AC118" s="29"/>
      <c r="AD118" s="29"/>
      <c r="AE118" s="29">
        <v>500</v>
      </c>
      <c r="AF118" s="29"/>
      <c r="AG118" s="29"/>
      <c r="AH118" s="29"/>
      <c r="AI118" s="29"/>
      <c r="AJ118" s="29"/>
      <c r="AK118" s="29"/>
      <c r="AL118" s="29"/>
      <c r="AM118" s="29"/>
      <c r="AN118" s="21">
        <f t="shared" si="30"/>
        <v>500</v>
      </c>
      <c r="AO118" s="57"/>
      <c r="AQ118" s="61">
        <f>SUMIFS('센터 자재 사용내역(01월)'!G:G,'센터 자재 사용내역(01월)'!E:E,'사급자재 사용내역'!C118,'센터 자재 사용내역(01월)'!F:F,"불량")</f>
        <v>0</v>
      </c>
      <c r="AR118" s="40">
        <f>SUMIFS('센터 자재 사용내역(02월)'!G:G,'센터 자재 사용내역(02월)'!E:E,'사급자재 사용내역'!C118,'센터 자재 사용내역(02월)'!F:F,"불량")</f>
        <v>0</v>
      </c>
      <c r="AS118" s="40">
        <f>SUMIFS('센터 자재 사용내역(03월)'!G:G,'센터 자재 사용내역(03월)'!E:E,'사급자재 사용내역'!C118,'센터 자재 사용내역(03월)'!F:F,"불량")</f>
        <v>0</v>
      </c>
      <c r="AT118" s="40">
        <f>SUMIFS('센터 자재 사용내역(04월)'!G:G,'센터 자재 사용내역(04월)'!E:E,'사급자재 사용내역'!C118,'센터 자재 사용내역(04월)'!F:F,"불량")</f>
        <v>0</v>
      </c>
      <c r="AU118" s="40">
        <f>SUMIFS('센터 자재 사용내역(05월)'!G:G,'센터 자재 사용내역(05월)'!E:E,'사급자재 사용내역'!C118,'센터 자재 사용내역(05월)'!F:F,"불량")</f>
        <v>0</v>
      </c>
      <c r="AV118" s="40">
        <f>SUMIFS('센터 자재 사용내역(06월)'!G:G,'센터 자재 사용내역(06월)'!E:E,'사급자재 사용내역'!C118,'센터 자재 사용내역(06월)'!F:F,"불량")</f>
        <v>0</v>
      </c>
      <c r="AW118" s="40">
        <f>SUMIFS('센터 자재 사용내역(07월)'!G:G,'센터 자재 사용내역(07월)'!E:E,'사급자재 사용내역'!C118,'센터 자재 사용내역(07월)'!F:F,"불량")</f>
        <v>0</v>
      </c>
      <c r="AX118" s="40">
        <f>SUMIFS('센터 자재 사용내역(08월)'!G:G,'센터 자재 사용내역(08월)'!E:E,'사급자재 사용내역'!C118,'센터 자재 사용내역(08월)'!F:F,"불량")</f>
        <v>0</v>
      </c>
      <c r="AY118" s="40">
        <f>SUMIFS('센터 자재 사용내역(09월)'!G:G,'센터 자재 사용내역(09월)'!E:E,'사급자재 사용내역'!C118,'센터 자재 사용내역(09월)'!F:F,"불량")</f>
        <v>0</v>
      </c>
      <c r="AZ118" s="40">
        <f>SUMIFS('센터 자재 사용내역(10월)'!G:G,'센터 자재 사용내역(10월)'!E:E,'사급자재 사용내역'!C118,'센터 자재 사용내역(10월)'!F:F,"불량")</f>
        <v>0</v>
      </c>
      <c r="BA118" s="40">
        <f>SUMIFS('센터 자재 사용내역(11월)'!G:G,'센터 자재 사용내역(11월)'!E:E,'사급자재 사용내역'!C118,'센터 자재 사용내역(11월)'!F:F,"불량")</f>
        <v>0</v>
      </c>
      <c r="BB118" s="40">
        <f>SUMIFS('센터 자재 사용내역(12월)'!G:G,'센터 자재 사용내역(12월)'!E:E,'사급자재 사용내역'!C118,'센터 자재 사용내역(12월)'!F:F,"불량")</f>
        <v>0</v>
      </c>
      <c r="BC118" s="40">
        <f t="shared" si="19"/>
        <v>0</v>
      </c>
      <c r="BD118" s="62"/>
    </row>
    <row r="119" spans="2:56" ht="19.5" customHeight="1">
      <c r="B119" s="99"/>
      <c r="C119" s="23"/>
      <c r="D119" s="64" t="s">
        <v>129</v>
      </c>
      <c r="E119" s="67">
        <v>0</v>
      </c>
      <c r="F119" s="47">
        <v>0</v>
      </c>
      <c r="G119" s="46"/>
      <c r="H119" s="78"/>
      <c r="I119" s="90">
        <f t="shared" si="25"/>
        <v>0</v>
      </c>
      <c r="J119" s="89">
        <f t="shared" si="27"/>
        <v>0</v>
      </c>
      <c r="K119" s="78">
        <f t="shared" si="26"/>
        <v>0</v>
      </c>
      <c r="L119" s="84">
        <f t="shared" si="28"/>
        <v>0</v>
      </c>
      <c r="M119" s="79">
        <f>SUMIFS('센터 자재 사용내역(01월)'!G:G,'센터 자재 사용내역(01월)'!E:E,'사급자재 사용내역'!C119,'센터 자재 사용내역(01월)'!F:F,"신규")+SUMIFS('센터 자재 사용내역(01월)'!G:G,'센터 자재 사용내역(01월)'!E:E,'사급자재 사용내역'!C119,'센터 자재 사용내역(01월)'!F:F,"교체")</f>
        <v>0</v>
      </c>
      <c r="N119" s="40">
        <f>SUMIFS('센터 자재 사용내역(02월)'!G:G,'센터 자재 사용내역(02월)'!E:E,'사급자재 사용내역'!C119,'센터 자재 사용내역(02월)'!F:F,"신규")+SUMIFS('센터 자재 사용내역(02월)'!G:G,'센터 자재 사용내역(02월)'!E:E,'사급자재 사용내역'!C119,'센터 자재 사용내역(02월)'!F:F,"교체")</f>
        <v>0</v>
      </c>
      <c r="O119" s="40">
        <f>SUMIFS('센터 자재 사용내역(03월)'!G:G,'센터 자재 사용내역(03월)'!E:E,'사급자재 사용내역'!C119,'센터 자재 사용내역(03월)'!F:F,"신규")+SUMIFS('센터 자재 사용내역(03월)'!G:G,'센터 자재 사용내역(03월)'!E:E,'사급자재 사용내역'!C119,'센터 자재 사용내역(03월)'!F:F,"교체")</f>
        <v>0</v>
      </c>
      <c r="P119" s="40">
        <f>SUMIFS('센터 자재 사용내역(04월)'!G:G,'센터 자재 사용내역(04월)'!E:E,'사급자재 사용내역'!C119,'센터 자재 사용내역(04월)'!F:F,"신규")+SUMIFS('센터 자재 사용내역(04월)'!G:G,'센터 자재 사용내역(04월)'!E:E,'사급자재 사용내역'!C119,'센터 자재 사용내역(04월)'!F:F,"교체")</f>
        <v>0</v>
      </c>
      <c r="Q119" s="40">
        <f>SUMIFS('센터 자재 사용내역(05월)'!G:G,'센터 자재 사용내역(05월)'!E:E,'사급자재 사용내역'!C119,'센터 자재 사용내역(05월)'!F:F,"신규")+SUMIFS('센터 자재 사용내역(05월)'!G:G,'센터 자재 사용내역(05월)'!E:E,'사급자재 사용내역'!C119,'센터 자재 사용내역(05월)'!F:F,"교체")</f>
        <v>0</v>
      </c>
      <c r="R119" s="40">
        <f>SUMIFS('센터 자재 사용내역(06월)'!G:G,'센터 자재 사용내역(06월)'!E:E,'사급자재 사용내역'!C119,'센터 자재 사용내역(06월)'!F:F,"신규")+SUMIFS('센터 자재 사용내역(06월)'!G:G,'센터 자재 사용내역(06월)'!E:E,'사급자재 사용내역'!C119,'센터 자재 사용내역(06월)'!F:F,"교체")</f>
        <v>0</v>
      </c>
      <c r="S119" s="40">
        <f>SUMIFS('센터 자재 사용내역(07월)'!G:G,'센터 자재 사용내역(07월)'!E:E,'사급자재 사용내역'!C119,'센터 자재 사용내역(07월)'!F:F,"신규")+SUMIFS('센터 자재 사용내역(07월)'!G:G,'센터 자재 사용내역(07월)'!E:E,'사급자재 사용내역'!C119,'센터 자재 사용내역(07월)'!F:F,"교체")</f>
        <v>0</v>
      </c>
      <c r="T119" s="40">
        <f>SUMIFS('센터 자재 사용내역(08월)'!G:G,'센터 자재 사용내역(08월)'!E:E,'사급자재 사용내역'!C119,'센터 자재 사용내역(08월)'!F:F,"신규")+SUMIFS('센터 자재 사용내역(08월)'!G:G,'센터 자재 사용내역(08월)'!E:E,'사급자재 사용내역'!C119,'센터 자재 사용내역(08월)'!F:F,"교체")</f>
        <v>0</v>
      </c>
      <c r="U119" s="40">
        <f>SUMIFS('센터 자재 사용내역(09월)'!G:G,'센터 자재 사용내역(09월)'!E:E,'사급자재 사용내역'!C119,'센터 자재 사용내역(09월)'!F:F,"신규")+SUMIFS('센터 자재 사용내역(09월)'!G:G,'센터 자재 사용내역(09월)'!E:E,'사급자재 사용내역'!C119,'센터 자재 사용내역(09월)'!F:F,"교체")</f>
        <v>0</v>
      </c>
      <c r="V119" s="40">
        <f>SUMIFS('센터 자재 사용내역(10월)'!G:G,'센터 자재 사용내역(10월)'!E:E,'사급자재 사용내역'!C119,'센터 자재 사용내역(10월)'!F:F,"신규")+SUMIFS('센터 자재 사용내역(10월)'!G:G,'센터 자재 사용내역(10월)'!E:E,'사급자재 사용내역'!C119,'센터 자재 사용내역(10월)'!F:F,"교체")</f>
        <v>0</v>
      </c>
      <c r="W119" s="40">
        <f>SUMIFS('센터 자재 사용내역(11월)'!G:G,'센터 자재 사용내역(11월)'!E:E,'사급자재 사용내역'!C119,'센터 자재 사용내역(11월)'!F:F,"신규")+SUMIFS('센터 자재 사용내역(11월)'!G:G,'센터 자재 사용내역(11월)'!E:E,'사급자재 사용내역'!C119,'센터 자재 사용내역(11월)'!F:F,"교체")</f>
        <v>0</v>
      </c>
      <c r="X119" s="40">
        <f>SUMIFS('센터 자재 사용내역(12월)'!G:G,'센터 자재 사용내역(12월)'!E:E,'사급자재 사용내역'!C119,'센터 자재 사용내역(12월)'!F:F,"신규")+SUMIFS('센터 자재 사용내역(12월)'!G:G,'센터 자재 사용내역(12월)'!E:E,'사급자재 사용내역'!C119,'센터 자재 사용내역(12월)'!F:F,"교체")</f>
        <v>0</v>
      </c>
      <c r="Y119" s="40">
        <f t="shared" si="29"/>
        <v>0</v>
      </c>
      <c r="Z119" s="53"/>
      <c r="AB119" s="56"/>
      <c r="AC119" s="29"/>
      <c r="AD119" s="29"/>
      <c r="AE119" s="29"/>
      <c r="AF119" s="29"/>
      <c r="AG119" s="29"/>
      <c r="AH119" s="29"/>
      <c r="AI119" s="29"/>
      <c r="AJ119" s="29"/>
      <c r="AK119" s="29"/>
      <c r="AL119" s="29"/>
      <c r="AM119" s="29"/>
      <c r="AN119" s="21">
        <f t="shared" si="30"/>
        <v>0</v>
      </c>
      <c r="AO119" s="57"/>
      <c r="AQ119" s="61">
        <f>SUMIFS('센터 자재 사용내역(01월)'!G:G,'센터 자재 사용내역(01월)'!E:E,'사급자재 사용내역'!C119,'센터 자재 사용내역(01월)'!F:F,"불량")</f>
        <v>0</v>
      </c>
      <c r="AR119" s="40">
        <f>SUMIFS('센터 자재 사용내역(02월)'!G:G,'센터 자재 사용내역(02월)'!E:E,'사급자재 사용내역'!C119,'센터 자재 사용내역(02월)'!F:F,"불량")</f>
        <v>0</v>
      </c>
      <c r="AS119" s="40">
        <f>SUMIFS('센터 자재 사용내역(03월)'!G:G,'센터 자재 사용내역(03월)'!E:E,'사급자재 사용내역'!C119,'센터 자재 사용내역(03월)'!F:F,"불량")</f>
        <v>0</v>
      </c>
      <c r="AT119" s="40">
        <f>SUMIFS('센터 자재 사용내역(04월)'!G:G,'센터 자재 사용내역(04월)'!E:E,'사급자재 사용내역'!C119,'센터 자재 사용내역(04월)'!F:F,"불량")</f>
        <v>0</v>
      </c>
      <c r="AU119" s="40">
        <f>SUMIFS('센터 자재 사용내역(05월)'!G:G,'센터 자재 사용내역(05월)'!E:E,'사급자재 사용내역'!C119,'센터 자재 사용내역(05월)'!F:F,"불량")</f>
        <v>0</v>
      </c>
      <c r="AV119" s="40">
        <f>SUMIFS('센터 자재 사용내역(06월)'!G:G,'센터 자재 사용내역(06월)'!E:E,'사급자재 사용내역'!C119,'센터 자재 사용내역(06월)'!F:F,"불량")</f>
        <v>0</v>
      </c>
      <c r="AW119" s="40">
        <f>SUMIFS('센터 자재 사용내역(07월)'!G:G,'센터 자재 사용내역(07월)'!E:E,'사급자재 사용내역'!C119,'센터 자재 사용내역(07월)'!F:F,"불량")</f>
        <v>0</v>
      </c>
      <c r="AX119" s="40">
        <f>SUMIFS('센터 자재 사용내역(08월)'!G:G,'센터 자재 사용내역(08월)'!E:E,'사급자재 사용내역'!C119,'센터 자재 사용내역(08월)'!F:F,"불량")</f>
        <v>0</v>
      </c>
      <c r="AY119" s="40">
        <f>SUMIFS('센터 자재 사용내역(09월)'!G:G,'센터 자재 사용내역(09월)'!E:E,'사급자재 사용내역'!C119,'센터 자재 사용내역(09월)'!F:F,"불량")</f>
        <v>0</v>
      </c>
      <c r="AZ119" s="40">
        <f>SUMIFS('센터 자재 사용내역(10월)'!G:G,'센터 자재 사용내역(10월)'!E:E,'사급자재 사용내역'!C119,'센터 자재 사용내역(10월)'!F:F,"불량")</f>
        <v>0</v>
      </c>
      <c r="BA119" s="40">
        <f>SUMIFS('센터 자재 사용내역(11월)'!G:G,'센터 자재 사용내역(11월)'!E:E,'사급자재 사용내역'!C119,'센터 자재 사용내역(11월)'!F:F,"불량")</f>
        <v>0</v>
      </c>
      <c r="BB119" s="40">
        <f>SUMIFS('센터 자재 사용내역(12월)'!G:G,'센터 자재 사용내역(12월)'!E:E,'사급자재 사용내역'!C119,'센터 자재 사용내역(12월)'!F:F,"불량")</f>
        <v>0</v>
      </c>
      <c r="BC119" s="40">
        <f t="shared" si="19"/>
        <v>0</v>
      </c>
      <c r="BD119" s="62"/>
    </row>
    <row r="120" spans="2:56" ht="19.5" customHeight="1">
      <c r="B120" s="100"/>
      <c r="C120" s="23"/>
      <c r="D120" s="64" t="s">
        <v>129</v>
      </c>
      <c r="E120" s="67">
        <v>0</v>
      </c>
      <c r="F120" s="47">
        <v>0</v>
      </c>
      <c r="G120" s="46"/>
      <c r="H120" s="78"/>
      <c r="I120" s="90">
        <f t="shared" si="25"/>
        <v>0</v>
      </c>
      <c r="J120" s="89">
        <f t="shared" si="27"/>
        <v>0</v>
      </c>
      <c r="K120" s="78">
        <f t="shared" si="26"/>
        <v>0</v>
      </c>
      <c r="L120" s="84">
        <f t="shared" si="28"/>
        <v>0</v>
      </c>
      <c r="M120" s="79">
        <f>SUMIFS('센터 자재 사용내역(01월)'!G:G,'센터 자재 사용내역(01월)'!E:E,'사급자재 사용내역'!C120,'센터 자재 사용내역(01월)'!F:F,"신규")+SUMIFS('센터 자재 사용내역(01월)'!G:G,'센터 자재 사용내역(01월)'!E:E,'사급자재 사용내역'!C120,'센터 자재 사용내역(01월)'!F:F,"교체")</f>
        <v>0</v>
      </c>
      <c r="N120" s="40">
        <f>SUMIFS('센터 자재 사용내역(02월)'!G:G,'센터 자재 사용내역(02월)'!E:E,'사급자재 사용내역'!C120,'센터 자재 사용내역(02월)'!F:F,"신규")+SUMIFS('센터 자재 사용내역(02월)'!G:G,'센터 자재 사용내역(02월)'!E:E,'사급자재 사용내역'!C120,'센터 자재 사용내역(02월)'!F:F,"교체")</f>
        <v>0</v>
      </c>
      <c r="O120" s="40">
        <f>SUMIFS('센터 자재 사용내역(03월)'!G:G,'센터 자재 사용내역(03월)'!E:E,'사급자재 사용내역'!C120,'센터 자재 사용내역(03월)'!F:F,"신규")+SUMIFS('센터 자재 사용내역(03월)'!G:G,'센터 자재 사용내역(03월)'!E:E,'사급자재 사용내역'!C120,'센터 자재 사용내역(03월)'!F:F,"교체")</f>
        <v>0</v>
      </c>
      <c r="P120" s="40">
        <f>SUMIFS('센터 자재 사용내역(04월)'!G:G,'센터 자재 사용내역(04월)'!E:E,'사급자재 사용내역'!C120,'센터 자재 사용내역(04월)'!F:F,"신규")+SUMIFS('센터 자재 사용내역(04월)'!G:G,'센터 자재 사용내역(04월)'!E:E,'사급자재 사용내역'!C120,'센터 자재 사용내역(04월)'!F:F,"교체")</f>
        <v>0</v>
      </c>
      <c r="Q120" s="40">
        <f>SUMIFS('센터 자재 사용내역(05월)'!G:G,'센터 자재 사용내역(05월)'!E:E,'사급자재 사용내역'!C120,'센터 자재 사용내역(05월)'!F:F,"신규")+SUMIFS('센터 자재 사용내역(05월)'!G:G,'센터 자재 사용내역(05월)'!E:E,'사급자재 사용내역'!C120,'센터 자재 사용내역(05월)'!F:F,"교체")</f>
        <v>0</v>
      </c>
      <c r="R120" s="40">
        <f>SUMIFS('센터 자재 사용내역(06월)'!G:G,'센터 자재 사용내역(06월)'!E:E,'사급자재 사용내역'!C120,'센터 자재 사용내역(06월)'!F:F,"신규")+SUMIFS('센터 자재 사용내역(06월)'!G:G,'센터 자재 사용내역(06월)'!E:E,'사급자재 사용내역'!C120,'센터 자재 사용내역(06월)'!F:F,"교체")</f>
        <v>0</v>
      </c>
      <c r="S120" s="40">
        <f>SUMIFS('센터 자재 사용내역(07월)'!G:G,'센터 자재 사용내역(07월)'!E:E,'사급자재 사용내역'!C120,'센터 자재 사용내역(07월)'!F:F,"신규")+SUMIFS('센터 자재 사용내역(07월)'!G:G,'센터 자재 사용내역(07월)'!E:E,'사급자재 사용내역'!C120,'센터 자재 사용내역(07월)'!F:F,"교체")</f>
        <v>0</v>
      </c>
      <c r="T120" s="40">
        <f>SUMIFS('센터 자재 사용내역(08월)'!G:G,'센터 자재 사용내역(08월)'!E:E,'사급자재 사용내역'!C120,'센터 자재 사용내역(08월)'!F:F,"신규")+SUMIFS('센터 자재 사용내역(08월)'!G:G,'센터 자재 사용내역(08월)'!E:E,'사급자재 사용내역'!C120,'센터 자재 사용내역(08월)'!F:F,"교체")</f>
        <v>0</v>
      </c>
      <c r="U120" s="40">
        <f>SUMIFS('센터 자재 사용내역(09월)'!G:G,'센터 자재 사용내역(09월)'!E:E,'사급자재 사용내역'!C120,'센터 자재 사용내역(09월)'!F:F,"신규")+SUMIFS('센터 자재 사용내역(09월)'!G:G,'센터 자재 사용내역(09월)'!E:E,'사급자재 사용내역'!C120,'센터 자재 사용내역(09월)'!F:F,"교체")</f>
        <v>0</v>
      </c>
      <c r="V120" s="40">
        <f>SUMIFS('센터 자재 사용내역(10월)'!G:G,'센터 자재 사용내역(10월)'!E:E,'사급자재 사용내역'!C120,'센터 자재 사용내역(10월)'!F:F,"신규")+SUMIFS('센터 자재 사용내역(10월)'!G:G,'센터 자재 사용내역(10월)'!E:E,'사급자재 사용내역'!C120,'센터 자재 사용내역(10월)'!F:F,"교체")</f>
        <v>0</v>
      </c>
      <c r="W120" s="40">
        <f>SUMIFS('센터 자재 사용내역(11월)'!G:G,'센터 자재 사용내역(11월)'!E:E,'사급자재 사용내역'!C120,'센터 자재 사용내역(11월)'!F:F,"신규")+SUMIFS('센터 자재 사용내역(11월)'!G:G,'센터 자재 사용내역(11월)'!E:E,'사급자재 사용내역'!C120,'센터 자재 사용내역(11월)'!F:F,"교체")</f>
        <v>0</v>
      </c>
      <c r="X120" s="40">
        <f>SUMIFS('센터 자재 사용내역(12월)'!G:G,'센터 자재 사용내역(12월)'!E:E,'사급자재 사용내역'!C120,'센터 자재 사용내역(12월)'!F:F,"신규")+SUMIFS('센터 자재 사용내역(12월)'!G:G,'센터 자재 사용내역(12월)'!E:E,'사급자재 사용내역'!C120,'센터 자재 사용내역(12월)'!F:F,"교체")</f>
        <v>0</v>
      </c>
      <c r="Y120" s="40">
        <f t="shared" si="29"/>
        <v>0</v>
      </c>
      <c r="Z120" s="53"/>
      <c r="AB120" s="56"/>
      <c r="AC120" s="29"/>
      <c r="AD120" s="29"/>
      <c r="AE120" s="29"/>
      <c r="AF120" s="29"/>
      <c r="AG120" s="29"/>
      <c r="AH120" s="29"/>
      <c r="AI120" s="29"/>
      <c r="AJ120" s="29"/>
      <c r="AK120" s="29"/>
      <c r="AL120" s="29"/>
      <c r="AM120" s="29"/>
      <c r="AN120" s="21">
        <f t="shared" si="30"/>
        <v>0</v>
      </c>
      <c r="AO120" s="57"/>
      <c r="AQ120" s="61">
        <f>SUMIFS('센터 자재 사용내역(01월)'!G:G,'센터 자재 사용내역(01월)'!E:E,'사급자재 사용내역'!C120,'센터 자재 사용내역(01월)'!F:F,"불량")</f>
        <v>0</v>
      </c>
      <c r="AR120" s="40">
        <f>SUMIFS('센터 자재 사용내역(02월)'!G:G,'센터 자재 사용내역(02월)'!E:E,'사급자재 사용내역'!C120,'센터 자재 사용내역(02월)'!F:F,"불량")</f>
        <v>0</v>
      </c>
      <c r="AS120" s="40">
        <f>SUMIFS('센터 자재 사용내역(03월)'!G:G,'센터 자재 사용내역(03월)'!E:E,'사급자재 사용내역'!C120,'센터 자재 사용내역(03월)'!F:F,"불량")</f>
        <v>0</v>
      </c>
      <c r="AT120" s="40">
        <f>SUMIFS('센터 자재 사용내역(04월)'!G:G,'센터 자재 사용내역(04월)'!E:E,'사급자재 사용내역'!C120,'센터 자재 사용내역(04월)'!F:F,"불량")</f>
        <v>0</v>
      </c>
      <c r="AU120" s="40">
        <f>SUMIFS('센터 자재 사용내역(05월)'!G:G,'센터 자재 사용내역(05월)'!E:E,'사급자재 사용내역'!C120,'센터 자재 사용내역(05월)'!F:F,"불량")</f>
        <v>0</v>
      </c>
      <c r="AV120" s="40">
        <f>SUMIFS('센터 자재 사용내역(06월)'!G:G,'센터 자재 사용내역(06월)'!E:E,'사급자재 사용내역'!C120,'센터 자재 사용내역(06월)'!F:F,"불량")</f>
        <v>0</v>
      </c>
      <c r="AW120" s="40">
        <f>SUMIFS('센터 자재 사용내역(07월)'!G:G,'센터 자재 사용내역(07월)'!E:E,'사급자재 사용내역'!C120,'센터 자재 사용내역(07월)'!F:F,"불량")</f>
        <v>0</v>
      </c>
      <c r="AX120" s="40">
        <f>SUMIFS('센터 자재 사용내역(08월)'!G:G,'센터 자재 사용내역(08월)'!E:E,'사급자재 사용내역'!C120,'센터 자재 사용내역(08월)'!F:F,"불량")</f>
        <v>0</v>
      </c>
      <c r="AY120" s="40">
        <f>SUMIFS('센터 자재 사용내역(09월)'!G:G,'센터 자재 사용내역(09월)'!E:E,'사급자재 사용내역'!C120,'센터 자재 사용내역(09월)'!F:F,"불량")</f>
        <v>0</v>
      </c>
      <c r="AZ120" s="40">
        <f>SUMIFS('센터 자재 사용내역(10월)'!G:G,'센터 자재 사용내역(10월)'!E:E,'사급자재 사용내역'!C120,'센터 자재 사용내역(10월)'!F:F,"불량")</f>
        <v>0</v>
      </c>
      <c r="BA120" s="40">
        <f>SUMIFS('센터 자재 사용내역(11월)'!G:G,'센터 자재 사용내역(11월)'!E:E,'사급자재 사용내역'!C120,'센터 자재 사용내역(11월)'!F:F,"불량")</f>
        <v>0</v>
      </c>
      <c r="BB120" s="40">
        <f>SUMIFS('센터 자재 사용내역(12월)'!G:G,'센터 자재 사용내역(12월)'!E:E,'사급자재 사용내역'!C120,'센터 자재 사용내역(12월)'!F:F,"불량")</f>
        <v>0</v>
      </c>
      <c r="BC120" s="40">
        <f t="shared" ref="BC120:BC144" si="35">SUM(AQ120:BB120)</f>
        <v>0</v>
      </c>
      <c r="BD120" s="62"/>
    </row>
    <row r="121" spans="2:56" ht="19.5" customHeight="1">
      <c r="B121" s="98" t="s">
        <v>61</v>
      </c>
      <c r="C121" s="23" t="s">
        <v>62</v>
      </c>
      <c r="D121" s="64" t="s">
        <v>129</v>
      </c>
      <c r="E121" s="67">
        <v>1768</v>
      </c>
      <c r="F121" s="47">
        <v>0</v>
      </c>
      <c r="G121" s="46"/>
      <c r="H121" s="78"/>
      <c r="I121" s="90">
        <f t="shared" si="25"/>
        <v>0</v>
      </c>
      <c r="J121" s="89">
        <f t="shared" si="27"/>
        <v>1701</v>
      </c>
      <c r="K121" s="78">
        <f t="shared" si="26"/>
        <v>400</v>
      </c>
      <c r="L121" s="84">
        <f t="shared" si="28"/>
        <v>467</v>
      </c>
      <c r="M121" s="79">
        <f>SUMIFS('센터 자재 사용내역(01월)'!G:G,'센터 자재 사용내역(01월)'!E:E,'사급자재 사용내역'!C121,'센터 자재 사용내역(01월)'!F:F,"신규")+SUMIFS('센터 자재 사용내역(01월)'!G:G,'센터 자재 사용내역(01월)'!E:E,'사급자재 사용내역'!C121,'센터 자재 사용내역(01월)'!F:F,"교체")</f>
        <v>209</v>
      </c>
      <c r="N121" s="40">
        <f>SUMIFS('센터 자재 사용내역(02월)'!G:G,'센터 자재 사용내역(02월)'!E:E,'사급자재 사용내역'!C121,'센터 자재 사용내역(02월)'!F:F,"신규")+SUMIFS('센터 자재 사용내역(02월)'!G:G,'센터 자재 사용내역(02월)'!E:E,'사급자재 사용내역'!C121,'센터 자재 사용내역(02월)'!F:F,"교체")</f>
        <v>296</v>
      </c>
      <c r="O121" s="40">
        <f>SUMIFS('센터 자재 사용내역(03월)'!G:G,'센터 자재 사용내역(03월)'!E:E,'사급자재 사용내역'!C121,'센터 자재 사용내역(03월)'!F:F,"신규")+SUMIFS('센터 자재 사용내역(03월)'!G:G,'센터 자재 사용내역(03월)'!E:E,'사급자재 사용내역'!C121,'센터 자재 사용내역(03월)'!F:F,"교체")</f>
        <v>217</v>
      </c>
      <c r="P121" s="40">
        <f>SUMIFS('센터 자재 사용내역(04월)'!G:G,'센터 자재 사용내역(04월)'!E:E,'사급자재 사용내역'!C121,'센터 자재 사용내역(04월)'!F:F,"신규")+SUMIFS('센터 자재 사용내역(04월)'!G:G,'센터 자재 사용내역(04월)'!E:E,'사급자재 사용내역'!C121,'센터 자재 사용내역(04월)'!F:F,"교체")</f>
        <v>213</v>
      </c>
      <c r="Q121" s="40">
        <f>SUMIFS('센터 자재 사용내역(05월)'!G:G,'센터 자재 사용내역(05월)'!E:E,'사급자재 사용내역'!C121,'센터 자재 사용내역(05월)'!F:F,"신규")+SUMIFS('센터 자재 사용내역(05월)'!G:G,'센터 자재 사용내역(05월)'!E:E,'사급자재 사용내역'!C121,'센터 자재 사용내역(05월)'!F:F,"교체")</f>
        <v>175</v>
      </c>
      <c r="R121" s="40">
        <f>SUMIFS('센터 자재 사용내역(06월)'!G:G,'센터 자재 사용내역(06월)'!E:E,'사급자재 사용내역'!C121,'센터 자재 사용내역(06월)'!F:F,"신규")+SUMIFS('센터 자재 사용내역(06월)'!G:G,'센터 자재 사용내역(06월)'!E:E,'사급자재 사용내역'!C121,'센터 자재 사용내역(06월)'!F:F,"교체")</f>
        <v>288</v>
      </c>
      <c r="S121" s="40">
        <f>SUMIFS('센터 자재 사용내역(07월)'!G:G,'센터 자재 사용내역(07월)'!E:E,'사급자재 사용내역'!C121,'센터 자재 사용내역(07월)'!F:F,"신규")+SUMIFS('센터 자재 사용내역(07월)'!G:G,'센터 자재 사용내역(07월)'!E:E,'사급자재 사용내역'!C121,'센터 자재 사용내역(07월)'!F:F,"교체")</f>
        <v>192</v>
      </c>
      <c r="T121" s="40">
        <f>SUMIFS('센터 자재 사용내역(08월)'!G:G,'센터 자재 사용내역(08월)'!E:E,'사급자재 사용내역'!C121,'센터 자재 사용내역(08월)'!F:F,"신규")+SUMIFS('센터 자재 사용내역(08월)'!G:G,'센터 자재 사용내역(08월)'!E:E,'사급자재 사용내역'!C121,'센터 자재 사용내역(08월)'!F:F,"교체")</f>
        <v>111</v>
      </c>
      <c r="U121" s="40">
        <f>SUMIFS('센터 자재 사용내역(09월)'!G:G,'센터 자재 사용내역(09월)'!E:E,'사급자재 사용내역'!C121,'센터 자재 사용내역(09월)'!F:F,"신규")+SUMIFS('센터 자재 사용내역(09월)'!G:G,'센터 자재 사용내역(09월)'!E:E,'사급자재 사용내역'!C121,'센터 자재 사용내역(09월)'!F:F,"교체")</f>
        <v>0</v>
      </c>
      <c r="V121" s="40">
        <f>SUMIFS('센터 자재 사용내역(10월)'!G:G,'센터 자재 사용내역(10월)'!E:E,'사급자재 사용내역'!C121,'센터 자재 사용내역(10월)'!F:F,"신규")+SUMIFS('센터 자재 사용내역(10월)'!G:G,'센터 자재 사용내역(10월)'!E:E,'사급자재 사용내역'!C121,'센터 자재 사용내역(10월)'!F:F,"교체")</f>
        <v>0</v>
      </c>
      <c r="W121" s="40">
        <f>SUMIFS('센터 자재 사용내역(11월)'!G:G,'센터 자재 사용내역(11월)'!E:E,'사급자재 사용내역'!C121,'센터 자재 사용내역(11월)'!F:F,"신규")+SUMIFS('센터 자재 사용내역(11월)'!G:G,'센터 자재 사용내역(11월)'!E:E,'사급자재 사용내역'!C121,'센터 자재 사용내역(11월)'!F:F,"교체")</f>
        <v>0</v>
      </c>
      <c r="X121" s="40">
        <f>SUMIFS('센터 자재 사용내역(12월)'!G:G,'센터 자재 사용내역(12월)'!E:E,'사급자재 사용내역'!C121,'센터 자재 사용내역(12월)'!F:F,"신규")+SUMIFS('센터 자재 사용내역(12월)'!G:G,'센터 자재 사용내역(12월)'!E:E,'사급자재 사용내역'!C121,'센터 자재 사용내역(12월)'!F:F,"교체")</f>
        <v>0</v>
      </c>
      <c r="Y121" s="40">
        <f t="shared" si="29"/>
        <v>1701</v>
      </c>
      <c r="Z121" s="53" t="s">
        <v>213</v>
      </c>
      <c r="AB121" s="56">
        <v>400</v>
      </c>
      <c r="AC121" s="29"/>
      <c r="AD121" s="29"/>
      <c r="AE121" s="29"/>
      <c r="AF121" s="29"/>
      <c r="AG121" s="29"/>
      <c r="AH121" s="29"/>
      <c r="AI121" s="29"/>
      <c r="AJ121" s="29"/>
      <c r="AK121" s="29"/>
      <c r="AL121" s="29"/>
      <c r="AM121" s="29"/>
      <c r="AN121" s="21">
        <f t="shared" si="30"/>
        <v>400</v>
      </c>
      <c r="AO121" s="57"/>
      <c r="AQ121" s="61">
        <f>SUMIFS('센터 자재 사용내역(01월)'!G:G,'센터 자재 사용내역(01월)'!E:E,'사급자재 사용내역'!C121,'센터 자재 사용내역(01월)'!F:F,"불량")</f>
        <v>0</v>
      </c>
      <c r="AR121" s="40">
        <f>SUMIFS('센터 자재 사용내역(02월)'!G:G,'센터 자재 사용내역(02월)'!E:E,'사급자재 사용내역'!C121,'센터 자재 사용내역(02월)'!F:F,"불량")</f>
        <v>0</v>
      </c>
      <c r="AS121" s="40">
        <f>SUMIFS('센터 자재 사용내역(03월)'!G:G,'센터 자재 사용내역(03월)'!E:E,'사급자재 사용내역'!C121,'센터 자재 사용내역(03월)'!F:F,"불량")</f>
        <v>0</v>
      </c>
      <c r="AT121" s="40">
        <f>SUMIFS('센터 자재 사용내역(04월)'!G:G,'센터 자재 사용내역(04월)'!E:E,'사급자재 사용내역'!C121,'센터 자재 사용내역(04월)'!F:F,"불량")</f>
        <v>0</v>
      </c>
      <c r="AU121" s="40">
        <f>SUMIFS('센터 자재 사용내역(05월)'!G:G,'센터 자재 사용내역(05월)'!E:E,'사급자재 사용내역'!C121,'센터 자재 사용내역(05월)'!F:F,"불량")</f>
        <v>0</v>
      </c>
      <c r="AV121" s="40">
        <f>SUMIFS('센터 자재 사용내역(06월)'!G:G,'센터 자재 사용내역(06월)'!E:E,'사급자재 사용내역'!C121,'센터 자재 사용내역(06월)'!F:F,"불량")</f>
        <v>0</v>
      </c>
      <c r="AW121" s="40">
        <f>SUMIFS('센터 자재 사용내역(07월)'!G:G,'센터 자재 사용내역(07월)'!E:E,'사급자재 사용내역'!C121,'센터 자재 사용내역(07월)'!F:F,"불량")</f>
        <v>0</v>
      </c>
      <c r="AX121" s="40">
        <f>SUMIFS('센터 자재 사용내역(08월)'!G:G,'센터 자재 사용내역(08월)'!E:E,'사급자재 사용내역'!C121,'센터 자재 사용내역(08월)'!F:F,"불량")</f>
        <v>0</v>
      </c>
      <c r="AY121" s="40">
        <f>SUMIFS('센터 자재 사용내역(09월)'!G:G,'센터 자재 사용내역(09월)'!E:E,'사급자재 사용내역'!C121,'센터 자재 사용내역(09월)'!F:F,"불량")</f>
        <v>0</v>
      </c>
      <c r="AZ121" s="40">
        <f>SUMIFS('센터 자재 사용내역(10월)'!G:G,'센터 자재 사용내역(10월)'!E:E,'사급자재 사용내역'!C121,'센터 자재 사용내역(10월)'!F:F,"불량")</f>
        <v>0</v>
      </c>
      <c r="BA121" s="40">
        <f>SUMIFS('센터 자재 사용내역(11월)'!G:G,'센터 자재 사용내역(11월)'!E:E,'사급자재 사용내역'!C121,'센터 자재 사용내역(11월)'!F:F,"불량")</f>
        <v>0</v>
      </c>
      <c r="BB121" s="40">
        <f>SUMIFS('센터 자재 사용내역(12월)'!G:G,'센터 자재 사용내역(12월)'!E:E,'사급자재 사용내역'!C121,'센터 자재 사용내역(12월)'!F:F,"불량")</f>
        <v>0</v>
      </c>
      <c r="BC121" s="40">
        <f t="shared" si="35"/>
        <v>0</v>
      </c>
      <c r="BD121" s="62"/>
    </row>
    <row r="122" spans="2:56" ht="19.5" customHeight="1">
      <c r="B122" s="99"/>
      <c r="C122" s="23" t="s">
        <v>63</v>
      </c>
      <c r="D122" s="64" t="s">
        <v>131</v>
      </c>
      <c r="E122" s="67">
        <v>137</v>
      </c>
      <c r="F122" s="47">
        <v>0</v>
      </c>
      <c r="G122" s="46"/>
      <c r="H122" s="78"/>
      <c r="I122" s="90">
        <f t="shared" si="25"/>
        <v>0</v>
      </c>
      <c r="J122" s="89">
        <f t="shared" si="27"/>
        <v>137</v>
      </c>
      <c r="K122" s="78">
        <f t="shared" si="26"/>
        <v>0</v>
      </c>
      <c r="L122" s="84">
        <f t="shared" si="28"/>
        <v>0</v>
      </c>
      <c r="M122" s="79">
        <f>SUMIFS('센터 자재 사용내역(01월)'!G:G,'센터 자재 사용내역(01월)'!E:E,'사급자재 사용내역'!C122,'센터 자재 사용내역(01월)'!F:F,"신규")+SUMIFS('센터 자재 사용내역(01월)'!G:G,'센터 자재 사용내역(01월)'!E:E,'사급자재 사용내역'!C122,'센터 자재 사용내역(01월)'!F:F,"교체")</f>
        <v>8</v>
      </c>
      <c r="N122" s="40">
        <f>SUMIFS('센터 자재 사용내역(02월)'!G:G,'센터 자재 사용내역(02월)'!E:E,'사급자재 사용내역'!C122,'센터 자재 사용내역(02월)'!F:F,"신규")+SUMIFS('센터 자재 사용내역(02월)'!G:G,'센터 자재 사용내역(02월)'!E:E,'사급자재 사용내역'!C122,'센터 자재 사용내역(02월)'!F:F,"교체")</f>
        <v>8</v>
      </c>
      <c r="O122" s="40">
        <f>SUMIFS('센터 자재 사용내역(03월)'!G:G,'센터 자재 사용내역(03월)'!E:E,'사급자재 사용내역'!C122,'센터 자재 사용내역(03월)'!F:F,"신규")+SUMIFS('센터 자재 사용내역(03월)'!G:G,'센터 자재 사용내역(03월)'!E:E,'사급자재 사용내역'!C122,'센터 자재 사용내역(03월)'!F:F,"교체")</f>
        <v>3</v>
      </c>
      <c r="P122" s="40">
        <f>SUMIFS('센터 자재 사용내역(04월)'!G:G,'센터 자재 사용내역(04월)'!E:E,'사급자재 사용내역'!C122,'센터 자재 사용내역(04월)'!F:F,"신규")+SUMIFS('센터 자재 사용내역(04월)'!G:G,'센터 자재 사용내역(04월)'!E:E,'사급자재 사용내역'!C122,'센터 자재 사용내역(04월)'!F:F,"교체")</f>
        <v>5</v>
      </c>
      <c r="Q122" s="40">
        <f>SUMIFS('센터 자재 사용내역(05월)'!G:G,'센터 자재 사용내역(05월)'!E:E,'사급자재 사용내역'!C122,'센터 자재 사용내역(05월)'!F:F,"신규")+SUMIFS('센터 자재 사용내역(05월)'!G:G,'센터 자재 사용내역(05월)'!E:E,'사급자재 사용내역'!C122,'센터 자재 사용내역(05월)'!F:F,"교체")</f>
        <v>15</v>
      </c>
      <c r="R122" s="40">
        <f>SUMIFS('센터 자재 사용내역(06월)'!G:G,'센터 자재 사용내역(06월)'!E:E,'사급자재 사용내역'!C122,'센터 자재 사용내역(06월)'!F:F,"신규")+SUMIFS('센터 자재 사용내역(06월)'!G:G,'센터 자재 사용내역(06월)'!E:E,'사급자재 사용내역'!C122,'센터 자재 사용내역(06월)'!F:F,"교체")</f>
        <v>76</v>
      </c>
      <c r="S122" s="40">
        <f>SUMIFS('센터 자재 사용내역(07월)'!G:G,'센터 자재 사용내역(07월)'!E:E,'사급자재 사용내역'!C122,'센터 자재 사용내역(07월)'!F:F,"신규")+SUMIFS('센터 자재 사용내역(07월)'!G:G,'센터 자재 사용내역(07월)'!E:E,'사급자재 사용내역'!C122,'센터 자재 사용내역(07월)'!F:F,"교체")</f>
        <v>22</v>
      </c>
      <c r="T122" s="40">
        <f>SUMIFS('센터 자재 사용내역(08월)'!G:G,'센터 자재 사용내역(08월)'!E:E,'사급자재 사용내역'!C122,'센터 자재 사용내역(08월)'!F:F,"신규")+SUMIFS('센터 자재 사용내역(08월)'!G:G,'센터 자재 사용내역(08월)'!E:E,'사급자재 사용내역'!C122,'센터 자재 사용내역(08월)'!F:F,"교체")</f>
        <v>0</v>
      </c>
      <c r="U122" s="40">
        <f>SUMIFS('센터 자재 사용내역(09월)'!G:G,'센터 자재 사용내역(09월)'!E:E,'사급자재 사용내역'!C122,'센터 자재 사용내역(09월)'!F:F,"신규")+SUMIFS('센터 자재 사용내역(09월)'!G:G,'센터 자재 사용내역(09월)'!E:E,'사급자재 사용내역'!C122,'센터 자재 사용내역(09월)'!F:F,"교체")</f>
        <v>0</v>
      </c>
      <c r="V122" s="40">
        <f>SUMIFS('센터 자재 사용내역(10월)'!G:G,'센터 자재 사용내역(10월)'!E:E,'사급자재 사용내역'!C122,'센터 자재 사용내역(10월)'!F:F,"신규")+SUMIFS('센터 자재 사용내역(10월)'!G:G,'센터 자재 사용내역(10월)'!E:E,'사급자재 사용내역'!C122,'센터 자재 사용내역(10월)'!F:F,"교체")</f>
        <v>0</v>
      </c>
      <c r="W122" s="40">
        <f>SUMIFS('센터 자재 사용내역(11월)'!G:G,'센터 자재 사용내역(11월)'!E:E,'사급자재 사용내역'!C122,'센터 자재 사용내역(11월)'!F:F,"신규")+SUMIFS('센터 자재 사용내역(11월)'!G:G,'센터 자재 사용내역(11월)'!E:E,'사급자재 사용내역'!C122,'센터 자재 사용내역(11월)'!F:F,"교체")</f>
        <v>0</v>
      </c>
      <c r="X122" s="40">
        <f>SUMIFS('센터 자재 사용내역(12월)'!G:G,'센터 자재 사용내역(12월)'!E:E,'사급자재 사용내역'!C122,'센터 자재 사용내역(12월)'!F:F,"신규")+SUMIFS('센터 자재 사용내역(12월)'!G:G,'센터 자재 사용내역(12월)'!E:E,'사급자재 사용내역'!C122,'센터 자재 사용내역(12월)'!F:F,"교체")</f>
        <v>0</v>
      </c>
      <c r="Y122" s="40">
        <f t="shared" si="29"/>
        <v>137</v>
      </c>
      <c r="Z122" s="53"/>
      <c r="AB122" s="56"/>
      <c r="AC122" s="29"/>
      <c r="AD122" s="29"/>
      <c r="AE122" s="29"/>
      <c r="AF122" s="29"/>
      <c r="AG122" s="29"/>
      <c r="AH122" s="29"/>
      <c r="AI122" s="29"/>
      <c r="AJ122" s="29"/>
      <c r="AK122" s="29"/>
      <c r="AL122" s="29"/>
      <c r="AM122" s="29"/>
      <c r="AN122" s="21">
        <f t="shared" si="30"/>
        <v>0</v>
      </c>
      <c r="AO122" s="57"/>
      <c r="AQ122" s="61">
        <f>SUMIFS('센터 자재 사용내역(01월)'!G:G,'센터 자재 사용내역(01월)'!E:E,'사급자재 사용내역'!C122,'센터 자재 사용내역(01월)'!F:F,"불량")</f>
        <v>0</v>
      </c>
      <c r="AR122" s="40">
        <f>SUMIFS('센터 자재 사용내역(02월)'!G:G,'센터 자재 사용내역(02월)'!E:E,'사급자재 사용내역'!C122,'센터 자재 사용내역(02월)'!F:F,"불량")</f>
        <v>0</v>
      </c>
      <c r="AS122" s="40">
        <f>SUMIFS('센터 자재 사용내역(03월)'!G:G,'센터 자재 사용내역(03월)'!E:E,'사급자재 사용내역'!C122,'센터 자재 사용내역(03월)'!F:F,"불량")</f>
        <v>0</v>
      </c>
      <c r="AT122" s="40">
        <f>SUMIFS('센터 자재 사용내역(04월)'!G:G,'센터 자재 사용내역(04월)'!E:E,'사급자재 사용내역'!C122,'센터 자재 사용내역(04월)'!F:F,"불량")</f>
        <v>0</v>
      </c>
      <c r="AU122" s="40">
        <f>SUMIFS('센터 자재 사용내역(05월)'!G:G,'센터 자재 사용내역(05월)'!E:E,'사급자재 사용내역'!C122,'센터 자재 사용내역(05월)'!F:F,"불량")</f>
        <v>0</v>
      </c>
      <c r="AV122" s="40">
        <f>SUMIFS('센터 자재 사용내역(06월)'!G:G,'센터 자재 사용내역(06월)'!E:E,'사급자재 사용내역'!C122,'센터 자재 사용내역(06월)'!F:F,"불량")</f>
        <v>0</v>
      </c>
      <c r="AW122" s="40">
        <f>SUMIFS('센터 자재 사용내역(07월)'!G:G,'센터 자재 사용내역(07월)'!E:E,'사급자재 사용내역'!C122,'센터 자재 사용내역(07월)'!F:F,"불량")</f>
        <v>0</v>
      </c>
      <c r="AX122" s="40">
        <f>SUMIFS('센터 자재 사용내역(08월)'!G:G,'센터 자재 사용내역(08월)'!E:E,'사급자재 사용내역'!C122,'센터 자재 사용내역(08월)'!F:F,"불량")</f>
        <v>0</v>
      </c>
      <c r="AY122" s="40">
        <f>SUMIFS('센터 자재 사용내역(09월)'!G:G,'센터 자재 사용내역(09월)'!E:E,'사급자재 사용내역'!C122,'센터 자재 사용내역(09월)'!F:F,"불량")</f>
        <v>0</v>
      </c>
      <c r="AZ122" s="40">
        <f>SUMIFS('센터 자재 사용내역(10월)'!G:G,'센터 자재 사용내역(10월)'!E:E,'사급자재 사용내역'!C122,'센터 자재 사용내역(10월)'!F:F,"불량")</f>
        <v>0</v>
      </c>
      <c r="BA122" s="40">
        <f>SUMIFS('센터 자재 사용내역(11월)'!G:G,'센터 자재 사용내역(11월)'!E:E,'사급자재 사용내역'!C122,'센터 자재 사용내역(11월)'!F:F,"불량")</f>
        <v>0</v>
      </c>
      <c r="BB122" s="40">
        <f>SUMIFS('센터 자재 사용내역(12월)'!G:G,'센터 자재 사용내역(12월)'!E:E,'사급자재 사용내역'!C122,'센터 자재 사용내역(12월)'!F:F,"불량")</f>
        <v>0</v>
      </c>
      <c r="BC122" s="40">
        <f t="shared" si="35"/>
        <v>0</v>
      </c>
      <c r="BD122" s="62"/>
    </row>
    <row r="123" spans="2:56" ht="19.5" customHeight="1">
      <c r="B123" s="99"/>
      <c r="C123" s="23" t="s">
        <v>64</v>
      </c>
      <c r="D123" s="64" t="s">
        <v>131</v>
      </c>
      <c r="E123" s="67">
        <v>164</v>
      </c>
      <c r="F123" s="47">
        <v>0</v>
      </c>
      <c r="G123" s="46"/>
      <c r="H123" s="78"/>
      <c r="I123" s="90">
        <f t="shared" si="25"/>
        <v>0</v>
      </c>
      <c r="J123" s="89">
        <f t="shared" si="27"/>
        <v>513</v>
      </c>
      <c r="K123" s="78">
        <f t="shared" si="26"/>
        <v>400</v>
      </c>
      <c r="L123" s="84">
        <f t="shared" si="28"/>
        <v>51</v>
      </c>
      <c r="M123" s="79">
        <f>SUMIFS('센터 자재 사용내역(01월)'!G:G,'센터 자재 사용내역(01월)'!E:E,'사급자재 사용내역'!C123,'센터 자재 사용내역(01월)'!F:F,"신규")+SUMIFS('센터 자재 사용내역(01월)'!G:G,'센터 자재 사용내역(01월)'!E:E,'사급자재 사용내역'!C123,'센터 자재 사용내역(01월)'!F:F,"교체")</f>
        <v>67</v>
      </c>
      <c r="N123" s="40">
        <f>SUMIFS('센터 자재 사용내역(02월)'!G:G,'센터 자재 사용내역(02월)'!E:E,'사급자재 사용내역'!C123,'센터 자재 사용내역(02월)'!F:F,"신규")+SUMIFS('센터 자재 사용내역(02월)'!G:G,'센터 자재 사용내역(02월)'!E:E,'사급자재 사용내역'!C123,'센터 자재 사용내역(02월)'!F:F,"교체")</f>
        <v>77</v>
      </c>
      <c r="O123" s="40">
        <f>SUMIFS('센터 자재 사용내역(03월)'!G:G,'센터 자재 사용내역(03월)'!E:E,'사급자재 사용내역'!C123,'센터 자재 사용내역(03월)'!F:F,"신규")+SUMIFS('센터 자재 사용내역(03월)'!G:G,'센터 자재 사용내역(03월)'!E:E,'사급자재 사용내역'!C123,'센터 자재 사용내역(03월)'!F:F,"교체")</f>
        <v>54</v>
      </c>
      <c r="P123" s="40">
        <f>SUMIFS('센터 자재 사용내역(04월)'!G:G,'센터 자재 사용내역(04월)'!E:E,'사급자재 사용내역'!C123,'센터 자재 사용내역(04월)'!F:F,"신규")+SUMIFS('센터 자재 사용내역(04월)'!G:G,'센터 자재 사용내역(04월)'!E:E,'사급자재 사용내역'!C123,'센터 자재 사용내역(04월)'!F:F,"교체")</f>
        <v>61</v>
      </c>
      <c r="Q123" s="40">
        <f>SUMIFS('센터 자재 사용내역(05월)'!G:G,'센터 자재 사용내역(05월)'!E:E,'사급자재 사용내역'!C123,'센터 자재 사용내역(05월)'!F:F,"신규")+SUMIFS('센터 자재 사용내역(05월)'!G:G,'센터 자재 사용내역(05월)'!E:E,'사급자재 사용내역'!C123,'센터 자재 사용내역(05월)'!F:F,"교체")</f>
        <v>99</v>
      </c>
      <c r="R123" s="40">
        <f>SUMIFS('센터 자재 사용내역(06월)'!G:G,'센터 자재 사용내역(06월)'!E:E,'사급자재 사용내역'!C123,'센터 자재 사용내역(06월)'!F:F,"신규")+SUMIFS('센터 자재 사용내역(06월)'!G:G,'센터 자재 사용내역(06월)'!E:E,'사급자재 사용내역'!C123,'센터 자재 사용내역(06월)'!F:F,"교체")</f>
        <v>5</v>
      </c>
      <c r="S123" s="40">
        <f>SUMIFS('센터 자재 사용내역(07월)'!G:G,'센터 자재 사용내역(07월)'!E:E,'사급자재 사용내역'!C123,'센터 자재 사용내역(07월)'!F:F,"신규")+SUMIFS('센터 자재 사용내역(07월)'!G:G,'센터 자재 사용내역(07월)'!E:E,'사급자재 사용내역'!C123,'센터 자재 사용내역(07월)'!F:F,"교체")</f>
        <v>62</v>
      </c>
      <c r="T123" s="40">
        <f>SUMIFS('센터 자재 사용내역(08월)'!G:G,'센터 자재 사용내역(08월)'!E:E,'사급자재 사용내역'!C123,'센터 자재 사용내역(08월)'!F:F,"신규")+SUMIFS('센터 자재 사용내역(08월)'!G:G,'센터 자재 사용내역(08월)'!E:E,'사급자재 사용내역'!C123,'센터 자재 사용내역(08월)'!F:F,"교체")</f>
        <v>88</v>
      </c>
      <c r="U123" s="40">
        <f>SUMIFS('센터 자재 사용내역(09월)'!G:G,'센터 자재 사용내역(09월)'!E:E,'사급자재 사용내역'!C123,'센터 자재 사용내역(09월)'!F:F,"신규")+SUMIFS('센터 자재 사용내역(09월)'!G:G,'센터 자재 사용내역(09월)'!E:E,'사급자재 사용내역'!C123,'센터 자재 사용내역(09월)'!F:F,"교체")</f>
        <v>0</v>
      </c>
      <c r="V123" s="40">
        <f>SUMIFS('센터 자재 사용내역(10월)'!G:G,'센터 자재 사용내역(10월)'!E:E,'사급자재 사용내역'!C123,'센터 자재 사용내역(10월)'!F:F,"신규")+SUMIFS('센터 자재 사용내역(10월)'!G:G,'센터 자재 사용내역(10월)'!E:E,'사급자재 사용내역'!C123,'센터 자재 사용내역(10월)'!F:F,"교체")</f>
        <v>0</v>
      </c>
      <c r="W123" s="40">
        <f>SUMIFS('센터 자재 사용내역(11월)'!G:G,'센터 자재 사용내역(11월)'!E:E,'사급자재 사용내역'!C123,'센터 자재 사용내역(11월)'!F:F,"신규")+SUMIFS('센터 자재 사용내역(11월)'!G:G,'센터 자재 사용내역(11월)'!E:E,'사급자재 사용내역'!C123,'센터 자재 사용내역(11월)'!F:F,"교체")</f>
        <v>0</v>
      </c>
      <c r="X123" s="40">
        <f>SUMIFS('센터 자재 사용내역(12월)'!G:G,'센터 자재 사용내역(12월)'!E:E,'사급자재 사용내역'!C123,'센터 자재 사용내역(12월)'!F:F,"신규")+SUMIFS('센터 자재 사용내역(12월)'!G:G,'센터 자재 사용내역(12월)'!E:E,'사급자재 사용내역'!C123,'센터 자재 사용내역(12월)'!F:F,"교체")</f>
        <v>0</v>
      </c>
      <c r="Y123" s="40">
        <f t="shared" si="29"/>
        <v>513</v>
      </c>
      <c r="Z123" s="53"/>
      <c r="AB123" s="56">
        <v>100</v>
      </c>
      <c r="AC123" s="29"/>
      <c r="AD123" s="29"/>
      <c r="AE123" s="29"/>
      <c r="AF123" s="29">
        <v>100</v>
      </c>
      <c r="AG123" s="29"/>
      <c r="AH123" s="29">
        <v>200</v>
      </c>
      <c r="AI123" s="29"/>
      <c r="AJ123" s="29"/>
      <c r="AK123" s="29"/>
      <c r="AL123" s="29"/>
      <c r="AM123" s="29"/>
      <c r="AN123" s="21">
        <f t="shared" si="30"/>
        <v>400</v>
      </c>
      <c r="AO123" s="57"/>
      <c r="AQ123" s="61">
        <f>SUMIFS('센터 자재 사용내역(01월)'!G:G,'센터 자재 사용내역(01월)'!E:E,'사급자재 사용내역'!C123,'센터 자재 사용내역(01월)'!F:F,"불량")</f>
        <v>0</v>
      </c>
      <c r="AR123" s="40">
        <f>SUMIFS('센터 자재 사용내역(02월)'!G:G,'센터 자재 사용내역(02월)'!E:E,'사급자재 사용내역'!C123,'센터 자재 사용내역(02월)'!F:F,"불량")</f>
        <v>0</v>
      </c>
      <c r="AS123" s="40">
        <f>SUMIFS('센터 자재 사용내역(03월)'!G:G,'센터 자재 사용내역(03월)'!E:E,'사급자재 사용내역'!C123,'센터 자재 사용내역(03월)'!F:F,"불량")</f>
        <v>0</v>
      </c>
      <c r="AT123" s="40">
        <f>SUMIFS('센터 자재 사용내역(04월)'!G:G,'센터 자재 사용내역(04월)'!E:E,'사급자재 사용내역'!C123,'센터 자재 사용내역(04월)'!F:F,"불량")</f>
        <v>0</v>
      </c>
      <c r="AU123" s="40">
        <f>SUMIFS('센터 자재 사용내역(05월)'!G:G,'센터 자재 사용내역(05월)'!E:E,'사급자재 사용내역'!C123,'센터 자재 사용내역(05월)'!F:F,"불량")</f>
        <v>0</v>
      </c>
      <c r="AV123" s="40">
        <f>SUMIFS('센터 자재 사용내역(06월)'!G:G,'센터 자재 사용내역(06월)'!E:E,'사급자재 사용내역'!C123,'센터 자재 사용내역(06월)'!F:F,"불량")</f>
        <v>0</v>
      </c>
      <c r="AW123" s="40">
        <f>SUMIFS('센터 자재 사용내역(07월)'!G:G,'센터 자재 사용내역(07월)'!E:E,'사급자재 사용내역'!C123,'센터 자재 사용내역(07월)'!F:F,"불량")</f>
        <v>0</v>
      </c>
      <c r="AX123" s="40">
        <f>SUMIFS('센터 자재 사용내역(08월)'!G:G,'센터 자재 사용내역(08월)'!E:E,'사급자재 사용내역'!C123,'센터 자재 사용내역(08월)'!F:F,"불량")</f>
        <v>0</v>
      </c>
      <c r="AY123" s="40">
        <f>SUMIFS('센터 자재 사용내역(09월)'!G:G,'센터 자재 사용내역(09월)'!E:E,'사급자재 사용내역'!C123,'센터 자재 사용내역(09월)'!F:F,"불량")</f>
        <v>0</v>
      </c>
      <c r="AZ123" s="40">
        <f>SUMIFS('센터 자재 사용내역(10월)'!G:G,'센터 자재 사용내역(10월)'!E:E,'사급자재 사용내역'!C123,'센터 자재 사용내역(10월)'!F:F,"불량")</f>
        <v>0</v>
      </c>
      <c r="BA123" s="40">
        <f>SUMIFS('센터 자재 사용내역(11월)'!G:G,'센터 자재 사용내역(11월)'!E:E,'사급자재 사용내역'!C123,'센터 자재 사용내역(11월)'!F:F,"불량")</f>
        <v>0</v>
      </c>
      <c r="BB123" s="40">
        <f>SUMIFS('센터 자재 사용내역(12월)'!G:G,'센터 자재 사용내역(12월)'!E:E,'사급자재 사용내역'!C123,'센터 자재 사용내역(12월)'!F:F,"불량")</f>
        <v>0</v>
      </c>
      <c r="BC123" s="40">
        <f t="shared" si="35"/>
        <v>0</v>
      </c>
      <c r="BD123" s="62"/>
    </row>
    <row r="124" spans="2:56" ht="19.5" customHeight="1">
      <c r="B124" s="99"/>
      <c r="C124" s="23" t="s">
        <v>125</v>
      </c>
      <c r="D124" s="64" t="s">
        <v>129</v>
      </c>
      <c r="E124" s="67">
        <v>23</v>
      </c>
      <c r="F124" s="47">
        <v>0</v>
      </c>
      <c r="G124" s="46"/>
      <c r="H124" s="78"/>
      <c r="I124" s="90">
        <f t="shared" si="25"/>
        <v>0</v>
      </c>
      <c r="J124" s="89">
        <f t="shared" si="27"/>
        <v>19</v>
      </c>
      <c r="K124" s="78">
        <f t="shared" si="26"/>
        <v>0</v>
      </c>
      <c r="L124" s="84">
        <f t="shared" si="28"/>
        <v>4</v>
      </c>
      <c r="M124" s="79">
        <f>SUMIFS('센터 자재 사용내역(01월)'!G:G,'센터 자재 사용내역(01월)'!E:E,'사급자재 사용내역'!C124,'센터 자재 사용내역(01월)'!F:F,"신규")+SUMIFS('센터 자재 사용내역(01월)'!G:G,'센터 자재 사용내역(01월)'!E:E,'사급자재 사용내역'!C124,'센터 자재 사용내역(01월)'!F:F,"교체")</f>
        <v>3</v>
      </c>
      <c r="N124" s="40">
        <f>SUMIFS('센터 자재 사용내역(02월)'!G:G,'센터 자재 사용내역(02월)'!E:E,'사급자재 사용내역'!C124,'센터 자재 사용내역(02월)'!F:F,"신규")+SUMIFS('센터 자재 사용내역(02월)'!G:G,'센터 자재 사용내역(02월)'!E:E,'사급자재 사용내역'!C124,'센터 자재 사용내역(02월)'!F:F,"교체")</f>
        <v>2</v>
      </c>
      <c r="O124" s="40">
        <f>SUMIFS('센터 자재 사용내역(03월)'!G:G,'센터 자재 사용내역(03월)'!E:E,'사급자재 사용내역'!C124,'센터 자재 사용내역(03월)'!F:F,"신규")+SUMIFS('센터 자재 사용내역(03월)'!G:G,'센터 자재 사용내역(03월)'!E:E,'사급자재 사용내역'!C124,'센터 자재 사용내역(03월)'!F:F,"교체")</f>
        <v>10</v>
      </c>
      <c r="P124" s="40">
        <f>SUMIFS('센터 자재 사용내역(04월)'!G:G,'센터 자재 사용내역(04월)'!E:E,'사급자재 사용내역'!C124,'센터 자재 사용내역(04월)'!F:F,"신규")+SUMIFS('센터 자재 사용내역(04월)'!G:G,'센터 자재 사용내역(04월)'!E:E,'사급자재 사용내역'!C124,'센터 자재 사용내역(04월)'!F:F,"교체")</f>
        <v>3</v>
      </c>
      <c r="Q124" s="40">
        <f>SUMIFS('센터 자재 사용내역(05월)'!G:G,'센터 자재 사용내역(05월)'!E:E,'사급자재 사용내역'!C124,'센터 자재 사용내역(05월)'!F:F,"신규")+SUMIFS('센터 자재 사용내역(05월)'!G:G,'센터 자재 사용내역(05월)'!E:E,'사급자재 사용내역'!C124,'센터 자재 사용내역(05월)'!F:F,"교체")</f>
        <v>0</v>
      </c>
      <c r="R124" s="40">
        <f>SUMIFS('센터 자재 사용내역(06월)'!G:G,'센터 자재 사용내역(06월)'!E:E,'사급자재 사용내역'!C124,'센터 자재 사용내역(06월)'!F:F,"신규")+SUMIFS('센터 자재 사용내역(06월)'!G:G,'센터 자재 사용내역(06월)'!E:E,'사급자재 사용내역'!C124,'센터 자재 사용내역(06월)'!F:F,"교체")</f>
        <v>0</v>
      </c>
      <c r="S124" s="40">
        <f>SUMIFS('센터 자재 사용내역(07월)'!G:G,'센터 자재 사용내역(07월)'!E:E,'사급자재 사용내역'!C124,'센터 자재 사용내역(07월)'!F:F,"신규")+SUMIFS('센터 자재 사용내역(07월)'!G:G,'센터 자재 사용내역(07월)'!E:E,'사급자재 사용내역'!C124,'센터 자재 사용내역(07월)'!F:F,"교체")</f>
        <v>0</v>
      </c>
      <c r="T124" s="40">
        <f>SUMIFS('센터 자재 사용내역(08월)'!G:G,'센터 자재 사용내역(08월)'!E:E,'사급자재 사용내역'!C124,'센터 자재 사용내역(08월)'!F:F,"신규")+SUMIFS('센터 자재 사용내역(08월)'!G:G,'센터 자재 사용내역(08월)'!E:E,'사급자재 사용내역'!C124,'센터 자재 사용내역(08월)'!F:F,"교체")</f>
        <v>1</v>
      </c>
      <c r="U124" s="40">
        <f>SUMIFS('센터 자재 사용내역(09월)'!G:G,'센터 자재 사용내역(09월)'!E:E,'사급자재 사용내역'!C124,'센터 자재 사용내역(09월)'!F:F,"신규")+SUMIFS('센터 자재 사용내역(09월)'!G:G,'센터 자재 사용내역(09월)'!E:E,'사급자재 사용내역'!C124,'센터 자재 사용내역(09월)'!F:F,"교체")</f>
        <v>0</v>
      </c>
      <c r="V124" s="40">
        <f>SUMIFS('센터 자재 사용내역(10월)'!G:G,'센터 자재 사용내역(10월)'!E:E,'사급자재 사용내역'!C124,'센터 자재 사용내역(10월)'!F:F,"신규")+SUMIFS('센터 자재 사용내역(10월)'!G:G,'센터 자재 사용내역(10월)'!E:E,'사급자재 사용내역'!C124,'센터 자재 사용내역(10월)'!F:F,"교체")</f>
        <v>0</v>
      </c>
      <c r="W124" s="40">
        <f>SUMIFS('센터 자재 사용내역(11월)'!G:G,'센터 자재 사용내역(11월)'!E:E,'사급자재 사용내역'!C124,'센터 자재 사용내역(11월)'!F:F,"신규")+SUMIFS('센터 자재 사용내역(11월)'!G:G,'센터 자재 사용내역(11월)'!E:E,'사급자재 사용내역'!C124,'센터 자재 사용내역(11월)'!F:F,"교체")</f>
        <v>0</v>
      </c>
      <c r="X124" s="40">
        <f>SUMIFS('센터 자재 사용내역(12월)'!G:G,'센터 자재 사용내역(12월)'!E:E,'사급자재 사용내역'!C124,'센터 자재 사용내역(12월)'!F:F,"신규")+SUMIFS('센터 자재 사용내역(12월)'!G:G,'센터 자재 사용내역(12월)'!E:E,'사급자재 사용내역'!C124,'센터 자재 사용내역(12월)'!F:F,"교체")</f>
        <v>0</v>
      </c>
      <c r="Y124" s="40">
        <f t="shared" si="29"/>
        <v>19</v>
      </c>
      <c r="Z124" s="53"/>
      <c r="AB124" s="56"/>
      <c r="AC124" s="29"/>
      <c r="AD124" s="29"/>
      <c r="AE124" s="29"/>
      <c r="AF124" s="29"/>
      <c r="AG124" s="29"/>
      <c r="AH124" s="29"/>
      <c r="AI124" s="29"/>
      <c r="AJ124" s="29"/>
      <c r="AK124" s="29"/>
      <c r="AL124" s="29"/>
      <c r="AM124" s="29"/>
      <c r="AN124" s="21">
        <f t="shared" si="30"/>
        <v>0</v>
      </c>
      <c r="AO124" s="57"/>
      <c r="AQ124" s="61">
        <f>SUMIFS('센터 자재 사용내역(01월)'!G:G,'센터 자재 사용내역(01월)'!E:E,'사급자재 사용내역'!C124,'센터 자재 사용내역(01월)'!F:F,"불량")</f>
        <v>0</v>
      </c>
      <c r="AR124" s="40">
        <f>SUMIFS('센터 자재 사용내역(02월)'!G:G,'센터 자재 사용내역(02월)'!E:E,'사급자재 사용내역'!C124,'센터 자재 사용내역(02월)'!F:F,"불량")</f>
        <v>0</v>
      </c>
      <c r="AS124" s="40">
        <f>SUMIFS('센터 자재 사용내역(03월)'!G:G,'센터 자재 사용내역(03월)'!E:E,'사급자재 사용내역'!C124,'센터 자재 사용내역(03월)'!F:F,"불량")</f>
        <v>0</v>
      </c>
      <c r="AT124" s="40">
        <f>SUMIFS('센터 자재 사용내역(04월)'!G:G,'센터 자재 사용내역(04월)'!E:E,'사급자재 사용내역'!C124,'센터 자재 사용내역(04월)'!F:F,"불량")</f>
        <v>0</v>
      </c>
      <c r="AU124" s="40">
        <f>SUMIFS('센터 자재 사용내역(05월)'!G:G,'센터 자재 사용내역(05월)'!E:E,'사급자재 사용내역'!C124,'센터 자재 사용내역(05월)'!F:F,"불량")</f>
        <v>0</v>
      </c>
      <c r="AV124" s="40">
        <f>SUMIFS('센터 자재 사용내역(06월)'!G:G,'센터 자재 사용내역(06월)'!E:E,'사급자재 사용내역'!C124,'센터 자재 사용내역(06월)'!F:F,"불량")</f>
        <v>0</v>
      </c>
      <c r="AW124" s="40">
        <f>SUMIFS('센터 자재 사용내역(07월)'!G:G,'센터 자재 사용내역(07월)'!E:E,'사급자재 사용내역'!C124,'센터 자재 사용내역(07월)'!F:F,"불량")</f>
        <v>0</v>
      </c>
      <c r="AX124" s="40">
        <f>SUMIFS('센터 자재 사용내역(08월)'!G:G,'센터 자재 사용내역(08월)'!E:E,'사급자재 사용내역'!C124,'센터 자재 사용내역(08월)'!F:F,"불량")</f>
        <v>0</v>
      </c>
      <c r="AY124" s="40">
        <f>SUMIFS('센터 자재 사용내역(09월)'!G:G,'센터 자재 사용내역(09월)'!E:E,'사급자재 사용내역'!C124,'센터 자재 사용내역(09월)'!F:F,"불량")</f>
        <v>0</v>
      </c>
      <c r="AZ124" s="40">
        <f>SUMIFS('센터 자재 사용내역(10월)'!G:G,'센터 자재 사용내역(10월)'!E:E,'사급자재 사용내역'!C124,'센터 자재 사용내역(10월)'!F:F,"불량")</f>
        <v>0</v>
      </c>
      <c r="BA124" s="40">
        <f>SUMIFS('센터 자재 사용내역(11월)'!G:G,'센터 자재 사용내역(11월)'!E:E,'사급자재 사용내역'!C124,'센터 자재 사용내역(11월)'!F:F,"불량")</f>
        <v>0</v>
      </c>
      <c r="BB124" s="40">
        <f>SUMIFS('센터 자재 사용내역(12월)'!G:G,'센터 자재 사용내역(12월)'!E:E,'사급자재 사용내역'!C124,'센터 자재 사용내역(12월)'!F:F,"불량")</f>
        <v>0</v>
      </c>
      <c r="BC124" s="40">
        <f t="shared" si="35"/>
        <v>0</v>
      </c>
      <c r="BD124" s="62"/>
    </row>
    <row r="125" spans="2:56" ht="19.5" customHeight="1">
      <c r="B125" s="99"/>
      <c r="C125" s="23" t="s">
        <v>65</v>
      </c>
      <c r="D125" s="64" t="s">
        <v>131</v>
      </c>
      <c r="E125" s="67">
        <v>87</v>
      </c>
      <c r="F125" s="47">
        <v>0</v>
      </c>
      <c r="G125" s="46"/>
      <c r="H125" s="78"/>
      <c r="I125" s="90">
        <f t="shared" si="25"/>
        <v>0</v>
      </c>
      <c r="J125" s="89">
        <f t="shared" si="27"/>
        <v>64</v>
      </c>
      <c r="K125" s="78">
        <f t="shared" si="26"/>
        <v>0</v>
      </c>
      <c r="L125" s="84">
        <f t="shared" si="28"/>
        <v>23</v>
      </c>
      <c r="M125" s="79">
        <f>SUMIFS('센터 자재 사용내역(01월)'!G:G,'센터 자재 사용내역(01월)'!E:E,'사급자재 사용내역'!C125,'센터 자재 사용내역(01월)'!F:F,"신규")+SUMIFS('센터 자재 사용내역(01월)'!G:G,'센터 자재 사용내역(01월)'!E:E,'사급자재 사용내역'!C125,'센터 자재 사용내역(01월)'!F:F,"교체")</f>
        <v>10</v>
      </c>
      <c r="N125" s="40">
        <f>SUMIFS('센터 자재 사용내역(02월)'!G:G,'센터 자재 사용내역(02월)'!E:E,'사급자재 사용내역'!C125,'센터 자재 사용내역(02월)'!F:F,"신규")+SUMIFS('센터 자재 사용내역(02월)'!G:G,'센터 자재 사용내역(02월)'!E:E,'사급자재 사용내역'!C125,'센터 자재 사용내역(02월)'!F:F,"교체")</f>
        <v>5</v>
      </c>
      <c r="O125" s="40">
        <f>SUMIFS('센터 자재 사용내역(03월)'!G:G,'센터 자재 사용내역(03월)'!E:E,'사급자재 사용내역'!C125,'센터 자재 사용내역(03월)'!F:F,"신규")+SUMIFS('센터 자재 사용내역(03월)'!G:G,'센터 자재 사용내역(03월)'!E:E,'사급자재 사용내역'!C125,'센터 자재 사용내역(03월)'!F:F,"교체")</f>
        <v>10</v>
      </c>
      <c r="P125" s="40">
        <f>SUMIFS('센터 자재 사용내역(04월)'!G:G,'센터 자재 사용내역(04월)'!E:E,'사급자재 사용내역'!C125,'센터 자재 사용내역(04월)'!F:F,"신규")+SUMIFS('센터 자재 사용내역(04월)'!G:G,'센터 자재 사용내역(04월)'!E:E,'사급자재 사용내역'!C125,'센터 자재 사용내역(04월)'!F:F,"교체")</f>
        <v>3</v>
      </c>
      <c r="Q125" s="40">
        <f>SUMIFS('센터 자재 사용내역(05월)'!G:G,'센터 자재 사용내역(05월)'!E:E,'사급자재 사용내역'!C125,'센터 자재 사용내역(05월)'!F:F,"신규")+SUMIFS('센터 자재 사용내역(05월)'!G:G,'센터 자재 사용내역(05월)'!E:E,'사급자재 사용내역'!C125,'센터 자재 사용내역(05월)'!F:F,"교체")</f>
        <v>6</v>
      </c>
      <c r="R125" s="40">
        <f>SUMIFS('센터 자재 사용내역(06월)'!G:G,'센터 자재 사용내역(06월)'!E:E,'사급자재 사용내역'!C125,'센터 자재 사용내역(06월)'!F:F,"신규")+SUMIFS('센터 자재 사용내역(06월)'!G:G,'센터 자재 사용내역(06월)'!E:E,'사급자재 사용내역'!C125,'센터 자재 사용내역(06월)'!F:F,"교체")</f>
        <v>12</v>
      </c>
      <c r="S125" s="40">
        <f>SUMIFS('센터 자재 사용내역(07월)'!G:G,'센터 자재 사용내역(07월)'!E:E,'사급자재 사용내역'!C125,'센터 자재 사용내역(07월)'!F:F,"신규")+SUMIFS('센터 자재 사용내역(07월)'!G:G,'센터 자재 사용내역(07월)'!E:E,'사급자재 사용내역'!C125,'센터 자재 사용내역(07월)'!F:F,"교체")</f>
        <v>4</v>
      </c>
      <c r="T125" s="40">
        <f>SUMIFS('센터 자재 사용내역(08월)'!G:G,'센터 자재 사용내역(08월)'!E:E,'사급자재 사용내역'!C125,'센터 자재 사용내역(08월)'!F:F,"신규")+SUMIFS('센터 자재 사용내역(08월)'!G:G,'센터 자재 사용내역(08월)'!E:E,'사급자재 사용내역'!C125,'센터 자재 사용내역(08월)'!F:F,"교체")</f>
        <v>14</v>
      </c>
      <c r="U125" s="40">
        <f>SUMIFS('센터 자재 사용내역(09월)'!G:G,'센터 자재 사용내역(09월)'!E:E,'사급자재 사용내역'!C125,'센터 자재 사용내역(09월)'!F:F,"신규")+SUMIFS('센터 자재 사용내역(09월)'!G:G,'센터 자재 사용내역(09월)'!E:E,'사급자재 사용내역'!C125,'센터 자재 사용내역(09월)'!F:F,"교체")</f>
        <v>0</v>
      </c>
      <c r="V125" s="40">
        <f>SUMIFS('센터 자재 사용내역(10월)'!G:G,'센터 자재 사용내역(10월)'!E:E,'사급자재 사용내역'!C125,'센터 자재 사용내역(10월)'!F:F,"신규")+SUMIFS('센터 자재 사용내역(10월)'!G:G,'센터 자재 사용내역(10월)'!E:E,'사급자재 사용내역'!C125,'센터 자재 사용내역(10월)'!F:F,"교체")</f>
        <v>0</v>
      </c>
      <c r="W125" s="40">
        <f>SUMIFS('센터 자재 사용내역(11월)'!G:G,'센터 자재 사용내역(11월)'!E:E,'사급자재 사용내역'!C125,'센터 자재 사용내역(11월)'!F:F,"신규")+SUMIFS('센터 자재 사용내역(11월)'!G:G,'센터 자재 사용내역(11월)'!E:E,'사급자재 사용내역'!C125,'센터 자재 사용내역(11월)'!F:F,"교체")</f>
        <v>0</v>
      </c>
      <c r="X125" s="40">
        <f>SUMIFS('센터 자재 사용내역(12월)'!G:G,'센터 자재 사용내역(12월)'!E:E,'사급자재 사용내역'!C125,'센터 자재 사용내역(12월)'!F:F,"신규")+SUMIFS('센터 자재 사용내역(12월)'!G:G,'센터 자재 사용내역(12월)'!E:E,'사급자재 사용내역'!C125,'센터 자재 사용내역(12월)'!F:F,"교체")</f>
        <v>0</v>
      </c>
      <c r="Y125" s="40">
        <f t="shared" si="29"/>
        <v>64</v>
      </c>
      <c r="Z125" s="53"/>
      <c r="AB125" s="56"/>
      <c r="AC125" s="29"/>
      <c r="AD125" s="29"/>
      <c r="AE125" s="29"/>
      <c r="AF125" s="29"/>
      <c r="AG125" s="29"/>
      <c r="AH125" s="29"/>
      <c r="AI125" s="29"/>
      <c r="AJ125" s="29"/>
      <c r="AK125" s="29"/>
      <c r="AL125" s="29"/>
      <c r="AM125" s="29"/>
      <c r="AN125" s="21">
        <f t="shared" si="30"/>
        <v>0</v>
      </c>
      <c r="AO125" s="57"/>
      <c r="AQ125" s="61">
        <f>SUMIFS('센터 자재 사용내역(01월)'!G:G,'센터 자재 사용내역(01월)'!E:E,'사급자재 사용내역'!C125,'센터 자재 사용내역(01월)'!F:F,"불량")</f>
        <v>0</v>
      </c>
      <c r="AR125" s="40">
        <f>SUMIFS('센터 자재 사용내역(02월)'!G:G,'센터 자재 사용내역(02월)'!E:E,'사급자재 사용내역'!C125,'센터 자재 사용내역(02월)'!F:F,"불량")</f>
        <v>0</v>
      </c>
      <c r="AS125" s="40">
        <f>SUMIFS('센터 자재 사용내역(03월)'!G:G,'센터 자재 사용내역(03월)'!E:E,'사급자재 사용내역'!C125,'센터 자재 사용내역(03월)'!F:F,"불량")</f>
        <v>0</v>
      </c>
      <c r="AT125" s="40">
        <f>SUMIFS('센터 자재 사용내역(04월)'!G:G,'센터 자재 사용내역(04월)'!E:E,'사급자재 사용내역'!C125,'센터 자재 사용내역(04월)'!F:F,"불량")</f>
        <v>0</v>
      </c>
      <c r="AU125" s="40">
        <f>SUMIFS('센터 자재 사용내역(05월)'!G:G,'센터 자재 사용내역(05월)'!E:E,'사급자재 사용내역'!C125,'센터 자재 사용내역(05월)'!F:F,"불량")</f>
        <v>0</v>
      </c>
      <c r="AV125" s="40">
        <f>SUMIFS('센터 자재 사용내역(06월)'!G:G,'센터 자재 사용내역(06월)'!E:E,'사급자재 사용내역'!C125,'센터 자재 사용내역(06월)'!F:F,"불량")</f>
        <v>0</v>
      </c>
      <c r="AW125" s="40">
        <f>SUMIFS('센터 자재 사용내역(07월)'!G:G,'센터 자재 사용내역(07월)'!E:E,'사급자재 사용내역'!C125,'센터 자재 사용내역(07월)'!F:F,"불량")</f>
        <v>0</v>
      </c>
      <c r="AX125" s="40">
        <f>SUMIFS('센터 자재 사용내역(08월)'!G:G,'센터 자재 사용내역(08월)'!E:E,'사급자재 사용내역'!C125,'센터 자재 사용내역(08월)'!F:F,"불량")</f>
        <v>0</v>
      </c>
      <c r="AY125" s="40">
        <f>SUMIFS('센터 자재 사용내역(09월)'!G:G,'센터 자재 사용내역(09월)'!E:E,'사급자재 사용내역'!C125,'센터 자재 사용내역(09월)'!F:F,"불량")</f>
        <v>0</v>
      </c>
      <c r="AZ125" s="40">
        <f>SUMIFS('센터 자재 사용내역(10월)'!G:G,'센터 자재 사용내역(10월)'!E:E,'사급자재 사용내역'!C125,'센터 자재 사용내역(10월)'!F:F,"불량")</f>
        <v>0</v>
      </c>
      <c r="BA125" s="40">
        <f>SUMIFS('센터 자재 사용내역(11월)'!G:G,'센터 자재 사용내역(11월)'!E:E,'사급자재 사용내역'!C125,'센터 자재 사용내역(11월)'!F:F,"불량")</f>
        <v>0</v>
      </c>
      <c r="BB125" s="40">
        <f>SUMIFS('센터 자재 사용내역(12월)'!G:G,'센터 자재 사용내역(12월)'!E:E,'사급자재 사용내역'!C125,'센터 자재 사용내역(12월)'!F:F,"불량")</f>
        <v>0</v>
      </c>
      <c r="BC125" s="40">
        <f t="shared" si="35"/>
        <v>0</v>
      </c>
      <c r="BD125" s="62"/>
    </row>
    <row r="126" spans="2:56" ht="19.5" customHeight="1">
      <c r="B126" s="99"/>
      <c r="C126" s="23" t="s">
        <v>218</v>
      </c>
      <c r="D126" s="64" t="s">
        <v>131</v>
      </c>
      <c r="E126" s="67">
        <v>0</v>
      </c>
      <c r="F126" s="47">
        <v>0</v>
      </c>
      <c r="G126" s="46"/>
      <c r="H126" s="78"/>
      <c r="I126" s="90">
        <f t="shared" si="25"/>
        <v>0</v>
      </c>
      <c r="J126" s="89">
        <f t="shared" si="27"/>
        <v>0</v>
      </c>
      <c r="K126" s="78">
        <f t="shared" si="26"/>
        <v>0</v>
      </c>
      <c r="L126" s="84">
        <f t="shared" si="28"/>
        <v>0</v>
      </c>
      <c r="M126" s="79">
        <f>SUMIFS('센터 자재 사용내역(01월)'!G:G,'센터 자재 사용내역(01월)'!E:E,'사급자재 사용내역'!C126,'센터 자재 사용내역(01월)'!F:F,"신규")+SUMIFS('센터 자재 사용내역(01월)'!G:G,'센터 자재 사용내역(01월)'!E:E,'사급자재 사용내역'!C126,'센터 자재 사용내역(01월)'!F:F,"교체")</f>
        <v>0</v>
      </c>
      <c r="N126" s="40">
        <f>SUMIFS('센터 자재 사용내역(02월)'!G:G,'센터 자재 사용내역(02월)'!E:E,'사급자재 사용내역'!C126,'센터 자재 사용내역(02월)'!F:F,"신규")+SUMIFS('센터 자재 사용내역(02월)'!G:G,'센터 자재 사용내역(02월)'!E:E,'사급자재 사용내역'!C126,'센터 자재 사용내역(02월)'!F:F,"교체")</f>
        <v>0</v>
      </c>
      <c r="O126" s="40">
        <f>SUMIFS('센터 자재 사용내역(03월)'!G:G,'센터 자재 사용내역(03월)'!E:E,'사급자재 사용내역'!C126,'센터 자재 사용내역(03월)'!F:F,"신규")+SUMIFS('센터 자재 사용내역(03월)'!G:G,'센터 자재 사용내역(03월)'!E:E,'사급자재 사용내역'!C126,'센터 자재 사용내역(03월)'!F:F,"교체")</f>
        <v>0</v>
      </c>
      <c r="P126" s="40">
        <f>SUMIFS('센터 자재 사용내역(04월)'!G:G,'센터 자재 사용내역(04월)'!E:E,'사급자재 사용내역'!C126,'센터 자재 사용내역(04월)'!F:F,"신규")+SUMIFS('센터 자재 사용내역(04월)'!G:G,'센터 자재 사용내역(04월)'!E:E,'사급자재 사용내역'!C126,'센터 자재 사용내역(04월)'!F:F,"교체")</f>
        <v>0</v>
      </c>
      <c r="Q126" s="40">
        <f>SUMIFS('센터 자재 사용내역(05월)'!G:G,'센터 자재 사용내역(05월)'!E:E,'사급자재 사용내역'!C126,'센터 자재 사용내역(05월)'!F:F,"신규")+SUMIFS('센터 자재 사용내역(05월)'!G:G,'센터 자재 사용내역(05월)'!E:E,'사급자재 사용내역'!C126,'센터 자재 사용내역(05월)'!F:F,"교체")</f>
        <v>0</v>
      </c>
      <c r="R126" s="40">
        <f>SUMIFS('센터 자재 사용내역(06월)'!G:G,'센터 자재 사용내역(06월)'!E:E,'사급자재 사용내역'!C126,'센터 자재 사용내역(06월)'!F:F,"신규")+SUMIFS('센터 자재 사용내역(06월)'!G:G,'센터 자재 사용내역(06월)'!E:E,'사급자재 사용내역'!C126,'센터 자재 사용내역(06월)'!F:F,"교체")</f>
        <v>0</v>
      </c>
      <c r="S126" s="40">
        <f>SUMIFS('센터 자재 사용내역(07월)'!G:G,'센터 자재 사용내역(07월)'!E:E,'사급자재 사용내역'!C126,'센터 자재 사용내역(07월)'!F:F,"신규")+SUMIFS('센터 자재 사용내역(07월)'!G:G,'센터 자재 사용내역(07월)'!E:E,'사급자재 사용내역'!C126,'센터 자재 사용내역(07월)'!F:F,"교체")</f>
        <v>0</v>
      </c>
      <c r="T126" s="40">
        <f>SUMIFS('센터 자재 사용내역(08월)'!G:G,'센터 자재 사용내역(08월)'!E:E,'사급자재 사용내역'!C126,'센터 자재 사용내역(08월)'!F:F,"신규")+SUMIFS('센터 자재 사용내역(08월)'!G:G,'센터 자재 사용내역(08월)'!E:E,'사급자재 사용내역'!C126,'센터 자재 사용내역(08월)'!F:F,"교체")</f>
        <v>0</v>
      </c>
      <c r="U126" s="40">
        <f>SUMIFS('센터 자재 사용내역(09월)'!G:G,'센터 자재 사용내역(09월)'!E:E,'사급자재 사용내역'!C126,'센터 자재 사용내역(09월)'!F:F,"신규")+SUMIFS('센터 자재 사용내역(09월)'!G:G,'센터 자재 사용내역(09월)'!E:E,'사급자재 사용내역'!C126,'센터 자재 사용내역(09월)'!F:F,"교체")</f>
        <v>0</v>
      </c>
      <c r="V126" s="40">
        <f>SUMIFS('센터 자재 사용내역(10월)'!G:G,'센터 자재 사용내역(10월)'!E:E,'사급자재 사용내역'!C126,'센터 자재 사용내역(10월)'!F:F,"신규")+SUMIFS('센터 자재 사용내역(10월)'!G:G,'센터 자재 사용내역(10월)'!E:E,'사급자재 사용내역'!C126,'센터 자재 사용내역(10월)'!F:F,"교체")</f>
        <v>0</v>
      </c>
      <c r="W126" s="40">
        <f>SUMIFS('센터 자재 사용내역(11월)'!G:G,'센터 자재 사용내역(11월)'!E:E,'사급자재 사용내역'!C126,'센터 자재 사용내역(11월)'!F:F,"신규")+SUMIFS('센터 자재 사용내역(11월)'!G:G,'센터 자재 사용내역(11월)'!E:E,'사급자재 사용내역'!C126,'센터 자재 사용내역(11월)'!F:F,"교체")</f>
        <v>0</v>
      </c>
      <c r="X126" s="40">
        <f>SUMIFS('센터 자재 사용내역(12월)'!G:G,'센터 자재 사용내역(12월)'!E:E,'사급자재 사용내역'!C126,'센터 자재 사용내역(12월)'!F:F,"신규")+SUMIFS('센터 자재 사용내역(12월)'!G:G,'센터 자재 사용내역(12월)'!E:E,'사급자재 사용내역'!C126,'센터 자재 사용내역(12월)'!F:F,"교체")</f>
        <v>0</v>
      </c>
      <c r="Y126" s="40">
        <f t="shared" si="29"/>
        <v>0</v>
      </c>
      <c r="Z126" s="53"/>
      <c r="AB126" s="56"/>
      <c r="AC126" s="29"/>
      <c r="AD126" s="29"/>
      <c r="AE126" s="29"/>
      <c r="AF126" s="29"/>
      <c r="AG126" s="29"/>
      <c r="AH126" s="29"/>
      <c r="AI126" s="29"/>
      <c r="AJ126" s="29"/>
      <c r="AK126" s="29"/>
      <c r="AL126" s="29"/>
      <c r="AM126" s="29"/>
      <c r="AN126" s="21">
        <f t="shared" si="30"/>
        <v>0</v>
      </c>
      <c r="AO126" s="57"/>
      <c r="AQ126" s="61">
        <f>SUMIFS('센터 자재 사용내역(01월)'!G:G,'센터 자재 사용내역(01월)'!E:E,'사급자재 사용내역'!C126,'센터 자재 사용내역(01월)'!F:F,"불량")</f>
        <v>0</v>
      </c>
      <c r="AR126" s="40">
        <f>SUMIFS('센터 자재 사용내역(02월)'!G:G,'센터 자재 사용내역(02월)'!E:E,'사급자재 사용내역'!C126,'센터 자재 사용내역(02월)'!F:F,"불량")</f>
        <v>0</v>
      </c>
      <c r="AS126" s="40">
        <f>SUMIFS('센터 자재 사용내역(03월)'!G:G,'센터 자재 사용내역(03월)'!E:E,'사급자재 사용내역'!C126,'센터 자재 사용내역(03월)'!F:F,"불량")</f>
        <v>0</v>
      </c>
      <c r="AT126" s="40">
        <f>SUMIFS('센터 자재 사용내역(04월)'!G:G,'센터 자재 사용내역(04월)'!E:E,'사급자재 사용내역'!C126,'센터 자재 사용내역(04월)'!F:F,"불량")</f>
        <v>0</v>
      </c>
      <c r="AU126" s="40">
        <f>SUMIFS('센터 자재 사용내역(05월)'!G:G,'센터 자재 사용내역(05월)'!E:E,'사급자재 사용내역'!C126,'센터 자재 사용내역(05월)'!F:F,"불량")</f>
        <v>0</v>
      </c>
      <c r="AV126" s="40">
        <f>SUMIFS('센터 자재 사용내역(06월)'!G:G,'센터 자재 사용내역(06월)'!E:E,'사급자재 사용내역'!C126,'센터 자재 사용내역(06월)'!F:F,"불량")</f>
        <v>0</v>
      </c>
      <c r="AW126" s="40">
        <f>SUMIFS('센터 자재 사용내역(07월)'!G:G,'센터 자재 사용내역(07월)'!E:E,'사급자재 사용내역'!C126,'센터 자재 사용내역(07월)'!F:F,"불량")</f>
        <v>0</v>
      </c>
      <c r="AX126" s="40">
        <f>SUMIFS('센터 자재 사용내역(08월)'!G:G,'센터 자재 사용내역(08월)'!E:E,'사급자재 사용내역'!C126,'센터 자재 사용내역(08월)'!F:F,"불량")</f>
        <v>0</v>
      </c>
      <c r="AY126" s="40">
        <f>SUMIFS('센터 자재 사용내역(09월)'!G:G,'센터 자재 사용내역(09월)'!E:E,'사급자재 사용내역'!C126,'센터 자재 사용내역(09월)'!F:F,"불량")</f>
        <v>0</v>
      </c>
      <c r="AZ126" s="40">
        <f>SUMIFS('센터 자재 사용내역(10월)'!G:G,'센터 자재 사용내역(10월)'!E:E,'사급자재 사용내역'!C126,'센터 자재 사용내역(10월)'!F:F,"불량")</f>
        <v>0</v>
      </c>
      <c r="BA126" s="40">
        <f>SUMIFS('센터 자재 사용내역(11월)'!G:G,'센터 자재 사용내역(11월)'!E:E,'사급자재 사용내역'!C126,'센터 자재 사용내역(11월)'!F:F,"불량")</f>
        <v>0</v>
      </c>
      <c r="BB126" s="40">
        <f>SUMIFS('센터 자재 사용내역(12월)'!G:G,'센터 자재 사용내역(12월)'!E:E,'사급자재 사용내역'!C126,'센터 자재 사용내역(12월)'!F:F,"불량")</f>
        <v>0</v>
      </c>
      <c r="BC126" s="40">
        <f t="shared" si="35"/>
        <v>0</v>
      </c>
      <c r="BD126" s="62"/>
    </row>
    <row r="127" spans="2:56" ht="19.5" customHeight="1">
      <c r="B127" s="99"/>
      <c r="C127" s="23" t="s">
        <v>170</v>
      </c>
      <c r="D127" s="64" t="s">
        <v>129</v>
      </c>
      <c r="E127" s="67">
        <v>18</v>
      </c>
      <c r="F127" s="47">
        <v>0</v>
      </c>
      <c r="G127" s="46"/>
      <c r="H127" s="78"/>
      <c r="I127" s="90">
        <f t="shared" si="25"/>
        <v>0</v>
      </c>
      <c r="J127" s="89">
        <f t="shared" si="27"/>
        <v>16</v>
      </c>
      <c r="K127" s="78">
        <f t="shared" si="26"/>
        <v>100</v>
      </c>
      <c r="L127" s="84">
        <f t="shared" si="28"/>
        <v>102</v>
      </c>
      <c r="M127" s="79">
        <f>SUMIFS('센터 자재 사용내역(01월)'!G:G,'센터 자재 사용내역(01월)'!E:E,'사급자재 사용내역'!C127,'센터 자재 사용내역(01월)'!F:F,"신규")+SUMIFS('센터 자재 사용내역(01월)'!G:G,'센터 자재 사용내역(01월)'!E:E,'사급자재 사용내역'!C127,'센터 자재 사용내역(01월)'!F:F,"교체")</f>
        <v>3</v>
      </c>
      <c r="N127" s="40">
        <f>SUMIFS('센터 자재 사용내역(02월)'!G:G,'센터 자재 사용내역(02월)'!E:E,'사급자재 사용내역'!C127,'센터 자재 사용내역(02월)'!F:F,"신규")+SUMIFS('센터 자재 사용내역(02월)'!G:G,'센터 자재 사용내역(02월)'!E:E,'사급자재 사용내역'!C127,'센터 자재 사용내역(02월)'!F:F,"교체")</f>
        <v>1</v>
      </c>
      <c r="O127" s="40">
        <f>SUMIFS('센터 자재 사용내역(03월)'!G:G,'센터 자재 사용내역(03월)'!E:E,'사급자재 사용내역'!C127,'센터 자재 사용내역(03월)'!F:F,"신규")+SUMIFS('센터 자재 사용내역(03월)'!G:G,'센터 자재 사용내역(03월)'!E:E,'사급자재 사용내역'!C127,'센터 자재 사용내역(03월)'!F:F,"교체")</f>
        <v>2</v>
      </c>
      <c r="P127" s="40">
        <f>SUMIFS('센터 자재 사용내역(04월)'!G:G,'센터 자재 사용내역(04월)'!E:E,'사급자재 사용내역'!C127,'센터 자재 사용내역(04월)'!F:F,"신규")+SUMIFS('센터 자재 사용내역(04월)'!G:G,'센터 자재 사용내역(04월)'!E:E,'사급자재 사용내역'!C127,'센터 자재 사용내역(04월)'!F:F,"교체")</f>
        <v>4</v>
      </c>
      <c r="Q127" s="40">
        <f>SUMIFS('센터 자재 사용내역(05월)'!G:G,'센터 자재 사용내역(05월)'!E:E,'사급자재 사용내역'!C127,'센터 자재 사용내역(05월)'!F:F,"신규")+SUMIFS('센터 자재 사용내역(05월)'!G:G,'센터 자재 사용내역(05월)'!E:E,'사급자재 사용내역'!C127,'센터 자재 사용내역(05월)'!F:F,"교체")</f>
        <v>0</v>
      </c>
      <c r="R127" s="40">
        <f>SUMIFS('센터 자재 사용내역(06월)'!G:G,'센터 자재 사용내역(06월)'!E:E,'사급자재 사용내역'!C127,'센터 자재 사용내역(06월)'!F:F,"신규")+SUMIFS('센터 자재 사용내역(06월)'!G:G,'센터 자재 사용내역(06월)'!E:E,'사급자재 사용내역'!C127,'센터 자재 사용내역(06월)'!F:F,"교체")</f>
        <v>3</v>
      </c>
      <c r="S127" s="40">
        <f>SUMIFS('센터 자재 사용내역(07월)'!G:G,'센터 자재 사용내역(07월)'!E:E,'사급자재 사용내역'!C127,'센터 자재 사용내역(07월)'!F:F,"신규")+SUMIFS('센터 자재 사용내역(07월)'!G:G,'센터 자재 사용내역(07월)'!E:E,'사급자재 사용내역'!C127,'센터 자재 사용내역(07월)'!F:F,"교체")</f>
        <v>0</v>
      </c>
      <c r="T127" s="40">
        <f>SUMIFS('센터 자재 사용내역(08월)'!G:G,'센터 자재 사용내역(08월)'!E:E,'사급자재 사용내역'!C127,'센터 자재 사용내역(08월)'!F:F,"신규")+SUMIFS('센터 자재 사용내역(08월)'!G:G,'센터 자재 사용내역(08월)'!E:E,'사급자재 사용내역'!C127,'센터 자재 사용내역(08월)'!F:F,"교체")</f>
        <v>3</v>
      </c>
      <c r="U127" s="40">
        <f>SUMIFS('센터 자재 사용내역(09월)'!G:G,'센터 자재 사용내역(09월)'!E:E,'사급자재 사용내역'!C127,'센터 자재 사용내역(09월)'!F:F,"신규")+SUMIFS('센터 자재 사용내역(09월)'!G:G,'센터 자재 사용내역(09월)'!E:E,'사급자재 사용내역'!C127,'센터 자재 사용내역(09월)'!F:F,"교체")</f>
        <v>0</v>
      </c>
      <c r="V127" s="40">
        <f>SUMIFS('센터 자재 사용내역(10월)'!G:G,'센터 자재 사용내역(10월)'!E:E,'사급자재 사용내역'!C127,'센터 자재 사용내역(10월)'!F:F,"신규")+SUMIFS('센터 자재 사용내역(10월)'!G:G,'센터 자재 사용내역(10월)'!E:E,'사급자재 사용내역'!C127,'센터 자재 사용내역(10월)'!F:F,"교체")</f>
        <v>0</v>
      </c>
      <c r="W127" s="40">
        <f>SUMIFS('센터 자재 사용내역(11월)'!G:G,'센터 자재 사용내역(11월)'!E:E,'사급자재 사용내역'!C127,'센터 자재 사용내역(11월)'!F:F,"신규")+SUMIFS('센터 자재 사용내역(11월)'!G:G,'센터 자재 사용내역(11월)'!E:E,'사급자재 사용내역'!C127,'센터 자재 사용내역(11월)'!F:F,"교체")</f>
        <v>0</v>
      </c>
      <c r="X127" s="40">
        <f>SUMIFS('센터 자재 사용내역(12월)'!G:G,'센터 자재 사용내역(12월)'!E:E,'사급자재 사용내역'!C127,'센터 자재 사용내역(12월)'!F:F,"신규")+SUMIFS('센터 자재 사용내역(12월)'!G:G,'센터 자재 사용내역(12월)'!E:E,'사급자재 사용내역'!C127,'센터 자재 사용내역(12월)'!F:F,"교체")</f>
        <v>0</v>
      </c>
      <c r="Y127" s="40">
        <f t="shared" si="29"/>
        <v>16</v>
      </c>
      <c r="Z127" s="53"/>
      <c r="AB127" s="56"/>
      <c r="AC127" s="29"/>
      <c r="AD127" s="29"/>
      <c r="AE127" s="29"/>
      <c r="AF127" s="29"/>
      <c r="AG127" s="29"/>
      <c r="AH127" s="29"/>
      <c r="AI127" s="29">
        <v>100</v>
      </c>
      <c r="AJ127" s="29"/>
      <c r="AK127" s="29"/>
      <c r="AL127" s="29"/>
      <c r="AM127" s="29"/>
      <c r="AN127" s="21">
        <f t="shared" si="30"/>
        <v>100</v>
      </c>
      <c r="AO127" s="57"/>
      <c r="AQ127" s="61">
        <f>SUMIFS('센터 자재 사용내역(01월)'!G:G,'센터 자재 사용내역(01월)'!E:E,'사급자재 사용내역'!C127,'센터 자재 사용내역(01월)'!F:F,"불량")</f>
        <v>0</v>
      </c>
      <c r="AR127" s="40">
        <f>SUMIFS('센터 자재 사용내역(02월)'!G:G,'센터 자재 사용내역(02월)'!E:E,'사급자재 사용내역'!C127,'센터 자재 사용내역(02월)'!F:F,"불량")</f>
        <v>0</v>
      </c>
      <c r="AS127" s="40">
        <f>SUMIFS('센터 자재 사용내역(03월)'!G:G,'센터 자재 사용내역(03월)'!E:E,'사급자재 사용내역'!C127,'센터 자재 사용내역(03월)'!F:F,"불량")</f>
        <v>0</v>
      </c>
      <c r="AT127" s="40">
        <f>SUMIFS('센터 자재 사용내역(04월)'!G:G,'센터 자재 사용내역(04월)'!E:E,'사급자재 사용내역'!C127,'센터 자재 사용내역(04월)'!F:F,"불량")</f>
        <v>0</v>
      </c>
      <c r="AU127" s="40">
        <f>SUMIFS('센터 자재 사용내역(05월)'!G:G,'센터 자재 사용내역(05월)'!E:E,'사급자재 사용내역'!C127,'센터 자재 사용내역(05월)'!F:F,"불량")</f>
        <v>0</v>
      </c>
      <c r="AV127" s="40">
        <f>SUMIFS('센터 자재 사용내역(06월)'!G:G,'센터 자재 사용내역(06월)'!E:E,'사급자재 사용내역'!C127,'센터 자재 사용내역(06월)'!F:F,"불량")</f>
        <v>0</v>
      </c>
      <c r="AW127" s="40">
        <f>SUMIFS('센터 자재 사용내역(07월)'!G:G,'센터 자재 사용내역(07월)'!E:E,'사급자재 사용내역'!C127,'센터 자재 사용내역(07월)'!F:F,"불량")</f>
        <v>0</v>
      </c>
      <c r="AX127" s="40">
        <f>SUMIFS('센터 자재 사용내역(08월)'!G:G,'센터 자재 사용내역(08월)'!E:E,'사급자재 사용내역'!C127,'센터 자재 사용내역(08월)'!F:F,"불량")</f>
        <v>0</v>
      </c>
      <c r="AY127" s="40">
        <f>SUMIFS('센터 자재 사용내역(09월)'!G:G,'센터 자재 사용내역(09월)'!E:E,'사급자재 사용내역'!C127,'센터 자재 사용내역(09월)'!F:F,"불량")</f>
        <v>0</v>
      </c>
      <c r="AZ127" s="40">
        <f>SUMIFS('센터 자재 사용내역(10월)'!G:G,'센터 자재 사용내역(10월)'!E:E,'사급자재 사용내역'!C127,'센터 자재 사용내역(10월)'!F:F,"불량")</f>
        <v>0</v>
      </c>
      <c r="BA127" s="40">
        <f>SUMIFS('센터 자재 사용내역(11월)'!G:G,'센터 자재 사용내역(11월)'!E:E,'사급자재 사용내역'!C127,'센터 자재 사용내역(11월)'!F:F,"불량")</f>
        <v>0</v>
      </c>
      <c r="BB127" s="40">
        <f>SUMIFS('센터 자재 사용내역(12월)'!G:G,'센터 자재 사용내역(12월)'!E:E,'사급자재 사용내역'!C127,'센터 자재 사용내역(12월)'!F:F,"불량")</f>
        <v>0</v>
      </c>
      <c r="BC127" s="40">
        <f t="shared" si="35"/>
        <v>0</v>
      </c>
      <c r="BD127" s="62"/>
    </row>
    <row r="128" spans="2:56" ht="19.5" customHeight="1">
      <c r="B128" s="99"/>
      <c r="C128" s="23" t="s">
        <v>219</v>
      </c>
      <c r="D128" s="64" t="s">
        <v>129</v>
      </c>
      <c r="E128" s="67">
        <v>42</v>
      </c>
      <c r="F128" s="47">
        <v>0</v>
      </c>
      <c r="G128" s="46"/>
      <c r="H128" s="78"/>
      <c r="I128" s="90">
        <f t="shared" si="25"/>
        <v>0</v>
      </c>
      <c r="J128" s="89">
        <f t="shared" si="27"/>
        <v>593</v>
      </c>
      <c r="K128" s="78">
        <f t="shared" si="26"/>
        <v>600</v>
      </c>
      <c r="L128" s="84">
        <f t="shared" si="28"/>
        <v>49</v>
      </c>
      <c r="M128" s="79">
        <f>SUMIFS('센터 자재 사용내역(01월)'!G:G,'센터 자재 사용내역(01월)'!E:E,'사급자재 사용내역'!C128,'센터 자재 사용내역(01월)'!F:F,"신규")+SUMIFS('센터 자재 사용내역(01월)'!G:G,'센터 자재 사용내역(01월)'!E:E,'사급자재 사용내역'!C128,'센터 자재 사용내역(01월)'!F:F,"교체")</f>
        <v>25</v>
      </c>
      <c r="N128" s="40">
        <f>SUMIFS('센터 자재 사용내역(02월)'!G:G,'센터 자재 사용내역(02월)'!E:E,'사급자재 사용내역'!C128,'센터 자재 사용내역(02월)'!F:F,"신규")+SUMIFS('센터 자재 사용내역(02월)'!G:G,'센터 자재 사용내역(02월)'!E:E,'사급자재 사용내역'!C128,'센터 자재 사용내역(02월)'!F:F,"교체")</f>
        <v>13</v>
      </c>
      <c r="O128" s="40">
        <f>SUMIFS('센터 자재 사용내역(03월)'!G:G,'센터 자재 사용내역(03월)'!E:E,'사급자재 사용내역'!C128,'센터 자재 사용내역(03월)'!F:F,"신규")+SUMIFS('센터 자재 사용내역(03월)'!G:G,'센터 자재 사용내역(03월)'!E:E,'사급자재 사용내역'!C128,'센터 자재 사용내역(03월)'!F:F,"교체")</f>
        <v>42</v>
      </c>
      <c r="P128" s="40">
        <f>SUMIFS('센터 자재 사용내역(04월)'!G:G,'센터 자재 사용내역(04월)'!E:E,'사급자재 사용내역'!C128,'센터 자재 사용내역(04월)'!F:F,"신규")+SUMIFS('센터 자재 사용내역(04월)'!G:G,'센터 자재 사용내역(04월)'!E:E,'사급자재 사용내역'!C128,'센터 자재 사용내역(04월)'!F:F,"교체")</f>
        <v>57</v>
      </c>
      <c r="Q128" s="40">
        <f>SUMIFS('센터 자재 사용내역(05월)'!G:G,'센터 자재 사용내역(05월)'!E:E,'사급자재 사용내역'!C128,'센터 자재 사용내역(05월)'!F:F,"신규")+SUMIFS('센터 자재 사용내역(05월)'!G:G,'센터 자재 사용내역(05월)'!E:E,'사급자재 사용내역'!C128,'센터 자재 사용내역(05월)'!F:F,"교체")</f>
        <v>75</v>
      </c>
      <c r="R128" s="40">
        <f>SUMIFS('센터 자재 사용내역(06월)'!G:G,'센터 자재 사용내역(06월)'!E:E,'사급자재 사용내역'!C128,'센터 자재 사용내역(06월)'!F:F,"신규")+SUMIFS('센터 자재 사용내역(06월)'!G:G,'센터 자재 사용내역(06월)'!E:E,'사급자재 사용내역'!C128,'센터 자재 사용내역(06월)'!F:F,"교체")</f>
        <v>299</v>
      </c>
      <c r="S128" s="40">
        <f>SUMIFS('센터 자재 사용내역(07월)'!G:G,'센터 자재 사용내역(07월)'!E:E,'사급자재 사용내역'!C128,'센터 자재 사용내역(07월)'!F:F,"신규")+SUMIFS('센터 자재 사용내역(07월)'!G:G,'센터 자재 사용내역(07월)'!E:E,'사급자재 사용내역'!C128,'센터 자재 사용내역(07월)'!F:F,"교체")</f>
        <v>40</v>
      </c>
      <c r="T128" s="40">
        <f>SUMIFS('센터 자재 사용내역(08월)'!G:G,'센터 자재 사용내역(08월)'!E:E,'사급자재 사용내역'!C128,'센터 자재 사용내역(08월)'!F:F,"신규")+SUMIFS('센터 자재 사용내역(08월)'!G:G,'센터 자재 사용내역(08월)'!E:E,'사급자재 사용내역'!C128,'센터 자재 사용내역(08월)'!F:F,"교체")</f>
        <v>42</v>
      </c>
      <c r="U128" s="40">
        <f>SUMIFS('센터 자재 사용내역(09월)'!G:G,'센터 자재 사용내역(09월)'!E:E,'사급자재 사용내역'!C128,'센터 자재 사용내역(09월)'!F:F,"신규")+SUMIFS('센터 자재 사용내역(09월)'!G:G,'센터 자재 사용내역(09월)'!E:E,'사급자재 사용내역'!C128,'센터 자재 사용내역(09월)'!F:F,"교체")</f>
        <v>0</v>
      </c>
      <c r="V128" s="40">
        <f>SUMIFS('센터 자재 사용내역(10월)'!G:G,'센터 자재 사용내역(10월)'!E:E,'사급자재 사용내역'!C128,'센터 자재 사용내역(10월)'!F:F,"신규")+SUMIFS('센터 자재 사용내역(10월)'!G:G,'센터 자재 사용내역(10월)'!E:E,'사급자재 사용내역'!C128,'센터 자재 사용내역(10월)'!F:F,"교체")</f>
        <v>0</v>
      </c>
      <c r="W128" s="40">
        <f>SUMIFS('센터 자재 사용내역(11월)'!G:G,'센터 자재 사용내역(11월)'!E:E,'사급자재 사용내역'!C128,'센터 자재 사용내역(11월)'!F:F,"신규")+SUMIFS('센터 자재 사용내역(11월)'!G:G,'센터 자재 사용내역(11월)'!E:E,'사급자재 사용내역'!C128,'센터 자재 사용내역(11월)'!F:F,"교체")</f>
        <v>0</v>
      </c>
      <c r="X128" s="40">
        <f>SUMIFS('센터 자재 사용내역(12월)'!G:G,'센터 자재 사용내역(12월)'!E:E,'사급자재 사용내역'!C128,'센터 자재 사용내역(12월)'!F:F,"신규")+SUMIFS('센터 자재 사용내역(12월)'!G:G,'센터 자재 사용내역(12월)'!E:E,'사급자재 사용내역'!C128,'센터 자재 사용내역(12월)'!F:F,"교체")</f>
        <v>0</v>
      </c>
      <c r="Y128" s="40">
        <f t="shared" si="29"/>
        <v>593</v>
      </c>
      <c r="Z128" s="53"/>
      <c r="AB128" s="56"/>
      <c r="AC128" s="29"/>
      <c r="AD128" s="29">
        <v>300</v>
      </c>
      <c r="AE128" s="29">
        <v>300</v>
      </c>
      <c r="AF128" s="29"/>
      <c r="AG128" s="29"/>
      <c r="AH128" s="29"/>
      <c r="AI128" s="29"/>
      <c r="AJ128" s="29"/>
      <c r="AK128" s="29"/>
      <c r="AL128" s="29"/>
      <c r="AM128" s="29"/>
      <c r="AN128" s="21">
        <f t="shared" si="30"/>
        <v>600</v>
      </c>
      <c r="AO128" s="57"/>
      <c r="AQ128" s="61">
        <f>SUMIFS('센터 자재 사용내역(01월)'!G:G,'센터 자재 사용내역(01월)'!E:E,'사급자재 사용내역'!C128,'센터 자재 사용내역(01월)'!F:F,"불량")</f>
        <v>0</v>
      </c>
      <c r="AR128" s="40">
        <f>SUMIFS('센터 자재 사용내역(02월)'!G:G,'센터 자재 사용내역(02월)'!E:E,'사급자재 사용내역'!C128,'센터 자재 사용내역(02월)'!F:F,"불량")</f>
        <v>0</v>
      </c>
      <c r="AS128" s="40">
        <f>SUMIFS('센터 자재 사용내역(03월)'!G:G,'센터 자재 사용내역(03월)'!E:E,'사급자재 사용내역'!C128,'센터 자재 사용내역(03월)'!F:F,"불량")</f>
        <v>0</v>
      </c>
      <c r="AT128" s="40">
        <f>SUMIFS('센터 자재 사용내역(04월)'!G:G,'센터 자재 사용내역(04월)'!E:E,'사급자재 사용내역'!C128,'센터 자재 사용내역(04월)'!F:F,"불량")</f>
        <v>0</v>
      </c>
      <c r="AU128" s="40">
        <f>SUMIFS('센터 자재 사용내역(05월)'!G:G,'센터 자재 사용내역(05월)'!E:E,'사급자재 사용내역'!C128,'센터 자재 사용내역(05월)'!F:F,"불량")</f>
        <v>0</v>
      </c>
      <c r="AV128" s="40">
        <f>SUMIFS('센터 자재 사용내역(06월)'!G:G,'센터 자재 사용내역(06월)'!E:E,'사급자재 사용내역'!C128,'센터 자재 사용내역(06월)'!F:F,"불량")</f>
        <v>0</v>
      </c>
      <c r="AW128" s="40">
        <f>SUMIFS('센터 자재 사용내역(07월)'!G:G,'센터 자재 사용내역(07월)'!E:E,'사급자재 사용내역'!C128,'센터 자재 사용내역(07월)'!F:F,"불량")</f>
        <v>0</v>
      </c>
      <c r="AX128" s="40">
        <f>SUMIFS('센터 자재 사용내역(08월)'!G:G,'센터 자재 사용내역(08월)'!E:E,'사급자재 사용내역'!C128,'센터 자재 사용내역(08월)'!F:F,"불량")</f>
        <v>0</v>
      </c>
      <c r="AY128" s="40">
        <f>SUMIFS('센터 자재 사용내역(09월)'!G:G,'센터 자재 사용내역(09월)'!E:E,'사급자재 사용내역'!C128,'센터 자재 사용내역(09월)'!F:F,"불량")</f>
        <v>0</v>
      </c>
      <c r="AZ128" s="40">
        <f>SUMIFS('센터 자재 사용내역(10월)'!G:G,'센터 자재 사용내역(10월)'!E:E,'사급자재 사용내역'!C128,'센터 자재 사용내역(10월)'!F:F,"불량")</f>
        <v>0</v>
      </c>
      <c r="BA128" s="40">
        <f>SUMIFS('센터 자재 사용내역(11월)'!G:G,'센터 자재 사용내역(11월)'!E:E,'사급자재 사용내역'!C128,'센터 자재 사용내역(11월)'!F:F,"불량")</f>
        <v>0</v>
      </c>
      <c r="BB128" s="40">
        <f>SUMIFS('센터 자재 사용내역(12월)'!G:G,'센터 자재 사용내역(12월)'!E:E,'사급자재 사용내역'!C128,'센터 자재 사용내역(12월)'!F:F,"불량")</f>
        <v>0</v>
      </c>
      <c r="BC128" s="40">
        <f t="shared" si="35"/>
        <v>0</v>
      </c>
      <c r="BD128" s="62"/>
    </row>
    <row r="129" spans="2:56" ht="19.5" customHeight="1">
      <c r="B129" s="99"/>
      <c r="C129" s="23" t="s">
        <v>1850</v>
      </c>
      <c r="D129" s="64" t="s">
        <v>129</v>
      </c>
      <c r="E129" s="67">
        <v>0</v>
      </c>
      <c r="F129" s="47">
        <v>0</v>
      </c>
      <c r="G129" s="46"/>
      <c r="H129" s="78"/>
      <c r="I129" s="90">
        <f t="shared" si="25"/>
        <v>0</v>
      </c>
      <c r="J129" s="89">
        <f t="shared" si="27"/>
        <v>230</v>
      </c>
      <c r="K129" s="78">
        <f t="shared" si="26"/>
        <v>300</v>
      </c>
      <c r="L129" s="84">
        <f t="shared" si="28"/>
        <v>70</v>
      </c>
      <c r="M129" s="79">
        <f>SUMIFS('센터 자재 사용내역(01월)'!G:G,'센터 자재 사용내역(01월)'!E:E,'사급자재 사용내역'!C129,'센터 자재 사용내역(01월)'!F:F,"신규")+SUMIFS('센터 자재 사용내역(01월)'!G:G,'센터 자재 사용내역(01월)'!E:E,'사급자재 사용내역'!C129,'센터 자재 사용내역(01월)'!F:F,"교체")</f>
        <v>0</v>
      </c>
      <c r="N129" s="40">
        <f>SUMIFS('센터 자재 사용내역(02월)'!G:G,'센터 자재 사용내역(02월)'!E:E,'사급자재 사용내역'!C129,'센터 자재 사용내역(02월)'!F:F,"신규")+SUMIFS('센터 자재 사용내역(02월)'!G:G,'센터 자재 사용내역(02월)'!E:E,'사급자재 사용내역'!C129,'센터 자재 사용내역(02월)'!F:F,"교체")</f>
        <v>0</v>
      </c>
      <c r="O129" s="40">
        <f>SUMIFS('센터 자재 사용내역(03월)'!G:G,'센터 자재 사용내역(03월)'!E:E,'사급자재 사용내역'!C129,'센터 자재 사용내역(03월)'!F:F,"신규")+SUMIFS('센터 자재 사용내역(03월)'!G:G,'센터 자재 사용내역(03월)'!E:E,'사급자재 사용내역'!C129,'센터 자재 사용내역(03월)'!F:F,"교체")</f>
        <v>0</v>
      </c>
      <c r="P129" s="40">
        <f>SUMIFS('센터 자재 사용내역(04월)'!G:G,'센터 자재 사용내역(04월)'!E:E,'사급자재 사용내역'!C129,'센터 자재 사용내역(04월)'!F:F,"신규")+SUMIFS('센터 자재 사용내역(04월)'!G:G,'센터 자재 사용내역(04월)'!E:E,'사급자재 사용내역'!C129,'센터 자재 사용내역(04월)'!F:F,"교체")</f>
        <v>0</v>
      </c>
      <c r="Q129" s="40">
        <f>SUMIFS('센터 자재 사용내역(05월)'!G:G,'센터 자재 사용내역(05월)'!E:E,'사급자재 사용내역'!C129,'센터 자재 사용내역(05월)'!F:F,"신규")+SUMIFS('센터 자재 사용내역(05월)'!G:G,'센터 자재 사용내역(05월)'!E:E,'사급자재 사용내역'!C129,'센터 자재 사용내역(05월)'!F:F,"교체")</f>
        <v>0</v>
      </c>
      <c r="R129" s="40">
        <f>SUMIFS('센터 자재 사용내역(06월)'!G:G,'센터 자재 사용내역(06월)'!E:E,'사급자재 사용내역'!C129,'센터 자재 사용내역(06월)'!F:F,"신규")+SUMIFS('센터 자재 사용내역(06월)'!G:G,'센터 자재 사용내역(06월)'!E:E,'사급자재 사용내역'!C129,'센터 자재 사용내역(06월)'!F:F,"교체")</f>
        <v>100</v>
      </c>
      <c r="S129" s="40">
        <f>SUMIFS('센터 자재 사용내역(07월)'!G:G,'센터 자재 사용내역(07월)'!E:E,'사급자재 사용내역'!C129,'센터 자재 사용내역(07월)'!F:F,"신규")+SUMIFS('센터 자재 사용내역(07월)'!G:G,'센터 자재 사용내역(07월)'!E:E,'사급자재 사용내역'!C129,'센터 자재 사용내역(07월)'!F:F,"교체")</f>
        <v>0</v>
      </c>
      <c r="T129" s="40">
        <f>SUMIFS('센터 자재 사용내역(08월)'!G:G,'센터 자재 사용내역(08월)'!E:E,'사급자재 사용내역'!C129,'센터 자재 사용내역(08월)'!F:F,"신규")+SUMIFS('센터 자재 사용내역(08월)'!G:G,'센터 자재 사용내역(08월)'!E:E,'사급자재 사용내역'!C129,'센터 자재 사용내역(08월)'!F:F,"교체")</f>
        <v>130</v>
      </c>
      <c r="U129" s="40">
        <f>SUMIFS('센터 자재 사용내역(09월)'!G:G,'센터 자재 사용내역(09월)'!E:E,'사급자재 사용내역'!C129,'센터 자재 사용내역(09월)'!F:F,"신규")+SUMIFS('센터 자재 사용내역(09월)'!G:G,'센터 자재 사용내역(09월)'!E:E,'사급자재 사용내역'!C129,'센터 자재 사용내역(09월)'!F:F,"교체")</f>
        <v>0</v>
      </c>
      <c r="V129" s="40">
        <f>SUMIFS('센터 자재 사용내역(10월)'!G:G,'센터 자재 사용내역(10월)'!E:E,'사급자재 사용내역'!C129,'센터 자재 사용내역(10월)'!F:F,"신규")+SUMIFS('센터 자재 사용내역(10월)'!G:G,'센터 자재 사용내역(10월)'!E:E,'사급자재 사용내역'!C129,'센터 자재 사용내역(10월)'!F:F,"교체")</f>
        <v>0</v>
      </c>
      <c r="W129" s="40">
        <f>SUMIFS('센터 자재 사용내역(11월)'!G:G,'센터 자재 사용내역(11월)'!E:E,'사급자재 사용내역'!C129,'센터 자재 사용내역(11월)'!F:F,"신규")+SUMIFS('센터 자재 사용내역(11월)'!G:G,'센터 자재 사용내역(11월)'!E:E,'사급자재 사용내역'!C129,'센터 자재 사용내역(11월)'!F:F,"교체")</f>
        <v>0</v>
      </c>
      <c r="X129" s="40">
        <f>SUMIFS('센터 자재 사용내역(12월)'!G:G,'센터 자재 사용내역(12월)'!E:E,'사급자재 사용내역'!C129,'센터 자재 사용내역(12월)'!F:F,"신규")+SUMIFS('센터 자재 사용내역(12월)'!G:G,'센터 자재 사용내역(12월)'!E:E,'사급자재 사용내역'!C129,'센터 자재 사용내역(12월)'!F:F,"교체")</f>
        <v>0</v>
      </c>
      <c r="Y129" s="40">
        <f t="shared" si="29"/>
        <v>230</v>
      </c>
      <c r="Z129" s="53"/>
      <c r="AB129" s="56"/>
      <c r="AC129" s="29"/>
      <c r="AD129" s="29"/>
      <c r="AE129" s="29"/>
      <c r="AF129" s="29"/>
      <c r="AG129" s="29">
        <v>200</v>
      </c>
      <c r="AH129" s="29"/>
      <c r="AI129" s="29">
        <v>100</v>
      </c>
      <c r="AJ129" s="29"/>
      <c r="AK129" s="29"/>
      <c r="AL129" s="29"/>
      <c r="AM129" s="29"/>
      <c r="AN129" s="21">
        <f t="shared" si="30"/>
        <v>300</v>
      </c>
      <c r="AO129" s="57"/>
      <c r="AQ129" s="61">
        <f>SUMIFS('센터 자재 사용내역(01월)'!G:G,'센터 자재 사용내역(01월)'!E:E,'사급자재 사용내역'!C129,'센터 자재 사용내역(01월)'!F:F,"불량")</f>
        <v>0</v>
      </c>
      <c r="AR129" s="40">
        <f>SUMIFS('센터 자재 사용내역(02월)'!G:G,'센터 자재 사용내역(02월)'!E:E,'사급자재 사용내역'!C129,'센터 자재 사용내역(02월)'!F:F,"불량")</f>
        <v>0</v>
      </c>
      <c r="AS129" s="40">
        <f>SUMIFS('센터 자재 사용내역(03월)'!G:G,'센터 자재 사용내역(03월)'!E:E,'사급자재 사용내역'!C129,'센터 자재 사용내역(03월)'!F:F,"불량")</f>
        <v>0</v>
      </c>
      <c r="AT129" s="40">
        <f>SUMIFS('센터 자재 사용내역(04월)'!G:G,'센터 자재 사용내역(04월)'!E:E,'사급자재 사용내역'!C129,'센터 자재 사용내역(04월)'!F:F,"불량")</f>
        <v>0</v>
      </c>
      <c r="AU129" s="40">
        <f>SUMIFS('센터 자재 사용내역(05월)'!G:G,'센터 자재 사용내역(05월)'!E:E,'사급자재 사용내역'!C129,'센터 자재 사용내역(05월)'!F:F,"불량")</f>
        <v>0</v>
      </c>
      <c r="AV129" s="40">
        <f>SUMIFS('센터 자재 사용내역(06월)'!G:G,'센터 자재 사용내역(06월)'!E:E,'사급자재 사용내역'!C129,'센터 자재 사용내역(06월)'!F:F,"불량")</f>
        <v>0</v>
      </c>
      <c r="AW129" s="40">
        <f>SUMIFS('센터 자재 사용내역(07월)'!G:G,'센터 자재 사용내역(07월)'!E:E,'사급자재 사용내역'!C129,'센터 자재 사용내역(07월)'!F:F,"불량")</f>
        <v>0</v>
      </c>
      <c r="AX129" s="40">
        <f>SUMIFS('센터 자재 사용내역(08월)'!G:G,'센터 자재 사용내역(08월)'!E:E,'사급자재 사용내역'!C129,'센터 자재 사용내역(08월)'!F:F,"불량")</f>
        <v>0</v>
      </c>
      <c r="AY129" s="40">
        <f>SUMIFS('센터 자재 사용내역(09월)'!G:G,'센터 자재 사용내역(09월)'!E:E,'사급자재 사용내역'!C129,'센터 자재 사용내역(09월)'!F:F,"불량")</f>
        <v>0</v>
      </c>
      <c r="AZ129" s="40">
        <f>SUMIFS('센터 자재 사용내역(10월)'!G:G,'센터 자재 사용내역(10월)'!E:E,'사급자재 사용내역'!C129,'센터 자재 사용내역(10월)'!F:F,"불량")</f>
        <v>0</v>
      </c>
      <c r="BA129" s="40">
        <f>SUMIFS('센터 자재 사용내역(11월)'!G:G,'센터 자재 사용내역(11월)'!E:E,'사급자재 사용내역'!C129,'센터 자재 사용내역(11월)'!F:F,"불량")</f>
        <v>0</v>
      </c>
      <c r="BB129" s="40">
        <f>SUMIFS('센터 자재 사용내역(12월)'!G:G,'센터 자재 사용내역(12월)'!E:E,'사급자재 사용내역'!C129,'센터 자재 사용내역(12월)'!F:F,"불량")</f>
        <v>0</v>
      </c>
      <c r="BC129" s="40">
        <f t="shared" si="35"/>
        <v>0</v>
      </c>
      <c r="BD129" s="62"/>
    </row>
    <row r="130" spans="2:56" ht="19.5" customHeight="1">
      <c r="B130" s="100"/>
      <c r="C130" s="23"/>
      <c r="D130" s="64" t="s">
        <v>129</v>
      </c>
      <c r="E130" s="67">
        <v>0</v>
      </c>
      <c r="F130" s="47">
        <v>0</v>
      </c>
      <c r="G130" s="46"/>
      <c r="H130" s="78"/>
      <c r="I130" s="90">
        <f t="shared" si="25"/>
        <v>0</v>
      </c>
      <c r="J130" s="89">
        <f t="shared" si="27"/>
        <v>0</v>
      </c>
      <c r="K130" s="78">
        <f t="shared" si="26"/>
        <v>0</v>
      </c>
      <c r="L130" s="84">
        <f t="shared" si="28"/>
        <v>0</v>
      </c>
      <c r="M130" s="79">
        <f>SUMIFS('센터 자재 사용내역(01월)'!G:G,'센터 자재 사용내역(01월)'!E:E,'사급자재 사용내역'!C130,'센터 자재 사용내역(01월)'!F:F,"신규")+SUMIFS('센터 자재 사용내역(01월)'!G:G,'센터 자재 사용내역(01월)'!E:E,'사급자재 사용내역'!C130,'센터 자재 사용내역(01월)'!F:F,"교체")</f>
        <v>0</v>
      </c>
      <c r="N130" s="40">
        <f>SUMIFS('센터 자재 사용내역(02월)'!G:G,'센터 자재 사용내역(02월)'!E:E,'사급자재 사용내역'!C130,'센터 자재 사용내역(02월)'!F:F,"신규")+SUMIFS('센터 자재 사용내역(02월)'!G:G,'센터 자재 사용내역(02월)'!E:E,'사급자재 사용내역'!C130,'센터 자재 사용내역(02월)'!F:F,"교체")</f>
        <v>0</v>
      </c>
      <c r="O130" s="40">
        <f>SUMIFS('센터 자재 사용내역(03월)'!G:G,'센터 자재 사용내역(03월)'!E:E,'사급자재 사용내역'!C130,'센터 자재 사용내역(03월)'!F:F,"신규")+SUMIFS('센터 자재 사용내역(03월)'!G:G,'센터 자재 사용내역(03월)'!E:E,'사급자재 사용내역'!C130,'센터 자재 사용내역(03월)'!F:F,"교체")</f>
        <v>0</v>
      </c>
      <c r="P130" s="40">
        <f>SUMIFS('센터 자재 사용내역(04월)'!G:G,'센터 자재 사용내역(04월)'!E:E,'사급자재 사용내역'!C130,'센터 자재 사용내역(04월)'!F:F,"신규")+SUMIFS('센터 자재 사용내역(04월)'!G:G,'센터 자재 사용내역(04월)'!E:E,'사급자재 사용내역'!C130,'센터 자재 사용내역(04월)'!F:F,"교체")</f>
        <v>0</v>
      </c>
      <c r="Q130" s="40">
        <f>SUMIFS('센터 자재 사용내역(05월)'!G:G,'센터 자재 사용내역(05월)'!E:E,'사급자재 사용내역'!C130,'센터 자재 사용내역(05월)'!F:F,"신규")+SUMIFS('센터 자재 사용내역(05월)'!G:G,'센터 자재 사용내역(05월)'!E:E,'사급자재 사용내역'!C130,'센터 자재 사용내역(05월)'!F:F,"교체")</f>
        <v>0</v>
      </c>
      <c r="R130" s="40">
        <f>SUMIFS('센터 자재 사용내역(06월)'!G:G,'센터 자재 사용내역(06월)'!E:E,'사급자재 사용내역'!C130,'센터 자재 사용내역(06월)'!F:F,"신규")+SUMIFS('센터 자재 사용내역(06월)'!G:G,'센터 자재 사용내역(06월)'!E:E,'사급자재 사용내역'!C130,'센터 자재 사용내역(06월)'!F:F,"교체")</f>
        <v>0</v>
      </c>
      <c r="S130" s="40">
        <f>SUMIFS('센터 자재 사용내역(07월)'!G:G,'센터 자재 사용내역(07월)'!E:E,'사급자재 사용내역'!C130,'센터 자재 사용내역(07월)'!F:F,"신규")+SUMIFS('센터 자재 사용내역(07월)'!G:G,'센터 자재 사용내역(07월)'!E:E,'사급자재 사용내역'!C130,'센터 자재 사용내역(07월)'!F:F,"교체")</f>
        <v>0</v>
      </c>
      <c r="T130" s="40">
        <f>SUMIFS('센터 자재 사용내역(08월)'!G:G,'센터 자재 사용내역(08월)'!E:E,'사급자재 사용내역'!C130,'센터 자재 사용내역(08월)'!F:F,"신규")+SUMIFS('센터 자재 사용내역(08월)'!G:G,'센터 자재 사용내역(08월)'!E:E,'사급자재 사용내역'!C130,'센터 자재 사용내역(08월)'!F:F,"교체")</f>
        <v>0</v>
      </c>
      <c r="U130" s="40">
        <f>SUMIFS('센터 자재 사용내역(09월)'!G:G,'센터 자재 사용내역(09월)'!E:E,'사급자재 사용내역'!C130,'센터 자재 사용내역(09월)'!F:F,"신규")+SUMIFS('센터 자재 사용내역(09월)'!G:G,'센터 자재 사용내역(09월)'!E:E,'사급자재 사용내역'!C130,'센터 자재 사용내역(09월)'!F:F,"교체")</f>
        <v>0</v>
      </c>
      <c r="V130" s="40">
        <f>SUMIFS('센터 자재 사용내역(10월)'!G:G,'센터 자재 사용내역(10월)'!E:E,'사급자재 사용내역'!C130,'센터 자재 사용내역(10월)'!F:F,"신규")+SUMIFS('센터 자재 사용내역(10월)'!G:G,'센터 자재 사용내역(10월)'!E:E,'사급자재 사용내역'!C130,'센터 자재 사용내역(10월)'!F:F,"교체")</f>
        <v>0</v>
      </c>
      <c r="W130" s="40">
        <f>SUMIFS('센터 자재 사용내역(11월)'!G:G,'센터 자재 사용내역(11월)'!E:E,'사급자재 사용내역'!C130,'센터 자재 사용내역(11월)'!F:F,"신규")+SUMIFS('센터 자재 사용내역(11월)'!G:G,'센터 자재 사용내역(11월)'!E:E,'사급자재 사용내역'!C130,'센터 자재 사용내역(11월)'!F:F,"교체")</f>
        <v>0</v>
      </c>
      <c r="X130" s="40">
        <f>SUMIFS('센터 자재 사용내역(12월)'!G:G,'센터 자재 사용내역(12월)'!E:E,'사급자재 사용내역'!C130,'센터 자재 사용내역(12월)'!F:F,"신규")+SUMIFS('센터 자재 사용내역(12월)'!G:G,'센터 자재 사용내역(12월)'!E:E,'사급자재 사용내역'!C130,'센터 자재 사용내역(12월)'!F:F,"교체")</f>
        <v>0</v>
      </c>
      <c r="Y130" s="40">
        <f t="shared" si="29"/>
        <v>0</v>
      </c>
      <c r="Z130" s="53"/>
      <c r="AB130" s="56"/>
      <c r="AC130" s="29"/>
      <c r="AD130" s="29"/>
      <c r="AE130" s="29"/>
      <c r="AF130" s="29"/>
      <c r="AG130" s="29"/>
      <c r="AH130" s="29"/>
      <c r="AI130" s="29"/>
      <c r="AJ130" s="29"/>
      <c r="AK130" s="29"/>
      <c r="AL130" s="29"/>
      <c r="AM130" s="29"/>
      <c r="AN130" s="21">
        <f t="shared" si="30"/>
        <v>0</v>
      </c>
      <c r="AO130" s="57"/>
      <c r="AQ130" s="61">
        <f>SUMIFS('센터 자재 사용내역(01월)'!G:G,'센터 자재 사용내역(01월)'!E:E,'사급자재 사용내역'!C130,'센터 자재 사용내역(01월)'!F:F,"불량")</f>
        <v>0</v>
      </c>
      <c r="AR130" s="40">
        <f>SUMIFS('센터 자재 사용내역(02월)'!G:G,'센터 자재 사용내역(02월)'!E:E,'사급자재 사용내역'!C130,'센터 자재 사용내역(02월)'!F:F,"불량")</f>
        <v>0</v>
      </c>
      <c r="AS130" s="40">
        <f>SUMIFS('센터 자재 사용내역(03월)'!G:G,'센터 자재 사용내역(03월)'!E:E,'사급자재 사용내역'!C130,'센터 자재 사용내역(03월)'!F:F,"불량")</f>
        <v>0</v>
      </c>
      <c r="AT130" s="40">
        <f>SUMIFS('센터 자재 사용내역(04월)'!G:G,'센터 자재 사용내역(04월)'!E:E,'사급자재 사용내역'!C130,'센터 자재 사용내역(04월)'!F:F,"불량")</f>
        <v>0</v>
      </c>
      <c r="AU130" s="40">
        <f>SUMIFS('센터 자재 사용내역(05월)'!G:G,'센터 자재 사용내역(05월)'!E:E,'사급자재 사용내역'!C130,'센터 자재 사용내역(05월)'!F:F,"불량")</f>
        <v>0</v>
      </c>
      <c r="AV130" s="40">
        <f>SUMIFS('센터 자재 사용내역(06월)'!G:G,'센터 자재 사용내역(06월)'!E:E,'사급자재 사용내역'!C130,'센터 자재 사용내역(06월)'!F:F,"불량")</f>
        <v>0</v>
      </c>
      <c r="AW130" s="40">
        <f>SUMIFS('센터 자재 사용내역(07월)'!G:G,'센터 자재 사용내역(07월)'!E:E,'사급자재 사용내역'!C130,'센터 자재 사용내역(07월)'!F:F,"불량")</f>
        <v>0</v>
      </c>
      <c r="AX130" s="40">
        <f>SUMIFS('센터 자재 사용내역(08월)'!G:G,'센터 자재 사용내역(08월)'!E:E,'사급자재 사용내역'!C130,'센터 자재 사용내역(08월)'!F:F,"불량")</f>
        <v>0</v>
      </c>
      <c r="AY130" s="40">
        <f>SUMIFS('센터 자재 사용내역(09월)'!G:G,'센터 자재 사용내역(09월)'!E:E,'사급자재 사용내역'!C130,'센터 자재 사용내역(09월)'!F:F,"불량")</f>
        <v>0</v>
      </c>
      <c r="AZ130" s="40">
        <f>SUMIFS('센터 자재 사용내역(10월)'!G:G,'센터 자재 사용내역(10월)'!E:E,'사급자재 사용내역'!C130,'센터 자재 사용내역(10월)'!F:F,"불량")</f>
        <v>0</v>
      </c>
      <c r="BA130" s="40">
        <f>SUMIFS('센터 자재 사용내역(11월)'!G:G,'센터 자재 사용내역(11월)'!E:E,'사급자재 사용내역'!C130,'센터 자재 사용내역(11월)'!F:F,"불량")</f>
        <v>0</v>
      </c>
      <c r="BB130" s="40">
        <f>SUMIFS('센터 자재 사용내역(12월)'!G:G,'센터 자재 사용내역(12월)'!E:E,'사급자재 사용내역'!C130,'센터 자재 사용내역(12월)'!F:F,"불량")</f>
        <v>0</v>
      </c>
      <c r="BC130" s="40">
        <f t="shared" si="35"/>
        <v>0</v>
      </c>
      <c r="BD130" s="62"/>
    </row>
    <row r="131" spans="2:56" ht="19.5" customHeight="1">
      <c r="B131" s="98" t="s">
        <v>85</v>
      </c>
      <c r="C131" s="23" t="s">
        <v>173</v>
      </c>
      <c r="D131" s="64" t="s">
        <v>90</v>
      </c>
      <c r="E131" s="67">
        <v>0</v>
      </c>
      <c r="F131" s="47">
        <v>0</v>
      </c>
      <c r="G131" s="46"/>
      <c r="H131" s="78"/>
      <c r="I131" s="90">
        <f t="shared" si="25"/>
        <v>0</v>
      </c>
      <c r="J131" s="89">
        <f t="shared" si="27"/>
        <v>0</v>
      </c>
      <c r="K131" s="78">
        <f t="shared" si="26"/>
        <v>0</v>
      </c>
      <c r="L131" s="84">
        <f t="shared" si="28"/>
        <v>0</v>
      </c>
      <c r="M131" s="79">
        <f>SUMIFS('센터 자재 사용내역(01월)'!G:G,'센터 자재 사용내역(01월)'!E:E,'사급자재 사용내역'!C131,'센터 자재 사용내역(01월)'!F:F,"신규")+SUMIFS('센터 자재 사용내역(01월)'!G:G,'센터 자재 사용내역(01월)'!E:E,'사급자재 사용내역'!C131,'센터 자재 사용내역(01월)'!F:F,"교체")</f>
        <v>0</v>
      </c>
      <c r="N131" s="40">
        <f>SUMIFS('센터 자재 사용내역(02월)'!G:G,'센터 자재 사용내역(02월)'!E:E,'사급자재 사용내역'!C131,'센터 자재 사용내역(02월)'!F:F,"신규")+SUMIFS('센터 자재 사용내역(02월)'!G:G,'센터 자재 사용내역(02월)'!E:E,'사급자재 사용내역'!C131,'센터 자재 사용내역(02월)'!F:F,"교체")</f>
        <v>0</v>
      </c>
      <c r="O131" s="40">
        <f>SUMIFS('센터 자재 사용내역(03월)'!G:G,'센터 자재 사용내역(03월)'!E:E,'사급자재 사용내역'!C131,'센터 자재 사용내역(03월)'!F:F,"신규")+SUMIFS('센터 자재 사용내역(03월)'!G:G,'센터 자재 사용내역(03월)'!E:E,'사급자재 사용내역'!C131,'센터 자재 사용내역(03월)'!F:F,"교체")</f>
        <v>0</v>
      </c>
      <c r="P131" s="40">
        <f>SUMIFS('센터 자재 사용내역(04월)'!G:G,'센터 자재 사용내역(04월)'!E:E,'사급자재 사용내역'!C131,'센터 자재 사용내역(04월)'!F:F,"신규")+SUMIFS('센터 자재 사용내역(04월)'!G:G,'센터 자재 사용내역(04월)'!E:E,'사급자재 사용내역'!C131,'센터 자재 사용내역(04월)'!F:F,"교체")</f>
        <v>0</v>
      </c>
      <c r="Q131" s="40">
        <f>SUMIFS('센터 자재 사용내역(05월)'!G:G,'센터 자재 사용내역(05월)'!E:E,'사급자재 사용내역'!C131,'센터 자재 사용내역(05월)'!F:F,"신규")+SUMIFS('센터 자재 사용내역(05월)'!G:G,'센터 자재 사용내역(05월)'!E:E,'사급자재 사용내역'!C131,'센터 자재 사용내역(05월)'!F:F,"교체")</f>
        <v>0</v>
      </c>
      <c r="R131" s="40">
        <f>SUMIFS('센터 자재 사용내역(06월)'!G:G,'센터 자재 사용내역(06월)'!E:E,'사급자재 사용내역'!C131,'센터 자재 사용내역(06월)'!F:F,"신규")+SUMIFS('센터 자재 사용내역(06월)'!G:G,'센터 자재 사용내역(06월)'!E:E,'사급자재 사용내역'!C131,'센터 자재 사용내역(06월)'!F:F,"교체")</f>
        <v>0</v>
      </c>
      <c r="S131" s="40">
        <f>SUMIFS('센터 자재 사용내역(07월)'!G:G,'센터 자재 사용내역(07월)'!E:E,'사급자재 사용내역'!C131,'센터 자재 사용내역(07월)'!F:F,"신규")+SUMIFS('센터 자재 사용내역(07월)'!G:G,'센터 자재 사용내역(07월)'!E:E,'사급자재 사용내역'!C131,'센터 자재 사용내역(07월)'!F:F,"교체")</f>
        <v>0</v>
      </c>
      <c r="T131" s="40">
        <f>SUMIFS('센터 자재 사용내역(08월)'!G:G,'센터 자재 사용내역(08월)'!E:E,'사급자재 사용내역'!C131,'센터 자재 사용내역(08월)'!F:F,"신규")+SUMIFS('센터 자재 사용내역(08월)'!G:G,'센터 자재 사용내역(08월)'!E:E,'사급자재 사용내역'!C131,'센터 자재 사용내역(08월)'!F:F,"교체")</f>
        <v>0</v>
      </c>
      <c r="U131" s="40">
        <f>SUMIFS('센터 자재 사용내역(09월)'!G:G,'센터 자재 사용내역(09월)'!E:E,'사급자재 사용내역'!C131,'센터 자재 사용내역(09월)'!F:F,"신규")+SUMIFS('센터 자재 사용내역(09월)'!G:G,'센터 자재 사용내역(09월)'!E:E,'사급자재 사용내역'!C131,'센터 자재 사용내역(09월)'!F:F,"교체")</f>
        <v>0</v>
      </c>
      <c r="V131" s="40">
        <f>SUMIFS('센터 자재 사용내역(10월)'!G:G,'센터 자재 사용내역(10월)'!E:E,'사급자재 사용내역'!C131,'센터 자재 사용내역(10월)'!F:F,"신규")+SUMIFS('센터 자재 사용내역(10월)'!G:G,'센터 자재 사용내역(10월)'!E:E,'사급자재 사용내역'!C131,'센터 자재 사용내역(10월)'!F:F,"교체")</f>
        <v>0</v>
      </c>
      <c r="W131" s="40">
        <f>SUMIFS('센터 자재 사용내역(11월)'!G:G,'센터 자재 사용내역(11월)'!E:E,'사급자재 사용내역'!C131,'센터 자재 사용내역(11월)'!F:F,"신규")+SUMIFS('센터 자재 사용내역(11월)'!G:G,'센터 자재 사용내역(11월)'!E:E,'사급자재 사용내역'!C131,'센터 자재 사용내역(11월)'!F:F,"교체")</f>
        <v>0</v>
      </c>
      <c r="X131" s="40">
        <f>SUMIFS('센터 자재 사용내역(12월)'!G:G,'센터 자재 사용내역(12월)'!E:E,'사급자재 사용내역'!C131,'센터 자재 사용내역(12월)'!F:F,"신규")+SUMIFS('센터 자재 사용내역(12월)'!G:G,'센터 자재 사용내역(12월)'!E:E,'사급자재 사용내역'!C131,'센터 자재 사용내역(12월)'!F:F,"교체")</f>
        <v>0</v>
      </c>
      <c r="Y131" s="40">
        <f t="shared" si="29"/>
        <v>0</v>
      </c>
      <c r="Z131" s="53"/>
      <c r="AB131" s="56"/>
      <c r="AC131" s="29"/>
      <c r="AD131" s="29"/>
      <c r="AE131" s="29"/>
      <c r="AF131" s="29"/>
      <c r="AG131" s="29"/>
      <c r="AH131" s="29"/>
      <c r="AI131" s="29"/>
      <c r="AJ131" s="29"/>
      <c r="AK131" s="29"/>
      <c r="AL131" s="29"/>
      <c r="AM131" s="29"/>
      <c r="AN131" s="21">
        <f t="shared" si="30"/>
        <v>0</v>
      </c>
      <c r="AO131" s="57"/>
      <c r="AQ131" s="61">
        <f>SUMIFS('센터 자재 사용내역(01월)'!G:G,'센터 자재 사용내역(01월)'!E:E,'사급자재 사용내역'!C131,'센터 자재 사용내역(01월)'!F:F,"불량")</f>
        <v>0</v>
      </c>
      <c r="AR131" s="40">
        <f>SUMIFS('센터 자재 사용내역(02월)'!G:G,'센터 자재 사용내역(02월)'!E:E,'사급자재 사용내역'!C131,'센터 자재 사용내역(02월)'!F:F,"불량")</f>
        <v>0</v>
      </c>
      <c r="AS131" s="40">
        <f>SUMIFS('센터 자재 사용내역(03월)'!G:G,'센터 자재 사용내역(03월)'!E:E,'사급자재 사용내역'!C131,'센터 자재 사용내역(03월)'!F:F,"불량")</f>
        <v>0</v>
      </c>
      <c r="AT131" s="40">
        <f>SUMIFS('센터 자재 사용내역(04월)'!G:G,'센터 자재 사용내역(04월)'!E:E,'사급자재 사용내역'!C131,'센터 자재 사용내역(04월)'!F:F,"불량")</f>
        <v>0</v>
      </c>
      <c r="AU131" s="40">
        <f>SUMIFS('센터 자재 사용내역(05월)'!G:G,'센터 자재 사용내역(05월)'!E:E,'사급자재 사용내역'!C131,'센터 자재 사용내역(05월)'!F:F,"불량")</f>
        <v>0</v>
      </c>
      <c r="AV131" s="40">
        <f>SUMIFS('센터 자재 사용내역(06월)'!G:G,'센터 자재 사용내역(06월)'!E:E,'사급자재 사용내역'!C131,'센터 자재 사용내역(06월)'!F:F,"불량")</f>
        <v>0</v>
      </c>
      <c r="AW131" s="40">
        <f>SUMIFS('센터 자재 사용내역(07월)'!G:G,'센터 자재 사용내역(07월)'!E:E,'사급자재 사용내역'!C131,'센터 자재 사용내역(07월)'!F:F,"불량")</f>
        <v>0</v>
      </c>
      <c r="AX131" s="40">
        <f>SUMIFS('센터 자재 사용내역(08월)'!G:G,'센터 자재 사용내역(08월)'!E:E,'사급자재 사용내역'!C131,'센터 자재 사용내역(08월)'!F:F,"불량")</f>
        <v>0</v>
      </c>
      <c r="AY131" s="40">
        <f>SUMIFS('센터 자재 사용내역(09월)'!G:G,'센터 자재 사용내역(09월)'!E:E,'사급자재 사용내역'!C131,'센터 자재 사용내역(09월)'!F:F,"불량")</f>
        <v>0</v>
      </c>
      <c r="AZ131" s="40">
        <f>SUMIFS('센터 자재 사용내역(10월)'!G:G,'센터 자재 사용내역(10월)'!E:E,'사급자재 사용내역'!C131,'센터 자재 사용내역(10월)'!F:F,"불량")</f>
        <v>0</v>
      </c>
      <c r="BA131" s="40">
        <f>SUMIFS('센터 자재 사용내역(11월)'!G:G,'센터 자재 사용내역(11월)'!E:E,'사급자재 사용내역'!C131,'센터 자재 사용내역(11월)'!F:F,"불량")</f>
        <v>0</v>
      </c>
      <c r="BB131" s="40">
        <f>SUMIFS('센터 자재 사용내역(12월)'!G:G,'센터 자재 사용내역(12월)'!E:E,'사급자재 사용내역'!C131,'센터 자재 사용내역(12월)'!F:F,"불량")</f>
        <v>0</v>
      </c>
      <c r="BC131" s="40">
        <f t="shared" si="35"/>
        <v>0</v>
      </c>
      <c r="BD131" s="62"/>
    </row>
    <row r="132" spans="2:56" ht="19.5" customHeight="1">
      <c r="B132" s="99"/>
      <c r="C132" s="23" t="s">
        <v>79</v>
      </c>
      <c r="D132" s="64" t="s">
        <v>129</v>
      </c>
      <c r="E132" s="67">
        <v>0</v>
      </c>
      <c r="F132" s="47">
        <v>0</v>
      </c>
      <c r="G132" s="46"/>
      <c r="H132" s="78"/>
      <c r="I132" s="90">
        <f t="shared" si="25"/>
        <v>0</v>
      </c>
      <c r="J132" s="89">
        <f t="shared" si="27"/>
        <v>0</v>
      </c>
      <c r="K132" s="78">
        <f t="shared" si="26"/>
        <v>0</v>
      </c>
      <c r="L132" s="84">
        <f t="shared" si="28"/>
        <v>0</v>
      </c>
      <c r="M132" s="79">
        <f>SUMIFS('센터 자재 사용내역(01월)'!G:G,'센터 자재 사용내역(01월)'!E:E,'사급자재 사용내역'!C132,'센터 자재 사용내역(01월)'!F:F,"신규")+SUMIFS('센터 자재 사용내역(01월)'!G:G,'센터 자재 사용내역(01월)'!E:E,'사급자재 사용내역'!C132,'센터 자재 사용내역(01월)'!F:F,"교체")</f>
        <v>0</v>
      </c>
      <c r="N132" s="40">
        <f>SUMIFS('센터 자재 사용내역(02월)'!G:G,'센터 자재 사용내역(02월)'!E:E,'사급자재 사용내역'!C132,'센터 자재 사용내역(02월)'!F:F,"신규")+SUMIFS('센터 자재 사용내역(02월)'!G:G,'센터 자재 사용내역(02월)'!E:E,'사급자재 사용내역'!C132,'센터 자재 사용내역(02월)'!F:F,"교체")</f>
        <v>0</v>
      </c>
      <c r="O132" s="40">
        <f>SUMIFS('센터 자재 사용내역(03월)'!G:G,'센터 자재 사용내역(03월)'!E:E,'사급자재 사용내역'!C132,'센터 자재 사용내역(03월)'!F:F,"신규")+SUMIFS('센터 자재 사용내역(03월)'!G:G,'센터 자재 사용내역(03월)'!E:E,'사급자재 사용내역'!C132,'센터 자재 사용내역(03월)'!F:F,"교체")</f>
        <v>0</v>
      </c>
      <c r="P132" s="40">
        <f>SUMIFS('센터 자재 사용내역(04월)'!G:G,'센터 자재 사용내역(04월)'!E:E,'사급자재 사용내역'!C132,'센터 자재 사용내역(04월)'!F:F,"신규")+SUMIFS('센터 자재 사용내역(04월)'!G:G,'센터 자재 사용내역(04월)'!E:E,'사급자재 사용내역'!C132,'센터 자재 사용내역(04월)'!F:F,"교체")</f>
        <v>0</v>
      </c>
      <c r="Q132" s="40">
        <f>SUMIFS('센터 자재 사용내역(05월)'!G:G,'센터 자재 사용내역(05월)'!E:E,'사급자재 사용내역'!C132,'센터 자재 사용내역(05월)'!F:F,"신규")+SUMIFS('센터 자재 사용내역(05월)'!G:G,'센터 자재 사용내역(05월)'!E:E,'사급자재 사용내역'!C132,'센터 자재 사용내역(05월)'!F:F,"교체")</f>
        <v>0</v>
      </c>
      <c r="R132" s="40">
        <f>SUMIFS('센터 자재 사용내역(06월)'!G:G,'센터 자재 사용내역(06월)'!E:E,'사급자재 사용내역'!C132,'센터 자재 사용내역(06월)'!F:F,"신규")+SUMIFS('센터 자재 사용내역(06월)'!G:G,'센터 자재 사용내역(06월)'!E:E,'사급자재 사용내역'!C132,'센터 자재 사용내역(06월)'!F:F,"교체")</f>
        <v>0</v>
      </c>
      <c r="S132" s="40">
        <f>SUMIFS('센터 자재 사용내역(07월)'!G:G,'센터 자재 사용내역(07월)'!E:E,'사급자재 사용내역'!C132,'센터 자재 사용내역(07월)'!F:F,"신규")+SUMIFS('센터 자재 사용내역(07월)'!G:G,'센터 자재 사용내역(07월)'!E:E,'사급자재 사용내역'!C132,'센터 자재 사용내역(07월)'!F:F,"교체")</f>
        <v>0</v>
      </c>
      <c r="T132" s="40">
        <f>SUMIFS('센터 자재 사용내역(08월)'!G:G,'센터 자재 사용내역(08월)'!E:E,'사급자재 사용내역'!C132,'센터 자재 사용내역(08월)'!F:F,"신규")+SUMIFS('센터 자재 사용내역(08월)'!G:G,'센터 자재 사용내역(08월)'!E:E,'사급자재 사용내역'!C132,'센터 자재 사용내역(08월)'!F:F,"교체")</f>
        <v>0</v>
      </c>
      <c r="U132" s="40">
        <f>SUMIFS('센터 자재 사용내역(09월)'!G:G,'센터 자재 사용내역(09월)'!E:E,'사급자재 사용내역'!C132,'센터 자재 사용내역(09월)'!F:F,"신규")+SUMIFS('센터 자재 사용내역(09월)'!G:G,'센터 자재 사용내역(09월)'!E:E,'사급자재 사용내역'!C132,'센터 자재 사용내역(09월)'!F:F,"교체")</f>
        <v>0</v>
      </c>
      <c r="V132" s="40">
        <f>SUMIFS('센터 자재 사용내역(10월)'!G:G,'센터 자재 사용내역(10월)'!E:E,'사급자재 사용내역'!C132,'센터 자재 사용내역(10월)'!F:F,"신규")+SUMIFS('센터 자재 사용내역(10월)'!G:G,'센터 자재 사용내역(10월)'!E:E,'사급자재 사용내역'!C132,'센터 자재 사용내역(10월)'!F:F,"교체")</f>
        <v>0</v>
      </c>
      <c r="W132" s="40">
        <f>SUMIFS('센터 자재 사용내역(11월)'!G:G,'센터 자재 사용내역(11월)'!E:E,'사급자재 사용내역'!C132,'센터 자재 사용내역(11월)'!F:F,"신규")+SUMIFS('센터 자재 사용내역(11월)'!G:G,'센터 자재 사용내역(11월)'!E:E,'사급자재 사용내역'!C132,'센터 자재 사용내역(11월)'!F:F,"교체")</f>
        <v>0</v>
      </c>
      <c r="X132" s="40">
        <f>SUMIFS('센터 자재 사용내역(12월)'!G:G,'센터 자재 사용내역(12월)'!E:E,'사급자재 사용내역'!C132,'센터 자재 사용내역(12월)'!F:F,"신규")+SUMIFS('센터 자재 사용내역(12월)'!G:G,'센터 자재 사용내역(12월)'!E:E,'사급자재 사용내역'!C132,'센터 자재 사용내역(12월)'!F:F,"교체")</f>
        <v>0</v>
      </c>
      <c r="Y132" s="40">
        <f t="shared" si="29"/>
        <v>0</v>
      </c>
      <c r="Z132" s="53"/>
      <c r="AB132" s="56"/>
      <c r="AC132" s="29"/>
      <c r="AD132" s="29"/>
      <c r="AE132" s="29"/>
      <c r="AF132" s="29"/>
      <c r="AG132" s="29"/>
      <c r="AH132" s="29"/>
      <c r="AI132" s="29"/>
      <c r="AJ132" s="29"/>
      <c r="AK132" s="29"/>
      <c r="AL132" s="29"/>
      <c r="AM132" s="29"/>
      <c r="AN132" s="21">
        <f t="shared" si="30"/>
        <v>0</v>
      </c>
      <c r="AO132" s="57"/>
      <c r="AQ132" s="61">
        <f>SUMIFS('센터 자재 사용내역(01월)'!G:G,'센터 자재 사용내역(01월)'!E:E,'사급자재 사용내역'!C132,'센터 자재 사용내역(01월)'!F:F,"불량")</f>
        <v>0</v>
      </c>
      <c r="AR132" s="40">
        <f>SUMIFS('센터 자재 사용내역(02월)'!G:G,'센터 자재 사용내역(02월)'!E:E,'사급자재 사용내역'!C132,'센터 자재 사용내역(02월)'!F:F,"불량")</f>
        <v>0</v>
      </c>
      <c r="AS132" s="40">
        <f>SUMIFS('센터 자재 사용내역(03월)'!G:G,'센터 자재 사용내역(03월)'!E:E,'사급자재 사용내역'!C132,'센터 자재 사용내역(03월)'!F:F,"불량")</f>
        <v>0</v>
      </c>
      <c r="AT132" s="40">
        <f>SUMIFS('센터 자재 사용내역(04월)'!G:G,'센터 자재 사용내역(04월)'!E:E,'사급자재 사용내역'!C132,'센터 자재 사용내역(04월)'!F:F,"불량")</f>
        <v>0</v>
      </c>
      <c r="AU132" s="40">
        <f>SUMIFS('센터 자재 사용내역(05월)'!G:G,'센터 자재 사용내역(05월)'!E:E,'사급자재 사용내역'!C132,'센터 자재 사용내역(05월)'!F:F,"불량")</f>
        <v>0</v>
      </c>
      <c r="AV132" s="40">
        <f>SUMIFS('센터 자재 사용내역(06월)'!G:G,'센터 자재 사용내역(06월)'!E:E,'사급자재 사용내역'!C132,'센터 자재 사용내역(06월)'!F:F,"불량")</f>
        <v>0</v>
      </c>
      <c r="AW132" s="40">
        <f>SUMIFS('센터 자재 사용내역(07월)'!G:G,'센터 자재 사용내역(07월)'!E:E,'사급자재 사용내역'!C132,'센터 자재 사용내역(07월)'!F:F,"불량")</f>
        <v>0</v>
      </c>
      <c r="AX132" s="40">
        <f>SUMIFS('센터 자재 사용내역(08월)'!G:G,'센터 자재 사용내역(08월)'!E:E,'사급자재 사용내역'!C132,'센터 자재 사용내역(08월)'!F:F,"불량")</f>
        <v>0</v>
      </c>
      <c r="AY132" s="40">
        <f>SUMIFS('센터 자재 사용내역(09월)'!G:G,'센터 자재 사용내역(09월)'!E:E,'사급자재 사용내역'!C132,'센터 자재 사용내역(09월)'!F:F,"불량")</f>
        <v>0</v>
      </c>
      <c r="AZ132" s="40">
        <f>SUMIFS('센터 자재 사용내역(10월)'!G:G,'센터 자재 사용내역(10월)'!E:E,'사급자재 사용내역'!C132,'센터 자재 사용내역(10월)'!F:F,"불량")</f>
        <v>0</v>
      </c>
      <c r="BA132" s="40">
        <f>SUMIFS('센터 자재 사용내역(11월)'!G:G,'센터 자재 사용내역(11월)'!E:E,'사급자재 사용내역'!C132,'센터 자재 사용내역(11월)'!F:F,"불량")</f>
        <v>0</v>
      </c>
      <c r="BB132" s="40">
        <f>SUMIFS('센터 자재 사용내역(12월)'!G:G,'센터 자재 사용내역(12월)'!E:E,'사급자재 사용내역'!C132,'센터 자재 사용내역(12월)'!F:F,"불량")</f>
        <v>0</v>
      </c>
      <c r="BC132" s="40">
        <f t="shared" si="35"/>
        <v>0</v>
      </c>
      <c r="BD132" s="62"/>
    </row>
    <row r="133" spans="2:56" ht="19.5" customHeight="1">
      <c r="B133" s="99"/>
      <c r="C133" s="23" t="s">
        <v>163</v>
      </c>
      <c r="D133" s="64" t="s">
        <v>129</v>
      </c>
      <c r="E133" s="67">
        <v>1</v>
      </c>
      <c r="F133" s="47">
        <v>0</v>
      </c>
      <c r="G133" s="46"/>
      <c r="H133" s="78"/>
      <c r="I133" s="90">
        <f t="shared" si="25"/>
        <v>0</v>
      </c>
      <c r="J133" s="89">
        <f t="shared" si="27"/>
        <v>0</v>
      </c>
      <c r="K133" s="78">
        <f t="shared" si="26"/>
        <v>0</v>
      </c>
      <c r="L133" s="84">
        <f t="shared" ref="L133:L144" si="36">E133-J133+K133</f>
        <v>1</v>
      </c>
      <c r="M133" s="79">
        <f>SUMIFS('센터 자재 사용내역(01월)'!G:G,'센터 자재 사용내역(01월)'!E:E,'사급자재 사용내역'!C133,'센터 자재 사용내역(01월)'!F:F,"신규")+SUMIFS('센터 자재 사용내역(01월)'!G:G,'센터 자재 사용내역(01월)'!E:E,'사급자재 사용내역'!C133,'센터 자재 사용내역(01월)'!F:F,"교체")</f>
        <v>0</v>
      </c>
      <c r="N133" s="40">
        <f>SUMIFS('센터 자재 사용내역(02월)'!G:G,'센터 자재 사용내역(02월)'!E:E,'사급자재 사용내역'!C133,'센터 자재 사용내역(02월)'!F:F,"신규")+SUMIFS('센터 자재 사용내역(02월)'!G:G,'센터 자재 사용내역(02월)'!E:E,'사급자재 사용내역'!C133,'센터 자재 사용내역(02월)'!F:F,"교체")</f>
        <v>0</v>
      </c>
      <c r="O133" s="40">
        <f>SUMIFS('센터 자재 사용내역(03월)'!G:G,'센터 자재 사용내역(03월)'!E:E,'사급자재 사용내역'!C133,'센터 자재 사용내역(03월)'!F:F,"신규")+SUMIFS('센터 자재 사용내역(03월)'!G:G,'센터 자재 사용내역(03월)'!E:E,'사급자재 사용내역'!C133,'센터 자재 사용내역(03월)'!F:F,"교체")</f>
        <v>0</v>
      </c>
      <c r="P133" s="40">
        <f>SUMIFS('센터 자재 사용내역(04월)'!G:G,'센터 자재 사용내역(04월)'!E:E,'사급자재 사용내역'!C133,'센터 자재 사용내역(04월)'!F:F,"신규")+SUMIFS('센터 자재 사용내역(04월)'!G:G,'센터 자재 사용내역(04월)'!E:E,'사급자재 사용내역'!C133,'센터 자재 사용내역(04월)'!F:F,"교체")</f>
        <v>0</v>
      </c>
      <c r="Q133" s="40">
        <f>SUMIFS('센터 자재 사용내역(05월)'!G:G,'센터 자재 사용내역(05월)'!E:E,'사급자재 사용내역'!C133,'센터 자재 사용내역(05월)'!F:F,"신규")+SUMIFS('센터 자재 사용내역(05월)'!G:G,'센터 자재 사용내역(05월)'!E:E,'사급자재 사용내역'!C133,'센터 자재 사용내역(05월)'!F:F,"교체")</f>
        <v>0</v>
      </c>
      <c r="R133" s="40">
        <f>SUMIFS('센터 자재 사용내역(06월)'!G:G,'센터 자재 사용내역(06월)'!E:E,'사급자재 사용내역'!C133,'센터 자재 사용내역(06월)'!F:F,"신규")+SUMIFS('센터 자재 사용내역(06월)'!G:G,'센터 자재 사용내역(06월)'!E:E,'사급자재 사용내역'!C133,'센터 자재 사용내역(06월)'!F:F,"교체")</f>
        <v>0</v>
      </c>
      <c r="S133" s="40">
        <f>SUMIFS('센터 자재 사용내역(07월)'!G:G,'센터 자재 사용내역(07월)'!E:E,'사급자재 사용내역'!C133,'센터 자재 사용내역(07월)'!F:F,"신규")+SUMIFS('센터 자재 사용내역(07월)'!G:G,'센터 자재 사용내역(07월)'!E:E,'사급자재 사용내역'!C133,'센터 자재 사용내역(07월)'!F:F,"교체")</f>
        <v>0</v>
      </c>
      <c r="T133" s="40">
        <f>SUMIFS('센터 자재 사용내역(08월)'!G:G,'센터 자재 사용내역(08월)'!E:E,'사급자재 사용내역'!C133,'센터 자재 사용내역(08월)'!F:F,"신규")+SUMIFS('센터 자재 사용내역(08월)'!G:G,'센터 자재 사용내역(08월)'!E:E,'사급자재 사용내역'!C133,'센터 자재 사용내역(08월)'!F:F,"교체")</f>
        <v>0</v>
      </c>
      <c r="U133" s="40">
        <f>SUMIFS('센터 자재 사용내역(09월)'!G:G,'센터 자재 사용내역(09월)'!E:E,'사급자재 사용내역'!C133,'센터 자재 사용내역(09월)'!F:F,"신규")+SUMIFS('센터 자재 사용내역(09월)'!G:G,'센터 자재 사용내역(09월)'!E:E,'사급자재 사용내역'!C133,'센터 자재 사용내역(09월)'!F:F,"교체")</f>
        <v>0</v>
      </c>
      <c r="V133" s="40">
        <f>SUMIFS('센터 자재 사용내역(10월)'!G:G,'센터 자재 사용내역(10월)'!E:E,'사급자재 사용내역'!C133,'센터 자재 사용내역(10월)'!F:F,"신규")+SUMIFS('센터 자재 사용내역(10월)'!G:G,'센터 자재 사용내역(10월)'!E:E,'사급자재 사용내역'!C133,'센터 자재 사용내역(10월)'!F:F,"교체")</f>
        <v>0</v>
      </c>
      <c r="W133" s="40">
        <f>SUMIFS('센터 자재 사용내역(11월)'!G:G,'센터 자재 사용내역(11월)'!E:E,'사급자재 사용내역'!C133,'센터 자재 사용내역(11월)'!F:F,"신규")+SUMIFS('센터 자재 사용내역(11월)'!G:G,'센터 자재 사용내역(11월)'!E:E,'사급자재 사용내역'!C133,'센터 자재 사용내역(11월)'!F:F,"교체")</f>
        <v>0</v>
      </c>
      <c r="X133" s="40">
        <f>SUMIFS('센터 자재 사용내역(12월)'!G:G,'센터 자재 사용내역(12월)'!E:E,'사급자재 사용내역'!C133,'센터 자재 사용내역(12월)'!F:F,"신규")+SUMIFS('센터 자재 사용내역(12월)'!G:G,'센터 자재 사용내역(12월)'!E:E,'사급자재 사용내역'!C133,'센터 자재 사용내역(12월)'!F:F,"교체")</f>
        <v>0</v>
      </c>
      <c r="Y133" s="40">
        <f t="shared" si="29"/>
        <v>0</v>
      </c>
      <c r="Z133" s="53"/>
      <c r="AB133" s="56"/>
      <c r="AC133" s="29"/>
      <c r="AD133" s="29"/>
      <c r="AE133" s="29"/>
      <c r="AF133" s="29"/>
      <c r="AG133" s="29"/>
      <c r="AH133" s="29"/>
      <c r="AI133" s="29"/>
      <c r="AJ133" s="29"/>
      <c r="AK133" s="29"/>
      <c r="AL133" s="29"/>
      <c r="AM133" s="29"/>
      <c r="AN133" s="21">
        <f t="shared" ref="AN133:AN144" si="37">SUM(AB133:AM133)</f>
        <v>0</v>
      </c>
      <c r="AO133" s="57"/>
      <c r="AQ133" s="61">
        <f>SUMIFS('센터 자재 사용내역(01월)'!G:G,'센터 자재 사용내역(01월)'!E:E,'사급자재 사용내역'!C133,'센터 자재 사용내역(01월)'!F:F,"불량")</f>
        <v>0</v>
      </c>
      <c r="AR133" s="40">
        <f>SUMIFS('센터 자재 사용내역(02월)'!G:G,'센터 자재 사용내역(02월)'!E:E,'사급자재 사용내역'!C133,'센터 자재 사용내역(02월)'!F:F,"불량")</f>
        <v>0</v>
      </c>
      <c r="AS133" s="40">
        <f>SUMIFS('센터 자재 사용내역(03월)'!G:G,'센터 자재 사용내역(03월)'!E:E,'사급자재 사용내역'!C133,'센터 자재 사용내역(03월)'!F:F,"불량")</f>
        <v>0</v>
      </c>
      <c r="AT133" s="40">
        <f>SUMIFS('센터 자재 사용내역(04월)'!G:G,'센터 자재 사용내역(04월)'!E:E,'사급자재 사용내역'!C133,'센터 자재 사용내역(04월)'!F:F,"불량")</f>
        <v>0</v>
      </c>
      <c r="AU133" s="40">
        <f>SUMIFS('센터 자재 사용내역(05월)'!G:G,'센터 자재 사용내역(05월)'!E:E,'사급자재 사용내역'!C133,'센터 자재 사용내역(05월)'!F:F,"불량")</f>
        <v>0</v>
      </c>
      <c r="AV133" s="40">
        <f>SUMIFS('센터 자재 사용내역(06월)'!G:G,'센터 자재 사용내역(06월)'!E:E,'사급자재 사용내역'!C133,'센터 자재 사용내역(06월)'!F:F,"불량")</f>
        <v>0</v>
      </c>
      <c r="AW133" s="40">
        <f>SUMIFS('센터 자재 사용내역(07월)'!G:G,'센터 자재 사용내역(07월)'!E:E,'사급자재 사용내역'!C133,'센터 자재 사용내역(07월)'!F:F,"불량")</f>
        <v>0</v>
      </c>
      <c r="AX133" s="40">
        <f>SUMIFS('센터 자재 사용내역(08월)'!G:G,'센터 자재 사용내역(08월)'!E:E,'사급자재 사용내역'!C133,'센터 자재 사용내역(08월)'!F:F,"불량")</f>
        <v>0</v>
      </c>
      <c r="AY133" s="40">
        <f>SUMIFS('센터 자재 사용내역(09월)'!G:G,'센터 자재 사용내역(09월)'!E:E,'사급자재 사용내역'!C133,'센터 자재 사용내역(09월)'!F:F,"불량")</f>
        <v>0</v>
      </c>
      <c r="AZ133" s="40">
        <f>SUMIFS('센터 자재 사용내역(10월)'!G:G,'센터 자재 사용내역(10월)'!E:E,'사급자재 사용내역'!C133,'센터 자재 사용내역(10월)'!F:F,"불량")</f>
        <v>0</v>
      </c>
      <c r="BA133" s="40">
        <f>SUMIFS('센터 자재 사용내역(11월)'!G:G,'센터 자재 사용내역(11월)'!E:E,'사급자재 사용내역'!C133,'센터 자재 사용내역(11월)'!F:F,"불량")</f>
        <v>0</v>
      </c>
      <c r="BB133" s="40">
        <f>SUMIFS('센터 자재 사용내역(12월)'!G:G,'센터 자재 사용내역(12월)'!E:E,'사급자재 사용내역'!C133,'센터 자재 사용내역(12월)'!F:F,"불량")</f>
        <v>0</v>
      </c>
      <c r="BC133" s="40">
        <f t="shared" si="35"/>
        <v>0</v>
      </c>
      <c r="BD133" s="62"/>
    </row>
    <row r="134" spans="2:56" ht="19.5" customHeight="1">
      <c r="B134" s="99"/>
      <c r="C134" s="23" t="s">
        <v>164</v>
      </c>
      <c r="D134" s="64" t="s">
        <v>129</v>
      </c>
      <c r="E134" s="67">
        <v>26</v>
      </c>
      <c r="F134" s="47">
        <v>0</v>
      </c>
      <c r="G134" s="46"/>
      <c r="H134" s="78"/>
      <c r="I134" s="90">
        <f t="shared" ref="I134:I144" si="38">(F134+BC134)-(G134+H134)</f>
        <v>0</v>
      </c>
      <c r="J134" s="89">
        <f t="shared" si="27"/>
        <v>3</v>
      </c>
      <c r="K134" s="78">
        <f t="shared" si="26"/>
        <v>0</v>
      </c>
      <c r="L134" s="84">
        <f t="shared" si="36"/>
        <v>23</v>
      </c>
      <c r="M134" s="79">
        <f>SUMIFS('센터 자재 사용내역(01월)'!G:G,'센터 자재 사용내역(01월)'!E:E,'사급자재 사용내역'!C134,'센터 자재 사용내역(01월)'!F:F,"신규")+SUMIFS('센터 자재 사용내역(01월)'!G:G,'센터 자재 사용내역(01월)'!E:E,'사급자재 사용내역'!C134,'센터 자재 사용내역(01월)'!F:F,"교체")</f>
        <v>0</v>
      </c>
      <c r="N134" s="40">
        <f>SUMIFS('센터 자재 사용내역(02월)'!G:G,'센터 자재 사용내역(02월)'!E:E,'사급자재 사용내역'!C134,'센터 자재 사용내역(02월)'!F:F,"신규")+SUMIFS('센터 자재 사용내역(02월)'!G:G,'센터 자재 사용내역(02월)'!E:E,'사급자재 사용내역'!C134,'센터 자재 사용내역(02월)'!F:F,"교체")</f>
        <v>2</v>
      </c>
      <c r="O134" s="40">
        <f>SUMIFS('센터 자재 사용내역(03월)'!G:G,'센터 자재 사용내역(03월)'!E:E,'사급자재 사용내역'!C134,'센터 자재 사용내역(03월)'!F:F,"신규")+SUMIFS('센터 자재 사용내역(03월)'!G:G,'센터 자재 사용내역(03월)'!E:E,'사급자재 사용내역'!C134,'센터 자재 사용내역(03월)'!F:F,"교체")</f>
        <v>0</v>
      </c>
      <c r="P134" s="40">
        <f>SUMIFS('센터 자재 사용내역(04월)'!G:G,'센터 자재 사용내역(04월)'!E:E,'사급자재 사용내역'!C134,'센터 자재 사용내역(04월)'!F:F,"신규")+SUMIFS('센터 자재 사용내역(04월)'!G:G,'센터 자재 사용내역(04월)'!E:E,'사급자재 사용내역'!C134,'센터 자재 사용내역(04월)'!F:F,"교체")</f>
        <v>0</v>
      </c>
      <c r="Q134" s="40">
        <f>SUMIFS('센터 자재 사용내역(05월)'!G:G,'센터 자재 사용내역(05월)'!E:E,'사급자재 사용내역'!C134,'센터 자재 사용내역(05월)'!F:F,"신규")+SUMIFS('센터 자재 사용내역(05월)'!G:G,'센터 자재 사용내역(05월)'!E:E,'사급자재 사용내역'!C134,'센터 자재 사용내역(05월)'!F:F,"교체")</f>
        <v>1</v>
      </c>
      <c r="R134" s="40">
        <f>SUMIFS('센터 자재 사용내역(06월)'!G:G,'센터 자재 사용내역(06월)'!E:E,'사급자재 사용내역'!C134,'센터 자재 사용내역(06월)'!F:F,"신규")+SUMIFS('센터 자재 사용내역(06월)'!G:G,'센터 자재 사용내역(06월)'!E:E,'사급자재 사용내역'!C134,'센터 자재 사용내역(06월)'!F:F,"교체")</f>
        <v>0</v>
      </c>
      <c r="S134" s="40">
        <f>SUMIFS('센터 자재 사용내역(07월)'!G:G,'센터 자재 사용내역(07월)'!E:E,'사급자재 사용내역'!C134,'센터 자재 사용내역(07월)'!F:F,"신규")+SUMIFS('센터 자재 사용내역(07월)'!G:G,'센터 자재 사용내역(07월)'!E:E,'사급자재 사용내역'!C134,'센터 자재 사용내역(07월)'!F:F,"교체")</f>
        <v>0</v>
      </c>
      <c r="T134" s="40">
        <f>SUMIFS('센터 자재 사용내역(08월)'!G:G,'센터 자재 사용내역(08월)'!E:E,'사급자재 사용내역'!C134,'센터 자재 사용내역(08월)'!F:F,"신규")+SUMIFS('센터 자재 사용내역(08월)'!G:G,'센터 자재 사용내역(08월)'!E:E,'사급자재 사용내역'!C134,'센터 자재 사용내역(08월)'!F:F,"교체")</f>
        <v>0</v>
      </c>
      <c r="U134" s="40">
        <f>SUMIFS('센터 자재 사용내역(09월)'!G:G,'센터 자재 사용내역(09월)'!E:E,'사급자재 사용내역'!C134,'센터 자재 사용내역(09월)'!F:F,"신규")+SUMIFS('센터 자재 사용내역(09월)'!G:G,'센터 자재 사용내역(09월)'!E:E,'사급자재 사용내역'!C134,'센터 자재 사용내역(09월)'!F:F,"교체")</f>
        <v>0</v>
      </c>
      <c r="V134" s="40">
        <f>SUMIFS('센터 자재 사용내역(10월)'!G:G,'센터 자재 사용내역(10월)'!E:E,'사급자재 사용내역'!C134,'센터 자재 사용내역(10월)'!F:F,"신규")+SUMIFS('센터 자재 사용내역(10월)'!G:G,'센터 자재 사용내역(10월)'!E:E,'사급자재 사용내역'!C134,'센터 자재 사용내역(10월)'!F:F,"교체")</f>
        <v>0</v>
      </c>
      <c r="W134" s="40">
        <f>SUMIFS('센터 자재 사용내역(11월)'!G:G,'센터 자재 사용내역(11월)'!E:E,'사급자재 사용내역'!C134,'센터 자재 사용내역(11월)'!F:F,"신규")+SUMIFS('센터 자재 사용내역(11월)'!G:G,'센터 자재 사용내역(11월)'!E:E,'사급자재 사용내역'!C134,'센터 자재 사용내역(11월)'!F:F,"교체")</f>
        <v>0</v>
      </c>
      <c r="X134" s="40">
        <f>SUMIFS('센터 자재 사용내역(12월)'!G:G,'센터 자재 사용내역(12월)'!E:E,'사급자재 사용내역'!C134,'센터 자재 사용내역(12월)'!F:F,"신규")+SUMIFS('센터 자재 사용내역(12월)'!G:G,'센터 자재 사용내역(12월)'!E:E,'사급자재 사용내역'!C134,'센터 자재 사용내역(12월)'!F:F,"교체")</f>
        <v>0</v>
      </c>
      <c r="Y134" s="40">
        <f t="shared" si="29"/>
        <v>3</v>
      </c>
      <c r="Z134" s="53"/>
      <c r="AB134" s="56"/>
      <c r="AC134" s="29"/>
      <c r="AD134" s="29"/>
      <c r="AE134" s="29"/>
      <c r="AF134" s="29"/>
      <c r="AG134" s="29"/>
      <c r="AH134" s="29"/>
      <c r="AI134" s="29"/>
      <c r="AJ134" s="29"/>
      <c r="AK134" s="29"/>
      <c r="AL134" s="29"/>
      <c r="AM134" s="29"/>
      <c r="AN134" s="21">
        <f t="shared" si="37"/>
        <v>0</v>
      </c>
      <c r="AO134" s="57"/>
      <c r="AQ134" s="61">
        <f>SUMIFS('센터 자재 사용내역(01월)'!G:G,'센터 자재 사용내역(01월)'!E:E,'사급자재 사용내역'!C134,'센터 자재 사용내역(01월)'!F:F,"불량")</f>
        <v>0</v>
      </c>
      <c r="AR134" s="40">
        <f>SUMIFS('센터 자재 사용내역(02월)'!G:G,'센터 자재 사용내역(02월)'!E:E,'사급자재 사용내역'!C134,'센터 자재 사용내역(02월)'!F:F,"불량")</f>
        <v>0</v>
      </c>
      <c r="AS134" s="40">
        <f>SUMIFS('센터 자재 사용내역(03월)'!G:G,'센터 자재 사용내역(03월)'!E:E,'사급자재 사용내역'!C134,'센터 자재 사용내역(03월)'!F:F,"불량")</f>
        <v>0</v>
      </c>
      <c r="AT134" s="40">
        <f>SUMIFS('센터 자재 사용내역(04월)'!G:G,'센터 자재 사용내역(04월)'!E:E,'사급자재 사용내역'!C134,'센터 자재 사용내역(04월)'!F:F,"불량")</f>
        <v>0</v>
      </c>
      <c r="AU134" s="40">
        <f>SUMIFS('센터 자재 사용내역(05월)'!G:G,'센터 자재 사용내역(05월)'!E:E,'사급자재 사용내역'!C134,'센터 자재 사용내역(05월)'!F:F,"불량")</f>
        <v>0</v>
      </c>
      <c r="AV134" s="40">
        <f>SUMIFS('센터 자재 사용내역(06월)'!G:G,'센터 자재 사용내역(06월)'!E:E,'사급자재 사용내역'!C134,'센터 자재 사용내역(06월)'!F:F,"불량")</f>
        <v>0</v>
      </c>
      <c r="AW134" s="40">
        <f>SUMIFS('센터 자재 사용내역(07월)'!G:G,'센터 자재 사용내역(07월)'!E:E,'사급자재 사용내역'!C134,'센터 자재 사용내역(07월)'!F:F,"불량")</f>
        <v>0</v>
      </c>
      <c r="AX134" s="40">
        <f>SUMIFS('센터 자재 사용내역(08월)'!G:G,'센터 자재 사용내역(08월)'!E:E,'사급자재 사용내역'!C134,'센터 자재 사용내역(08월)'!F:F,"불량")</f>
        <v>0</v>
      </c>
      <c r="AY134" s="40">
        <f>SUMIFS('센터 자재 사용내역(09월)'!G:G,'센터 자재 사용내역(09월)'!E:E,'사급자재 사용내역'!C134,'센터 자재 사용내역(09월)'!F:F,"불량")</f>
        <v>0</v>
      </c>
      <c r="AZ134" s="40">
        <f>SUMIFS('센터 자재 사용내역(10월)'!G:G,'센터 자재 사용내역(10월)'!E:E,'사급자재 사용내역'!C134,'센터 자재 사용내역(10월)'!F:F,"불량")</f>
        <v>0</v>
      </c>
      <c r="BA134" s="40">
        <f>SUMIFS('센터 자재 사용내역(11월)'!G:G,'센터 자재 사용내역(11월)'!E:E,'사급자재 사용내역'!C134,'센터 자재 사용내역(11월)'!F:F,"불량")</f>
        <v>0</v>
      </c>
      <c r="BB134" s="40">
        <f>SUMIFS('센터 자재 사용내역(12월)'!G:G,'센터 자재 사용내역(12월)'!E:E,'사급자재 사용내역'!C134,'센터 자재 사용내역(12월)'!F:F,"불량")</f>
        <v>0</v>
      </c>
      <c r="BC134" s="40">
        <f t="shared" si="35"/>
        <v>0</v>
      </c>
      <c r="BD134" s="62"/>
    </row>
    <row r="135" spans="2:56" ht="19.5" customHeight="1">
      <c r="B135" s="99"/>
      <c r="C135" s="23" t="s">
        <v>165</v>
      </c>
      <c r="D135" s="64" t="s">
        <v>130</v>
      </c>
      <c r="E135" s="67">
        <v>0</v>
      </c>
      <c r="F135" s="47">
        <v>0</v>
      </c>
      <c r="G135" s="46"/>
      <c r="H135" s="78"/>
      <c r="I135" s="90">
        <f t="shared" si="38"/>
        <v>0</v>
      </c>
      <c r="J135" s="89">
        <f t="shared" si="27"/>
        <v>0</v>
      </c>
      <c r="K135" s="78">
        <f t="shared" ref="K135:K144" si="39">AN135</f>
        <v>0</v>
      </c>
      <c r="L135" s="84">
        <f t="shared" si="36"/>
        <v>0</v>
      </c>
      <c r="M135" s="79">
        <f>SUMIFS('센터 자재 사용내역(01월)'!G:G,'센터 자재 사용내역(01월)'!E:E,'사급자재 사용내역'!C135,'센터 자재 사용내역(01월)'!F:F,"신규")+SUMIFS('센터 자재 사용내역(01월)'!G:G,'센터 자재 사용내역(01월)'!E:E,'사급자재 사용내역'!C135,'센터 자재 사용내역(01월)'!F:F,"교체")</f>
        <v>0</v>
      </c>
      <c r="N135" s="40">
        <f>SUMIFS('센터 자재 사용내역(02월)'!G:G,'센터 자재 사용내역(02월)'!E:E,'사급자재 사용내역'!C135,'센터 자재 사용내역(02월)'!F:F,"신규")+SUMIFS('센터 자재 사용내역(02월)'!G:G,'센터 자재 사용내역(02월)'!E:E,'사급자재 사용내역'!C135,'센터 자재 사용내역(02월)'!F:F,"교체")</f>
        <v>0</v>
      </c>
      <c r="O135" s="40">
        <f>SUMIFS('센터 자재 사용내역(03월)'!G:G,'센터 자재 사용내역(03월)'!E:E,'사급자재 사용내역'!C135,'센터 자재 사용내역(03월)'!F:F,"신규")+SUMIFS('센터 자재 사용내역(03월)'!G:G,'센터 자재 사용내역(03월)'!E:E,'사급자재 사용내역'!C135,'센터 자재 사용내역(03월)'!F:F,"교체")</f>
        <v>0</v>
      </c>
      <c r="P135" s="40">
        <f>SUMIFS('센터 자재 사용내역(04월)'!G:G,'센터 자재 사용내역(04월)'!E:E,'사급자재 사용내역'!C135,'센터 자재 사용내역(04월)'!F:F,"신규")+SUMIFS('센터 자재 사용내역(04월)'!G:G,'센터 자재 사용내역(04월)'!E:E,'사급자재 사용내역'!C135,'센터 자재 사용내역(04월)'!F:F,"교체")</f>
        <v>0</v>
      </c>
      <c r="Q135" s="40">
        <f>SUMIFS('센터 자재 사용내역(05월)'!G:G,'센터 자재 사용내역(05월)'!E:E,'사급자재 사용내역'!C135,'센터 자재 사용내역(05월)'!F:F,"신규")+SUMIFS('센터 자재 사용내역(05월)'!G:G,'센터 자재 사용내역(05월)'!E:E,'사급자재 사용내역'!C135,'센터 자재 사용내역(05월)'!F:F,"교체")</f>
        <v>0</v>
      </c>
      <c r="R135" s="40">
        <f>SUMIFS('센터 자재 사용내역(06월)'!G:G,'센터 자재 사용내역(06월)'!E:E,'사급자재 사용내역'!C135,'센터 자재 사용내역(06월)'!F:F,"신규")+SUMIFS('센터 자재 사용내역(06월)'!G:G,'센터 자재 사용내역(06월)'!E:E,'사급자재 사용내역'!C135,'센터 자재 사용내역(06월)'!F:F,"교체")</f>
        <v>0</v>
      </c>
      <c r="S135" s="40">
        <f>SUMIFS('센터 자재 사용내역(07월)'!G:G,'센터 자재 사용내역(07월)'!E:E,'사급자재 사용내역'!C135,'센터 자재 사용내역(07월)'!F:F,"신규")+SUMIFS('센터 자재 사용내역(07월)'!G:G,'센터 자재 사용내역(07월)'!E:E,'사급자재 사용내역'!C135,'센터 자재 사용내역(07월)'!F:F,"교체")</f>
        <v>0</v>
      </c>
      <c r="T135" s="40">
        <f>SUMIFS('센터 자재 사용내역(08월)'!G:G,'센터 자재 사용내역(08월)'!E:E,'사급자재 사용내역'!C135,'센터 자재 사용내역(08월)'!F:F,"신규")+SUMIFS('센터 자재 사용내역(08월)'!G:G,'센터 자재 사용내역(08월)'!E:E,'사급자재 사용내역'!C135,'센터 자재 사용내역(08월)'!F:F,"교체")</f>
        <v>0</v>
      </c>
      <c r="U135" s="40">
        <f>SUMIFS('센터 자재 사용내역(09월)'!G:G,'센터 자재 사용내역(09월)'!E:E,'사급자재 사용내역'!C135,'센터 자재 사용내역(09월)'!F:F,"신규")+SUMIFS('센터 자재 사용내역(09월)'!G:G,'센터 자재 사용내역(09월)'!E:E,'사급자재 사용내역'!C135,'센터 자재 사용내역(09월)'!F:F,"교체")</f>
        <v>0</v>
      </c>
      <c r="V135" s="40">
        <f>SUMIFS('센터 자재 사용내역(10월)'!G:G,'센터 자재 사용내역(10월)'!E:E,'사급자재 사용내역'!C135,'센터 자재 사용내역(10월)'!F:F,"신규")+SUMIFS('센터 자재 사용내역(10월)'!G:G,'센터 자재 사용내역(10월)'!E:E,'사급자재 사용내역'!C135,'센터 자재 사용내역(10월)'!F:F,"교체")</f>
        <v>0</v>
      </c>
      <c r="W135" s="40">
        <f>SUMIFS('센터 자재 사용내역(11월)'!G:G,'센터 자재 사용내역(11월)'!E:E,'사급자재 사용내역'!C135,'센터 자재 사용내역(11월)'!F:F,"신규")+SUMIFS('센터 자재 사용내역(11월)'!G:G,'센터 자재 사용내역(11월)'!E:E,'사급자재 사용내역'!C135,'센터 자재 사용내역(11월)'!F:F,"교체")</f>
        <v>0</v>
      </c>
      <c r="X135" s="40">
        <f>SUMIFS('센터 자재 사용내역(12월)'!G:G,'센터 자재 사용내역(12월)'!E:E,'사급자재 사용내역'!C135,'센터 자재 사용내역(12월)'!F:F,"신규")+SUMIFS('센터 자재 사용내역(12월)'!G:G,'센터 자재 사용내역(12월)'!E:E,'사급자재 사용내역'!C135,'센터 자재 사용내역(12월)'!F:F,"교체")</f>
        <v>0</v>
      </c>
      <c r="Y135" s="40">
        <f t="shared" si="29"/>
        <v>0</v>
      </c>
      <c r="Z135" s="53"/>
      <c r="AB135" s="56"/>
      <c r="AC135" s="29"/>
      <c r="AD135" s="29"/>
      <c r="AE135" s="29"/>
      <c r="AF135" s="29"/>
      <c r="AG135" s="29"/>
      <c r="AH135" s="29"/>
      <c r="AI135" s="29"/>
      <c r="AJ135" s="29"/>
      <c r="AK135" s="29"/>
      <c r="AL135" s="29"/>
      <c r="AM135" s="29"/>
      <c r="AN135" s="21">
        <f t="shared" si="37"/>
        <v>0</v>
      </c>
      <c r="AO135" s="57"/>
      <c r="AQ135" s="61">
        <f>SUMIFS('센터 자재 사용내역(01월)'!G:G,'센터 자재 사용내역(01월)'!E:E,'사급자재 사용내역'!C135,'센터 자재 사용내역(01월)'!F:F,"불량")</f>
        <v>0</v>
      </c>
      <c r="AR135" s="40">
        <f>SUMIFS('센터 자재 사용내역(02월)'!G:G,'센터 자재 사용내역(02월)'!E:E,'사급자재 사용내역'!C135,'센터 자재 사용내역(02월)'!F:F,"불량")</f>
        <v>0</v>
      </c>
      <c r="AS135" s="40">
        <f>SUMIFS('센터 자재 사용내역(03월)'!G:G,'센터 자재 사용내역(03월)'!E:E,'사급자재 사용내역'!C135,'센터 자재 사용내역(03월)'!F:F,"불량")</f>
        <v>0</v>
      </c>
      <c r="AT135" s="40">
        <f>SUMIFS('센터 자재 사용내역(04월)'!G:G,'센터 자재 사용내역(04월)'!E:E,'사급자재 사용내역'!C135,'센터 자재 사용내역(04월)'!F:F,"불량")</f>
        <v>0</v>
      </c>
      <c r="AU135" s="40">
        <f>SUMIFS('센터 자재 사용내역(05월)'!G:G,'센터 자재 사용내역(05월)'!E:E,'사급자재 사용내역'!C135,'센터 자재 사용내역(05월)'!F:F,"불량")</f>
        <v>0</v>
      </c>
      <c r="AV135" s="40">
        <f>SUMIFS('센터 자재 사용내역(06월)'!G:G,'센터 자재 사용내역(06월)'!E:E,'사급자재 사용내역'!C135,'센터 자재 사용내역(06월)'!F:F,"불량")</f>
        <v>0</v>
      </c>
      <c r="AW135" s="40">
        <f>SUMIFS('센터 자재 사용내역(07월)'!G:G,'센터 자재 사용내역(07월)'!E:E,'사급자재 사용내역'!C135,'센터 자재 사용내역(07월)'!F:F,"불량")</f>
        <v>0</v>
      </c>
      <c r="AX135" s="40">
        <f>SUMIFS('센터 자재 사용내역(08월)'!G:G,'센터 자재 사용내역(08월)'!E:E,'사급자재 사용내역'!C135,'센터 자재 사용내역(08월)'!F:F,"불량")</f>
        <v>0</v>
      </c>
      <c r="AY135" s="40">
        <f>SUMIFS('센터 자재 사용내역(09월)'!G:G,'센터 자재 사용내역(09월)'!E:E,'사급자재 사용내역'!C135,'센터 자재 사용내역(09월)'!F:F,"불량")</f>
        <v>0</v>
      </c>
      <c r="AZ135" s="40">
        <f>SUMIFS('센터 자재 사용내역(10월)'!G:G,'센터 자재 사용내역(10월)'!E:E,'사급자재 사용내역'!C135,'센터 자재 사용내역(10월)'!F:F,"불량")</f>
        <v>0</v>
      </c>
      <c r="BA135" s="40">
        <f>SUMIFS('센터 자재 사용내역(11월)'!G:G,'센터 자재 사용내역(11월)'!E:E,'사급자재 사용내역'!C135,'센터 자재 사용내역(11월)'!F:F,"불량")</f>
        <v>0</v>
      </c>
      <c r="BB135" s="40">
        <f>SUMIFS('센터 자재 사용내역(12월)'!G:G,'센터 자재 사용내역(12월)'!E:E,'사급자재 사용내역'!C135,'센터 자재 사용내역(12월)'!F:F,"불량")</f>
        <v>0</v>
      </c>
      <c r="BC135" s="40">
        <f t="shared" si="35"/>
        <v>0</v>
      </c>
      <c r="BD135" s="62"/>
    </row>
    <row r="136" spans="2:56" ht="19.5" customHeight="1">
      <c r="B136" s="99"/>
      <c r="C136" s="23" t="s">
        <v>80</v>
      </c>
      <c r="D136" s="64" t="s">
        <v>131</v>
      </c>
      <c r="E136" s="67">
        <v>4</v>
      </c>
      <c r="F136" s="47">
        <v>0</v>
      </c>
      <c r="G136" s="46"/>
      <c r="H136" s="78"/>
      <c r="I136" s="90">
        <f t="shared" si="38"/>
        <v>0</v>
      </c>
      <c r="J136" s="89">
        <f t="shared" si="27"/>
        <v>0</v>
      </c>
      <c r="K136" s="78">
        <f t="shared" si="39"/>
        <v>0</v>
      </c>
      <c r="L136" s="84">
        <f t="shared" si="36"/>
        <v>4</v>
      </c>
      <c r="M136" s="79">
        <f>SUMIFS('센터 자재 사용내역(01월)'!G:G,'센터 자재 사용내역(01월)'!E:E,'사급자재 사용내역'!C136,'센터 자재 사용내역(01월)'!F:F,"신규")+SUMIFS('센터 자재 사용내역(01월)'!G:G,'센터 자재 사용내역(01월)'!E:E,'사급자재 사용내역'!C136,'센터 자재 사용내역(01월)'!F:F,"교체")</f>
        <v>0</v>
      </c>
      <c r="N136" s="40">
        <f>SUMIFS('센터 자재 사용내역(02월)'!G:G,'센터 자재 사용내역(02월)'!E:E,'사급자재 사용내역'!C136,'센터 자재 사용내역(02월)'!F:F,"신규")+SUMIFS('센터 자재 사용내역(02월)'!G:G,'센터 자재 사용내역(02월)'!E:E,'사급자재 사용내역'!C136,'센터 자재 사용내역(02월)'!F:F,"교체")</f>
        <v>0</v>
      </c>
      <c r="O136" s="40">
        <f>SUMIFS('센터 자재 사용내역(03월)'!G:G,'센터 자재 사용내역(03월)'!E:E,'사급자재 사용내역'!C136,'센터 자재 사용내역(03월)'!F:F,"신규")+SUMIFS('센터 자재 사용내역(03월)'!G:G,'센터 자재 사용내역(03월)'!E:E,'사급자재 사용내역'!C136,'센터 자재 사용내역(03월)'!F:F,"교체")</f>
        <v>0</v>
      </c>
      <c r="P136" s="40">
        <f>SUMIFS('센터 자재 사용내역(04월)'!G:G,'센터 자재 사용내역(04월)'!E:E,'사급자재 사용내역'!C136,'센터 자재 사용내역(04월)'!F:F,"신규")+SUMIFS('센터 자재 사용내역(04월)'!G:G,'센터 자재 사용내역(04월)'!E:E,'사급자재 사용내역'!C136,'센터 자재 사용내역(04월)'!F:F,"교체")</f>
        <v>0</v>
      </c>
      <c r="Q136" s="40">
        <f>SUMIFS('센터 자재 사용내역(05월)'!G:G,'센터 자재 사용내역(05월)'!E:E,'사급자재 사용내역'!C136,'센터 자재 사용내역(05월)'!F:F,"신규")+SUMIFS('센터 자재 사용내역(05월)'!G:G,'센터 자재 사용내역(05월)'!E:E,'사급자재 사용내역'!C136,'센터 자재 사용내역(05월)'!F:F,"교체")</f>
        <v>0</v>
      </c>
      <c r="R136" s="40">
        <f>SUMIFS('센터 자재 사용내역(06월)'!G:G,'센터 자재 사용내역(06월)'!E:E,'사급자재 사용내역'!C136,'센터 자재 사용내역(06월)'!F:F,"신규")+SUMIFS('센터 자재 사용내역(06월)'!G:G,'센터 자재 사용내역(06월)'!E:E,'사급자재 사용내역'!C136,'센터 자재 사용내역(06월)'!F:F,"교체")</f>
        <v>0</v>
      </c>
      <c r="S136" s="40">
        <f>SUMIFS('센터 자재 사용내역(07월)'!G:G,'센터 자재 사용내역(07월)'!E:E,'사급자재 사용내역'!C136,'센터 자재 사용내역(07월)'!F:F,"신규")+SUMIFS('센터 자재 사용내역(07월)'!G:G,'센터 자재 사용내역(07월)'!E:E,'사급자재 사용내역'!C136,'센터 자재 사용내역(07월)'!F:F,"교체")</f>
        <v>0</v>
      </c>
      <c r="T136" s="40">
        <f>SUMIFS('센터 자재 사용내역(08월)'!G:G,'센터 자재 사용내역(08월)'!E:E,'사급자재 사용내역'!C136,'센터 자재 사용내역(08월)'!F:F,"신규")+SUMIFS('센터 자재 사용내역(08월)'!G:G,'센터 자재 사용내역(08월)'!E:E,'사급자재 사용내역'!C136,'센터 자재 사용내역(08월)'!F:F,"교체")</f>
        <v>0</v>
      </c>
      <c r="U136" s="40">
        <f>SUMIFS('센터 자재 사용내역(09월)'!G:G,'센터 자재 사용내역(09월)'!E:E,'사급자재 사용내역'!C136,'센터 자재 사용내역(09월)'!F:F,"신규")+SUMIFS('센터 자재 사용내역(09월)'!G:G,'센터 자재 사용내역(09월)'!E:E,'사급자재 사용내역'!C136,'센터 자재 사용내역(09월)'!F:F,"교체")</f>
        <v>0</v>
      </c>
      <c r="V136" s="40">
        <f>SUMIFS('센터 자재 사용내역(10월)'!G:G,'센터 자재 사용내역(10월)'!E:E,'사급자재 사용내역'!C136,'센터 자재 사용내역(10월)'!F:F,"신규")+SUMIFS('센터 자재 사용내역(10월)'!G:G,'센터 자재 사용내역(10월)'!E:E,'사급자재 사용내역'!C136,'센터 자재 사용내역(10월)'!F:F,"교체")</f>
        <v>0</v>
      </c>
      <c r="W136" s="40">
        <f>SUMIFS('센터 자재 사용내역(11월)'!G:G,'센터 자재 사용내역(11월)'!E:E,'사급자재 사용내역'!C136,'센터 자재 사용내역(11월)'!F:F,"신규")+SUMIFS('센터 자재 사용내역(11월)'!G:G,'센터 자재 사용내역(11월)'!E:E,'사급자재 사용내역'!C136,'센터 자재 사용내역(11월)'!F:F,"교체")</f>
        <v>0</v>
      </c>
      <c r="X136" s="40">
        <f>SUMIFS('센터 자재 사용내역(12월)'!G:G,'센터 자재 사용내역(12월)'!E:E,'사급자재 사용내역'!C136,'센터 자재 사용내역(12월)'!F:F,"신규")+SUMIFS('센터 자재 사용내역(12월)'!G:G,'센터 자재 사용내역(12월)'!E:E,'사급자재 사용내역'!C136,'센터 자재 사용내역(12월)'!F:F,"교체")</f>
        <v>0</v>
      </c>
      <c r="Y136" s="40">
        <f t="shared" si="29"/>
        <v>0</v>
      </c>
      <c r="Z136" s="53"/>
      <c r="AB136" s="56"/>
      <c r="AC136" s="29"/>
      <c r="AD136" s="29"/>
      <c r="AE136" s="29"/>
      <c r="AF136" s="29"/>
      <c r="AG136" s="29"/>
      <c r="AH136" s="29"/>
      <c r="AI136" s="29"/>
      <c r="AJ136" s="29"/>
      <c r="AK136" s="29"/>
      <c r="AL136" s="29"/>
      <c r="AM136" s="29"/>
      <c r="AN136" s="21">
        <f t="shared" si="37"/>
        <v>0</v>
      </c>
      <c r="AO136" s="57"/>
      <c r="AQ136" s="61">
        <f>SUMIFS('센터 자재 사용내역(01월)'!G:G,'센터 자재 사용내역(01월)'!E:E,'사급자재 사용내역'!C136,'센터 자재 사용내역(01월)'!F:F,"불량")</f>
        <v>0</v>
      </c>
      <c r="AR136" s="40">
        <f>SUMIFS('센터 자재 사용내역(02월)'!G:G,'센터 자재 사용내역(02월)'!E:E,'사급자재 사용내역'!C136,'센터 자재 사용내역(02월)'!F:F,"불량")</f>
        <v>0</v>
      </c>
      <c r="AS136" s="40">
        <f>SUMIFS('센터 자재 사용내역(03월)'!G:G,'센터 자재 사용내역(03월)'!E:E,'사급자재 사용내역'!C136,'센터 자재 사용내역(03월)'!F:F,"불량")</f>
        <v>0</v>
      </c>
      <c r="AT136" s="40">
        <f>SUMIFS('센터 자재 사용내역(04월)'!G:G,'센터 자재 사용내역(04월)'!E:E,'사급자재 사용내역'!C136,'센터 자재 사용내역(04월)'!F:F,"불량")</f>
        <v>0</v>
      </c>
      <c r="AU136" s="40">
        <f>SUMIFS('센터 자재 사용내역(05월)'!G:G,'센터 자재 사용내역(05월)'!E:E,'사급자재 사용내역'!C136,'센터 자재 사용내역(05월)'!F:F,"불량")</f>
        <v>0</v>
      </c>
      <c r="AV136" s="40">
        <f>SUMIFS('센터 자재 사용내역(06월)'!G:G,'센터 자재 사용내역(06월)'!E:E,'사급자재 사용내역'!C136,'센터 자재 사용내역(06월)'!F:F,"불량")</f>
        <v>0</v>
      </c>
      <c r="AW136" s="40">
        <f>SUMIFS('센터 자재 사용내역(07월)'!G:G,'센터 자재 사용내역(07월)'!E:E,'사급자재 사용내역'!C136,'센터 자재 사용내역(07월)'!F:F,"불량")</f>
        <v>0</v>
      </c>
      <c r="AX136" s="40">
        <f>SUMIFS('센터 자재 사용내역(08월)'!G:G,'센터 자재 사용내역(08월)'!E:E,'사급자재 사용내역'!C136,'센터 자재 사용내역(08월)'!F:F,"불량")</f>
        <v>0</v>
      </c>
      <c r="AY136" s="40">
        <f>SUMIFS('센터 자재 사용내역(09월)'!G:G,'센터 자재 사용내역(09월)'!E:E,'사급자재 사용내역'!C136,'센터 자재 사용내역(09월)'!F:F,"불량")</f>
        <v>0</v>
      </c>
      <c r="AZ136" s="40">
        <f>SUMIFS('센터 자재 사용내역(10월)'!G:G,'센터 자재 사용내역(10월)'!E:E,'사급자재 사용내역'!C136,'센터 자재 사용내역(10월)'!F:F,"불량")</f>
        <v>0</v>
      </c>
      <c r="BA136" s="40">
        <f>SUMIFS('센터 자재 사용내역(11월)'!G:G,'센터 자재 사용내역(11월)'!E:E,'사급자재 사용내역'!C136,'센터 자재 사용내역(11월)'!F:F,"불량")</f>
        <v>0</v>
      </c>
      <c r="BB136" s="40">
        <f>SUMIFS('센터 자재 사용내역(12월)'!G:G,'센터 자재 사용내역(12월)'!E:E,'사급자재 사용내역'!C136,'센터 자재 사용내역(12월)'!F:F,"불량")</f>
        <v>0</v>
      </c>
      <c r="BC136" s="40">
        <f t="shared" si="35"/>
        <v>0</v>
      </c>
      <c r="BD136" s="62"/>
    </row>
    <row r="137" spans="2:56" ht="19.5" customHeight="1">
      <c r="B137" s="99"/>
      <c r="C137" s="23" t="s">
        <v>81</v>
      </c>
      <c r="D137" s="64" t="s">
        <v>129</v>
      </c>
      <c r="E137" s="67">
        <v>4</v>
      </c>
      <c r="F137" s="47">
        <v>0</v>
      </c>
      <c r="G137" s="46"/>
      <c r="H137" s="78"/>
      <c r="I137" s="90">
        <f t="shared" si="38"/>
        <v>0</v>
      </c>
      <c r="J137" s="89">
        <f t="shared" si="27"/>
        <v>0</v>
      </c>
      <c r="K137" s="78">
        <f t="shared" si="39"/>
        <v>0</v>
      </c>
      <c r="L137" s="84">
        <f t="shared" si="36"/>
        <v>4</v>
      </c>
      <c r="M137" s="79">
        <f>SUMIFS('센터 자재 사용내역(01월)'!G:G,'센터 자재 사용내역(01월)'!E:E,'사급자재 사용내역'!C137,'센터 자재 사용내역(01월)'!F:F,"신규")+SUMIFS('센터 자재 사용내역(01월)'!G:G,'센터 자재 사용내역(01월)'!E:E,'사급자재 사용내역'!C137,'센터 자재 사용내역(01월)'!F:F,"교체")</f>
        <v>0</v>
      </c>
      <c r="N137" s="40">
        <f>SUMIFS('센터 자재 사용내역(02월)'!G:G,'센터 자재 사용내역(02월)'!E:E,'사급자재 사용내역'!C137,'센터 자재 사용내역(02월)'!F:F,"신규")+SUMIFS('센터 자재 사용내역(02월)'!G:G,'센터 자재 사용내역(02월)'!E:E,'사급자재 사용내역'!C137,'센터 자재 사용내역(02월)'!F:F,"교체")</f>
        <v>0</v>
      </c>
      <c r="O137" s="40">
        <f>SUMIFS('센터 자재 사용내역(03월)'!G:G,'센터 자재 사용내역(03월)'!E:E,'사급자재 사용내역'!C137,'센터 자재 사용내역(03월)'!F:F,"신규")+SUMIFS('센터 자재 사용내역(03월)'!G:G,'센터 자재 사용내역(03월)'!E:E,'사급자재 사용내역'!C137,'센터 자재 사용내역(03월)'!F:F,"교체")</f>
        <v>0</v>
      </c>
      <c r="P137" s="40">
        <f>SUMIFS('센터 자재 사용내역(04월)'!G:G,'센터 자재 사용내역(04월)'!E:E,'사급자재 사용내역'!C137,'센터 자재 사용내역(04월)'!F:F,"신규")+SUMIFS('센터 자재 사용내역(04월)'!G:G,'센터 자재 사용내역(04월)'!E:E,'사급자재 사용내역'!C137,'센터 자재 사용내역(04월)'!F:F,"교체")</f>
        <v>0</v>
      </c>
      <c r="Q137" s="40">
        <f>SUMIFS('센터 자재 사용내역(05월)'!G:G,'센터 자재 사용내역(05월)'!E:E,'사급자재 사용내역'!C137,'센터 자재 사용내역(05월)'!F:F,"신규")+SUMIFS('센터 자재 사용내역(05월)'!G:G,'센터 자재 사용내역(05월)'!E:E,'사급자재 사용내역'!C137,'센터 자재 사용내역(05월)'!F:F,"교체")</f>
        <v>0</v>
      </c>
      <c r="R137" s="40">
        <f>SUMIFS('센터 자재 사용내역(06월)'!G:G,'센터 자재 사용내역(06월)'!E:E,'사급자재 사용내역'!C137,'센터 자재 사용내역(06월)'!F:F,"신규")+SUMIFS('센터 자재 사용내역(06월)'!G:G,'센터 자재 사용내역(06월)'!E:E,'사급자재 사용내역'!C137,'센터 자재 사용내역(06월)'!F:F,"교체")</f>
        <v>0</v>
      </c>
      <c r="S137" s="40">
        <f>SUMIFS('센터 자재 사용내역(07월)'!G:G,'센터 자재 사용내역(07월)'!E:E,'사급자재 사용내역'!C137,'센터 자재 사용내역(07월)'!F:F,"신규")+SUMIFS('센터 자재 사용내역(07월)'!G:G,'센터 자재 사용내역(07월)'!E:E,'사급자재 사용내역'!C137,'센터 자재 사용내역(07월)'!F:F,"교체")</f>
        <v>0</v>
      </c>
      <c r="T137" s="40">
        <f>SUMIFS('센터 자재 사용내역(08월)'!G:G,'센터 자재 사용내역(08월)'!E:E,'사급자재 사용내역'!C137,'센터 자재 사용내역(08월)'!F:F,"신규")+SUMIFS('센터 자재 사용내역(08월)'!G:G,'센터 자재 사용내역(08월)'!E:E,'사급자재 사용내역'!C137,'센터 자재 사용내역(08월)'!F:F,"교체")</f>
        <v>0</v>
      </c>
      <c r="U137" s="40">
        <f>SUMIFS('센터 자재 사용내역(09월)'!G:G,'센터 자재 사용내역(09월)'!E:E,'사급자재 사용내역'!C137,'센터 자재 사용내역(09월)'!F:F,"신규")+SUMIFS('센터 자재 사용내역(09월)'!G:G,'센터 자재 사용내역(09월)'!E:E,'사급자재 사용내역'!C137,'센터 자재 사용내역(09월)'!F:F,"교체")</f>
        <v>0</v>
      </c>
      <c r="V137" s="40">
        <f>SUMIFS('센터 자재 사용내역(10월)'!G:G,'센터 자재 사용내역(10월)'!E:E,'사급자재 사용내역'!C137,'센터 자재 사용내역(10월)'!F:F,"신규")+SUMIFS('센터 자재 사용내역(10월)'!G:G,'센터 자재 사용내역(10월)'!E:E,'사급자재 사용내역'!C137,'센터 자재 사용내역(10월)'!F:F,"교체")</f>
        <v>0</v>
      </c>
      <c r="W137" s="40">
        <f>SUMIFS('센터 자재 사용내역(11월)'!G:G,'센터 자재 사용내역(11월)'!E:E,'사급자재 사용내역'!C137,'센터 자재 사용내역(11월)'!F:F,"신규")+SUMIFS('센터 자재 사용내역(11월)'!G:G,'센터 자재 사용내역(11월)'!E:E,'사급자재 사용내역'!C137,'센터 자재 사용내역(11월)'!F:F,"교체")</f>
        <v>0</v>
      </c>
      <c r="X137" s="40">
        <f>SUMIFS('센터 자재 사용내역(12월)'!G:G,'센터 자재 사용내역(12월)'!E:E,'사급자재 사용내역'!C137,'센터 자재 사용내역(12월)'!F:F,"신규")+SUMIFS('센터 자재 사용내역(12월)'!G:G,'센터 자재 사용내역(12월)'!E:E,'사급자재 사용내역'!C137,'센터 자재 사용내역(12월)'!F:F,"교체")</f>
        <v>0</v>
      </c>
      <c r="Y137" s="40">
        <f t="shared" si="29"/>
        <v>0</v>
      </c>
      <c r="Z137" s="53"/>
      <c r="AB137" s="56"/>
      <c r="AC137" s="29"/>
      <c r="AD137" s="29"/>
      <c r="AE137" s="29"/>
      <c r="AF137" s="29"/>
      <c r="AG137" s="29"/>
      <c r="AH137" s="29"/>
      <c r="AI137" s="29"/>
      <c r="AJ137" s="29"/>
      <c r="AK137" s="29"/>
      <c r="AL137" s="29"/>
      <c r="AM137" s="29"/>
      <c r="AN137" s="21">
        <f t="shared" si="37"/>
        <v>0</v>
      </c>
      <c r="AO137" s="57"/>
      <c r="AQ137" s="61">
        <f>SUMIFS('센터 자재 사용내역(01월)'!G:G,'센터 자재 사용내역(01월)'!E:E,'사급자재 사용내역'!C137,'센터 자재 사용내역(01월)'!F:F,"불량")</f>
        <v>0</v>
      </c>
      <c r="AR137" s="40">
        <f>SUMIFS('센터 자재 사용내역(02월)'!G:G,'센터 자재 사용내역(02월)'!E:E,'사급자재 사용내역'!C137,'센터 자재 사용내역(02월)'!F:F,"불량")</f>
        <v>0</v>
      </c>
      <c r="AS137" s="40">
        <f>SUMIFS('센터 자재 사용내역(03월)'!G:G,'센터 자재 사용내역(03월)'!E:E,'사급자재 사용내역'!C137,'센터 자재 사용내역(03월)'!F:F,"불량")</f>
        <v>0</v>
      </c>
      <c r="AT137" s="40">
        <f>SUMIFS('센터 자재 사용내역(04월)'!G:G,'센터 자재 사용내역(04월)'!E:E,'사급자재 사용내역'!C137,'센터 자재 사용내역(04월)'!F:F,"불량")</f>
        <v>0</v>
      </c>
      <c r="AU137" s="40">
        <f>SUMIFS('센터 자재 사용내역(05월)'!G:G,'센터 자재 사용내역(05월)'!E:E,'사급자재 사용내역'!C137,'센터 자재 사용내역(05월)'!F:F,"불량")</f>
        <v>0</v>
      </c>
      <c r="AV137" s="40">
        <f>SUMIFS('센터 자재 사용내역(06월)'!G:G,'센터 자재 사용내역(06월)'!E:E,'사급자재 사용내역'!C137,'센터 자재 사용내역(06월)'!F:F,"불량")</f>
        <v>0</v>
      </c>
      <c r="AW137" s="40">
        <f>SUMIFS('센터 자재 사용내역(07월)'!G:G,'센터 자재 사용내역(07월)'!E:E,'사급자재 사용내역'!C137,'센터 자재 사용내역(07월)'!F:F,"불량")</f>
        <v>0</v>
      </c>
      <c r="AX137" s="40">
        <f>SUMIFS('센터 자재 사용내역(08월)'!G:G,'센터 자재 사용내역(08월)'!E:E,'사급자재 사용내역'!C137,'센터 자재 사용내역(08월)'!F:F,"불량")</f>
        <v>0</v>
      </c>
      <c r="AY137" s="40">
        <f>SUMIFS('센터 자재 사용내역(09월)'!G:G,'센터 자재 사용내역(09월)'!E:E,'사급자재 사용내역'!C137,'센터 자재 사용내역(09월)'!F:F,"불량")</f>
        <v>0</v>
      </c>
      <c r="AZ137" s="40">
        <f>SUMIFS('센터 자재 사용내역(10월)'!G:G,'센터 자재 사용내역(10월)'!E:E,'사급자재 사용내역'!C137,'센터 자재 사용내역(10월)'!F:F,"불량")</f>
        <v>0</v>
      </c>
      <c r="BA137" s="40">
        <f>SUMIFS('센터 자재 사용내역(11월)'!G:G,'센터 자재 사용내역(11월)'!E:E,'사급자재 사용내역'!C137,'센터 자재 사용내역(11월)'!F:F,"불량")</f>
        <v>0</v>
      </c>
      <c r="BB137" s="40">
        <f>SUMIFS('센터 자재 사용내역(12월)'!G:G,'센터 자재 사용내역(12월)'!E:E,'사급자재 사용내역'!C137,'센터 자재 사용내역(12월)'!F:F,"불량")</f>
        <v>0</v>
      </c>
      <c r="BC137" s="40">
        <f t="shared" si="35"/>
        <v>0</v>
      </c>
      <c r="BD137" s="62"/>
    </row>
    <row r="138" spans="2:56" ht="19.5" customHeight="1">
      <c r="B138" s="99"/>
      <c r="C138" s="23" t="s">
        <v>82</v>
      </c>
      <c r="D138" s="64" t="s">
        <v>129</v>
      </c>
      <c r="E138" s="67">
        <v>4</v>
      </c>
      <c r="F138" s="47">
        <v>0</v>
      </c>
      <c r="G138" s="46"/>
      <c r="H138" s="78"/>
      <c r="I138" s="90">
        <f t="shared" si="38"/>
        <v>0</v>
      </c>
      <c r="J138" s="89">
        <f t="shared" si="27"/>
        <v>0</v>
      </c>
      <c r="K138" s="78">
        <f t="shared" si="39"/>
        <v>0</v>
      </c>
      <c r="L138" s="84">
        <f t="shared" si="36"/>
        <v>4</v>
      </c>
      <c r="M138" s="79">
        <f>SUMIFS('센터 자재 사용내역(01월)'!G:G,'센터 자재 사용내역(01월)'!E:E,'사급자재 사용내역'!C138,'센터 자재 사용내역(01월)'!F:F,"신규")+SUMIFS('센터 자재 사용내역(01월)'!G:G,'센터 자재 사용내역(01월)'!E:E,'사급자재 사용내역'!C138,'센터 자재 사용내역(01월)'!F:F,"교체")</f>
        <v>0</v>
      </c>
      <c r="N138" s="40">
        <f>SUMIFS('센터 자재 사용내역(02월)'!G:G,'센터 자재 사용내역(02월)'!E:E,'사급자재 사용내역'!C138,'센터 자재 사용내역(02월)'!F:F,"신규")+SUMIFS('센터 자재 사용내역(02월)'!G:G,'센터 자재 사용내역(02월)'!E:E,'사급자재 사용내역'!C138,'센터 자재 사용내역(02월)'!F:F,"교체")</f>
        <v>0</v>
      </c>
      <c r="O138" s="40">
        <f>SUMIFS('센터 자재 사용내역(03월)'!G:G,'센터 자재 사용내역(03월)'!E:E,'사급자재 사용내역'!C138,'센터 자재 사용내역(03월)'!F:F,"신규")+SUMIFS('센터 자재 사용내역(03월)'!G:G,'센터 자재 사용내역(03월)'!E:E,'사급자재 사용내역'!C138,'센터 자재 사용내역(03월)'!F:F,"교체")</f>
        <v>0</v>
      </c>
      <c r="P138" s="40">
        <f>SUMIFS('센터 자재 사용내역(04월)'!G:G,'센터 자재 사용내역(04월)'!E:E,'사급자재 사용내역'!C138,'센터 자재 사용내역(04월)'!F:F,"신규")+SUMIFS('센터 자재 사용내역(04월)'!G:G,'센터 자재 사용내역(04월)'!E:E,'사급자재 사용내역'!C138,'센터 자재 사용내역(04월)'!F:F,"교체")</f>
        <v>0</v>
      </c>
      <c r="Q138" s="40">
        <f>SUMIFS('센터 자재 사용내역(05월)'!G:G,'센터 자재 사용내역(05월)'!E:E,'사급자재 사용내역'!C138,'센터 자재 사용내역(05월)'!F:F,"신규")+SUMIFS('센터 자재 사용내역(05월)'!G:G,'센터 자재 사용내역(05월)'!E:E,'사급자재 사용내역'!C138,'센터 자재 사용내역(05월)'!F:F,"교체")</f>
        <v>0</v>
      </c>
      <c r="R138" s="40">
        <f>SUMIFS('센터 자재 사용내역(06월)'!G:G,'센터 자재 사용내역(06월)'!E:E,'사급자재 사용내역'!C138,'센터 자재 사용내역(06월)'!F:F,"신규")+SUMIFS('센터 자재 사용내역(06월)'!G:G,'센터 자재 사용내역(06월)'!E:E,'사급자재 사용내역'!C138,'센터 자재 사용내역(06월)'!F:F,"교체")</f>
        <v>0</v>
      </c>
      <c r="S138" s="40">
        <f>SUMIFS('센터 자재 사용내역(07월)'!G:G,'센터 자재 사용내역(07월)'!E:E,'사급자재 사용내역'!C138,'센터 자재 사용내역(07월)'!F:F,"신규")+SUMIFS('센터 자재 사용내역(07월)'!G:G,'센터 자재 사용내역(07월)'!E:E,'사급자재 사용내역'!C138,'센터 자재 사용내역(07월)'!F:F,"교체")</f>
        <v>0</v>
      </c>
      <c r="T138" s="40">
        <f>SUMIFS('센터 자재 사용내역(08월)'!G:G,'센터 자재 사용내역(08월)'!E:E,'사급자재 사용내역'!C138,'센터 자재 사용내역(08월)'!F:F,"신규")+SUMIFS('센터 자재 사용내역(08월)'!G:G,'센터 자재 사용내역(08월)'!E:E,'사급자재 사용내역'!C138,'센터 자재 사용내역(08월)'!F:F,"교체")</f>
        <v>0</v>
      </c>
      <c r="U138" s="40">
        <f>SUMIFS('센터 자재 사용내역(09월)'!G:G,'센터 자재 사용내역(09월)'!E:E,'사급자재 사용내역'!C138,'센터 자재 사용내역(09월)'!F:F,"신규")+SUMIFS('센터 자재 사용내역(09월)'!G:G,'센터 자재 사용내역(09월)'!E:E,'사급자재 사용내역'!C138,'센터 자재 사용내역(09월)'!F:F,"교체")</f>
        <v>0</v>
      </c>
      <c r="V138" s="40">
        <f>SUMIFS('센터 자재 사용내역(10월)'!G:G,'센터 자재 사용내역(10월)'!E:E,'사급자재 사용내역'!C138,'센터 자재 사용내역(10월)'!F:F,"신규")+SUMIFS('센터 자재 사용내역(10월)'!G:G,'센터 자재 사용내역(10월)'!E:E,'사급자재 사용내역'!C138,'센터 자재 사용내역(10월)'!F:F,"교체")</f>
        <v>0</v>
      </c>
      <c r="W138" s="40">
        <f>SUMIFS('센터 자재 사용내역(11월)'!G:G,'센터 자재 사용내역(11월)'!E:E,'사급자재 사용내역'!C138,'센터 자재 사용내역(11월)'!F:F,"신규")+SUMIFS('센터 자재 사용내역(11월)'!G:G,'센터 자재 사용내역(11월)'!E:E,'사급자재 사용내역'!C138,'센터 자재 사용내역(11월)'!F:F,"교체")</f>
        <v>0</v>
      </c>
      <c r="X138" s="40">
        <f>SUMIFS('센터 자재 사용내역(12월)'!G:G,'센터 자재 사용내역(12월)'!E:E,'사급자재 사용내역'!C138,'센터 자재 사용내역(12월)'!F:F,"신규")+SUMIFS('센터 자재 사용내역(12월)'!G:G,'센터 자재 사용내역(12월)'!E:E,'사급자재 사용내역'!C138,'센터 자재 사용내역(12월)'!F:F,"교체")</f>
        <v>0</v>
      </c>
      <c r="Y138" s="40">
        <f t="shared" si="29"/>
        <v>0</v>
      </c>
      <c r="Z138" s="53"/>
      <c r="AB138" s="56"/>
      <c r="AC138" s="29"/>
      <c r="AD138" s="29"/>
      <c r="AE138" s="29"/>
      <c r="AF138" s="29"/>
      <c r="AG138" s="29"/>
      <c r="AH138" s="29"/>
      <c r="AI138" s="29"/>
      <c r="AJ138" s="29"/>
      <c r="AK138" s="29"/>
      <c r="AL138" s="29"/>
      <c r="AM138" s="29"/>
      <c r="AN138" s="21">
        <f t="shared" si="37"/>
        <v>0</v>
      </c>
      <c r="AO138" s="57"/>
      <c r="AQ138" s="61">
        <f>SUMIFS('센터 자재 사용내역(01월)'!G:G,'센터 자재 사용내역(01월)'!E:E,'사급자재 사용내역'!C138,'센터 자재 사용내역(01월)'!F:F,"불량")</f>
        <v>0</v>
      </c>
      <c r="AR138" s="40">
        <f>SUMIFS('센터 자재 사용내역(02월)'!G:G,'센터 자재 사용내역(02월)'!E:E,'사급자재 사용내역'!C138,'센터 자재 사용내역(02월)'!F:F,"불량")</f>
        <v>0</v>
      </c>
      <c r="AS138" s="40">
        <f>SUMIFS('센터 자재 사용내역(03월)'!G:G,'센터 자재 사용내역(03월)'!E:E,'사급자재 사용내역'!C138,'센터 자재 사용내역(03월)'!F:F,"불량")</f>
        <v>0</v>
      </c>
      <c r="AT138" s="40">
        <f>SUMIFS('센터 자재 사용내역(04월)'!G:G,'센터 자재 사용내역(04월)'!E:E,'사급자재 사용내역'!C138,'센터 자재 사용내역(04월)'!F:F,"불량")</f>
        <v>0</v>
      </c>
      <c r="AU138" s="40">
        <f>SUMIFS('센터 자재 사용내역(05월)'!G:G,'센터 자재 사용내역(05월)'!E:E,'사급자재 사용내역'!C138,'센터 자재 사용내역(05월)'!F:F,"불량")</f>
        <v>0</v>
      </c>
      <c r="AV138" s="40">
        <f>SUMIFS('센터 자재 사용내역(06월)'!G:G,'센터 자재 사용내역(06월)'!E:E,'사급자재 사용내역'!C138,'센터 자재 사용내역(06월)'!F:F,"불량")</f>
        <v>0</v>
      </c>
      <c r="AW138" s="40">
        <f>SUMIFS('센터 자재 사용내역(07월)'!G:G,'센터 자재 사용내역(07월)'!E:E,'사급자재 사용내역'!C138,'센터 자재 사용내역(07월)'!F:F,"불량")</f>
        <v>0</v>
      </c>
      <c r="AX138" s="40">
        <f>SUMIFS('센터 자재 사용내역(08월)'!G:G,'센터 자재 사용내역(08월)'!E:E,'사급자재 사용내역'!C138,'센터 자재 사용내역(08월)'!F:F,"불량")</f>
        <v>0</v>
      </c>
      <c r="AY138" s="40">
        <f>SUMIFS('센터 자재 사용내역(09월)'!G:G,'센터 자재 사용내역(09월)'!E:E,'사급자재 사용내역'!C138,'센터 자재 사용내역(09월)'!F:F,"불량")</f>
        <v>0</v>
      </c>
      <c r="AZ138" s="40">
        <f>SUMIFS('센터 자재 사용내역(10월)'!G:G,'센터 자재 사용내역(10월)'!E:E,'사급자재 사용내역'!C138,'센터 자재 사용내역(10월)'!F:F,"불량")</f>
        <v>0</v>
      </c>
      <c r="BA138" s="40">
        <f>SUMIFS('센터 자재 사용내역(11월)'!G:G,'센터 자재 사용내역(11월)'!E:E,'사급자재 사용내역'!C138,'센터 자재 사용내역(11월)'!F:F,"불량")</f>
        <v>0</v>
      </c>
      <c r="BB138" s="40">
        <f>SUMIFS('센터 자재 사용내역(12월)'!G:G,'센터 자재 사용내역(12월)'!E:E,'사급자재 사용내역'!C138,'센터 자재 사용내역(12월)'!F:F,"불량")</f>
        <v>0</v>
      </c>
      <c r="BC138" s="40">
        <f t="shared" si="35"/>
        <v>0</v>
      </c>
      <c r="BD138" s="62"/>
    </row>
    <row r="139" spans="2:56" ht="19.5" customHeight="1">
      <c r="B139" s="99"/>
      <c r="C139" s="23" t="s">
        <v>83</v>
      </c>
      <c r="D139" s="64" t="s">
        <v>129</v>
      </c>
      <c r="E139" s="67">
        <v>4</v>
      </c>
      <c r="F139" s="47">
        <v>0</v>
      </c>
      <c r="G139" s="46"/>
      <c r="H139" s="78"/>
      <c r="I139" s="90">
        <f t="shared" si="38"/>
        <v>0</v>
      </c>
      <c r="J139" s="89">
        <f t="shared" si="27"/>
        <v>4</v>
      </c>
      <c r="K139" s="78">
        <f t="shared" si="39"/>
        <v>0</v>
      </c>
      <c r="L139" s="84">
        <f t="shared" si="36"/>
        <v>0</v>
      </c>
      <c r="M139" s="79">
        <f>SUMIFS('센터 자재 사용내역(01월)'!G:G,'센터 자재 사용내역(01월)'!E:E,'사급자재 사용내역'!C139,'센터 자재 사용내역(01월)'!F:F,"신규")+SUMIFS('센터 자재 사용내역(01월)'!G:G,'센터 자재 사용내역(01월)'!E:E,'사급자재 사용내역'!C139,'센터 자재 사용내역(01월)'!F:F,"교체")</f>
        <v>0</v>
      </c>
      <c r="N139" s="40">
        <f>SUMIFS('센터 자재 사용내역(02월)'!G:G,'센터 자재 사용내역(02월)'!E:E,'사급자재 사용내역'!C139,'센터 자재 사용내역(02월)'!F:F,"신규")+SUMIFS('센터 자재 사용내역(02월)'!G:G,'센터 자재 사용내역(02월)'!E:E,'사급자재 사용내역'!C139,'센터 자재 사용내역(02월)'!F:F,"교체")</f>
        <v>0</v>
      </c>
      <c r="O139" s="40">
        <f>SUMIFS('센터 자재 사용내역(03월)'!G:G,'센터 자재 사용내역(03월)'!E:E,'사급자재 사용내역'!C139,'센터 자재 사용내역(03월)'!F:F,"신규")+SUMIFS('센터 자재 사용내역(03월)'!G:G,'센터 자재 사용내역(03월)'!E:E,'사급자재 사용내역'!C139,'센터 자재 사용내역(03월)'!F:F,"교체")</f>
        <v>0</v>
      </c>
      <c r="P139" s="40">
        <f>SUMIFS('센터 자재 사용내역(04월)'!G:G,'센터 자재 사용내역(04월)'!E:E,'사급자재 사용내역'!C139,'센터 자재 사용내역(04월)'!F:F,"신규")+SUMIFS('센터 자재 사용내역(04월)'!G:G,'센터 자재 사용내역(04월)'!E:E,'사급자재 사용내역'!C139,'센터 자재 사용내역(04월)'!F:F,"교체")</f>
        <v>1</v>
      </c>
      <c r="Q139" s="40">
        <f>SUMIFS('센터 자재 사용내역(05월)'!G:G,'센터 자재 사용내역(05월)'!E:E,'사급자재 사용내역'!C139,'센터 자재 사용내역(05월)'!F:F,"신규")+SUMIFS('센터 자재 사용내역(05월)'!G:G,'센터 자재 사용내역(05월)'!E:E,'사급자재 사용내역'!C139,'센터 자재 사용내역(05월)'!F:F,"교체")</f>
        <v>1</v>
      </c>
      <c r="R139" s="40">
        <f>SUMIFS('센터 자재 사용내역(06월)'!G:G,'센터 자재 사용내역(06월)'!E:E,'사급자재 사용내역'!C139,'센터 자재 사용내역(06월)'!F:F,"신규")+SUMIFS('센터 자재 사용내역(06월)'!G:G,'센터 자재 사용내역(06월)'!E:E,'사급자재 사용내역'!C139,'센터 자재 사용내역(06월)'!F:F,"교체")</f>
        <v>1</v>
      </c>
      <c r="S139" s="40">
        <f>SUMIFS('센터 자재 사용내역(07월)'!G:G,'센터 자재 사용내역(07월)'!E:E,'사급자재 사용내역'!C139,'센터 자재 사용내역(07월)'!F:F,"신규")+SUMIFS('센터 자재 사용내역(07월)'!G:G,'센터 자재 사용내역(07월)'!E:E,'사급자재 사용내역'!C139,'센터 자재 사용내역(07월)'!F:F,"교체")</f>
        <v>0</v>
      </c>
      <c r="T139" s="40">
        <f>SUMIFS('센터 자재 사용내역(08월)'!G:G,'센터 자재 사용내역(08월)'!E:E,'사급자재 사용내역'!C139,'센터 자재 사용내역(08월)'!F:F,"신규")+SUMIFS('센터 자재 사용내역(08월)'!G:G,'센터 자재 사용내역(08월)'!E:E,'사급자재 사용내역'!C139,'센터 자재 사용내역(08월)'!F:F,"교체")</f>
        <v>1</v>
      </c>
      <c r="U139" s="40">
        <f>SUMIFS('센터 자재 사용내역(09월)'!G:G,'센터 자재 사용내역(09월)'!E:E,'사급자재 사용내역'!C139,'센터 자재 사용내역(09월)'!F:F,"신규")+SUMIFS('센터 자재 사용내역(09월)'!G:G,'센터 자재 사용내역(09월)'!E:E,'사급자재 사용내역'!C139,'센터 자재 사용내역(09월)'!F:F,"교체")</f>
        <v>0</v>
      </c>
      <c r="V139" s="40">
        <f>SUMIFS('센터 자재 사용내역(10월)'!G:G,'센터 자재 사용내역(10월)'!E:E,'사급자재 사용내역'!C139,'센터 자재 사용내역(10월)'!F:F,"신규")+SUMIFS('센터 자재 사용내역(10월)'!G:G,'센터 자재 사용내역(10월)'!E:E,'사급자재 사용내역'!C139,'센터 자재 사용내역(10월)'!F:F,"교체")</f>
        <v>0</v>
      </c>
      <c r="W139" s="40">
        <f>SUMIFS('센터 자재 사용내역(11월)'!G:G,'센터 자재 사용내역(11월)'!E:E,'사급자재 사용내역'!C139,'센터 자재 사용내역(11월)'!F:F,"신규")+SUMIFS('센터 자재 사용내역(11월)'!G:G,'센터 자재 사용내역(11월)'!E:E,'사급자재 사용내역'!C139,'센터 자재 사용내역(11월)'!F:F,"교체")</f>
        <v>0</v>
      </c>
      <c r="X139" s="40">
        <f>SUMIFS('센터 자재 사용내역(12월)'!G:G,'센터 자재 사용내역(12월)'!E:E,'사급자재 사용내역'!C139,'센터 자재 사용내역(12월)'!F:F,"신규")+SUMIFS('센터 자재 사용내역(12월)'!G:G,'센터 자재 사용내역(12월)'!E:E,'사급자재 사용내역'!C139,'센터 자재 사용내역(12월)'!F:F,"교체")</f>
        <v>0</v>
      </c>
      <c r="Y139" s="40">
        <f t="shared" si="29"/>
        <v>4</v>
      </c>
      <c r="Z139" s="53"/>
      <c r="AB139" s="56"/>
      <c r="AC139" s="29"/>
      <c r="AD139" s="29"/>
      <c r="AE139" s="29"/>
      <c r="AF139" s="29"/>
      <c r="AG139" s="29"/>
      <c r="AH139" s="29"/>
      <c r="AI139" s="29"/>
      <c r="AJ139" s="29"/>
      <c r="AK139" s="29"/>
      <c r="AL139" s="29"/>
      <c r="AM139" s="29"/>
      <c r="AN139" s="21">
        <f t="shared" si="37"/>
        <v>0</v>
      </c>
      <c r="AO139" s="57"/>
      <c r="AQ139" s="61">
        <f>SUMIFS('센터 자재 사용내역(01월)'!G:G,'센터 자재 사용내역(01월)'!E:E,'사급자재 사용내역'!C139,'센터 자재 사용내역(01월)'!F:F,"불량")</f>
        <v>0</v>
      </c>
      <c r="AR139" s="40">
        <f>SUMIFS('센터 자재 사용내역(02월)'!G:G,'센터 자재 사용내역(02월)'!E:E,'사급자재 사용내역'!C139,'센터 자재 사용내역(02월)'!F:F,"불량")</f>
        <v>0</v>
      </c>
      <c r="AS139" s="40">
        <f>SUMIFS('센터 자재 사용내역(03월)'!G:G,'센터 자재 사용내역(03월)'!E:E,'사급자재 사용내역'!C139,'센터 자재 사용내역(03월)'!F:F,"불량")</f>
        <v>0</v>
      </c>
      <c r="AT139" s="40">
        <f>SUMIFS('센터 자재 사용내역(04월)'!G:G,'센터 자재 사용내역(04월)'!E:E,'사급자재 사용내역'!C139,'센터 자재 사용내역(04월)'!F:F,"불량")</f>
        <v>0</v>
      </c>
      <c r="AU139" s="40">
        <f>SUMIFS('센터 자재 사용내역(05월)'!G:G,'센터 자재 사용내역(05월)'!E:E,'사급자재 사용내역'!C139,'센터 자재 사용내역(05월)'!F:F,"불량")</f>
        <v>0</v>
      </c>
      <c r="AV139" s="40">
        <f>SUMIFS('센터 자재 사용내역(06월)'!G:G,'센터 자재 사용내역(06월)'!E:E,'사급자재 사용내역'!C139,'센터 자재 사용내역(06월)'!F:F,"불량")</f>
        <v>0</v>
      </c>
      <c r="AW139" s="40">
        <f>SUMIFS('센터 자재 사용내역(07월)'!G:G,'센터 자재 사용내역(07월)'!E:E,'사급자재 사용내역'!C139,'센터 자재 사용내역(07월)'!F:F,"불량")</f>
        <v>0</v>
      </c>
      <c r="AX139" s="40">
        <f>SUMIFS('센터 자재 사용내역(08월)'!G:G,'센터 자재 사용내역(08월)'!E:E,'사급자재 사용내역'!C139,'센터 자재 사용내역(08월)'!F:F,"불량")</f>
        <v>0</v>
      </c>
      <c r="AY139" s="40">
        <f>SUMIFS('센터 자재 사용내역(09월)'!G:G,'센터 자재 사용내역(09월)'!E:E,'사급자재 사용내역'!C139,'센터 자재 사용내역(09월)'!F:F,"불량")</f>
        <v>0</v>
      </c>
      <c r="AZ139" s="40">
        <f>SUMIFS('센터 자재 사용내역(10월)'!G:G,'센터 자재 사용내역(10월)'!E:E,'사급자재 사용내역'!C139,'센터 자재 사용내역(10월)'!F:F,"불량")</f>
        <v>0</v>
      </c>
      <c r="BA139" s="40">
        <f>SUMIFS('센터 자재 사용내역(11월)'!G:G,'센터 자재 사용내역(11월)'!E:E,'사급자재 사용내역'!C139,'센터 자재 사용내역(11월)'!F:F,"불량")</f>
        <v>0</v>
      </c>
      <c r="BB139" s="40">
        <f>SUMIFS('센터 자재 사용내역(12월)'!G:G,'센터 자재 사용내역(12월)'!E:E,'사급자재 사용내역'!C139,'센터 자재 사용내역(12월)'!F:F,"불량")</f>
        <v>0</v>
      </c>
      <c r="BC139" s="40">
        <f t="shared" si="35"/>
        <v>0</v>
      </c>
      <c r="BD139" s="62"/>
    </row>
    <row r="140" spans="2:56" ht="19.5" customHeight="1">
      <c r="B140" s="99"/>
      <c r="C140" s="23" t="s">
        <v>84</v>
      </c>
      <c r="D140" s="64" t="s">
        <v>90</v>
      </c>
      <c r="E140" s="67">
        <v>3270</v>
      </c>
      <c r="F140" s="47">
        <v>0</v>
      </c>
      <c r="G140" s="46"/>
      <c r="H140" s="78"/>
      <c r="I140" s="90">
        <f t="shared" si="38"/>
        <v>0</v>
      </c>
      <c r="J140" s="89">
        <f t="shared" si="27"/>
        <v>190</v>
      </c>
      <c r="K140" s="78">
        <f t="shared" si="39"/>
        <v>0</v>
      </c>
      <c r="L140" s="84">
        <f t="shared" si="36"/>
        <v>3080</v>
      </c>
      <c r="M140" s="79">
        <f>SUMIFS('센터 자재 사용내역(01월)'!G:G,'센터 자재 사용내역(01월)'!E:E,'사급자재 사용내역'!C140,'센터 자재 사용내역(01월)'!F:F,"신규")+SUMIFS('센터 자재 사용내역(01월)'!G:G,'센터 자재 사용내역(01월)'!E:E,'사급자재 사용내역'!C140,'센터 자재 사용내역(01월)'!F:F,"교체")</f>
        <v>0</v>
      </c>
      <c r="N140" s="40">
        <f>SUMIFS('센터 자재 사용내역(02월)'!G:G,'센터 자재 사용내역(02월)'!E:E,'사급자재 사용내역'!C140,'센터 자재 사용내역(02월)'!F:F,"신규")+SUMIFS('센터 자재 사용내역(02월)'!G:G,'센터 자재 사용내역(02월)'!E:E,'사급자재 사용내역'!C140,'센터 자재 사용내역(02월)'!F:F,"교체")</f>
        <v>190</v>
      </c>
      <c r="O140" s="40">
        <f>SUMIFS('센터 자재 사용내역(03월)'!G:G,'센터 자재 사용내역(03월)'!E:E,'사급자재 사용내역'!C140,'센터 자재 사용내역(03월)'!F:F,"신규")+SUMIFS('센터 자재 사용내역(03월)'!G:G,'센터 자재 사용내역(03월)'!E:E,'사급자재 사용내역'!C140,'센터 자재 사용내역(03월)'!F:F,"교체")</f>
        <v>0</v>
      </c>
      <c r="P140" s="40">
        <f>SUMIFS('센터 자재 사용내역(04월)'!G:G,'센터 자재 사용내역(04월)'!E:E,'사급자재 사용내역'!C140,'센터 자재 사용내역(04월)'!F:F,"신규")+SUMIFS('센터 자재 사용내역(04월)'!G:G,'센터 자재 사용내역(04월)'!E:E,'사급자재 사용내역'!C140,'센터 자재 사용내역(04월)'!F:F,"교체")</f>
        <v>0</v>
      </c>
      <c r="Q140" s="40">
        <f>SUMIFS('센터 자재 사용내역(05월)'!G:G,'센터 자재 사용내역(05월)'!E:E,'사급자재 사용내역'!C140,'센터 자재 사용내역(05월)'!F:F,"신규")+SUMIFS('센터 자재 사용내역(05월)'!G:G,'센터 자재 사용내역(05월)'!E:E,'사급자재 사용내역'!C140,'센터 자재 사용내역(05월)'!F:F,"교체")</f>
        <v>0</v>
      </c>
      <c r="R140" s="40">
        <f>SUMIFS('센터 자재 사용내역(06월)'!G:G,'센터 자재 사용내역(06월)'!E:E,'사급자재 사용내역'!C140,'센터 자재 사용내역(06월)'!F:F,"신규")+SUMIFS('센터 자재 사용내역(06월)'!G:G,'센터 자재 사용내역(06월)'!E:E,'사급자재 사용내역'!C140,'센터 자재 사용내역(06월)'!F:F,"교체")</f>
        <v>0</v>
      </c>
      <c r="S140" s="40">
        <f>SUMIFS('센터 자재 사용내역(07월)'!G:G,'센터 자재 사용내역(07월)'!E:E,'사급자재 사용내역'!C140,'센터 자재 사용내역(07월)'!F:F,"신규")+SUMIFS('센터 자재 사용내역(07월)'!G:G,'센터 자재 사용내역(07월)'!E:E,'사급자재 사용내역'!C140,'센터 자재 사용내역(07월)'!F:F,"교체")</f>
        <v>0</v>
      </c>
      <c r="T140" s="40">
        <f>SUMIFS('센터 자재 사용내역(08월)'!G:G,'센터 자재 사용내역(08월)'!E:E,'사급자재 사용내역'!C140,'센터 자재 사용내역(08월)'!F:F,"신규")+SUMIFS('센터 자재 사용내역(08월)'!G:G,'센터 자재 사용내역(08월)'!E:E,'사급자재 사용내역'!C140,'센터 자재 사용내역(08월)'!F:F,"교체")</f>
        <v>0</v>
      </c>
      <c r="U140" s="40">
        <f>SUMIFS('센터 자재 사용내역(09월)'!G:G,'센터 자재 사용내역(09월)'!E:E,'사급자재 사용내역'!C140,'센터 자재 사용내역(09월)'!F:F,"신규")+SUMIFS('센터 자재 사용내역(09월)'!G:G,'센터 자재 사용내역(09월)'!E:E,'사급자재 사용내역'!C140,'센터 자재 사용내역(09월)'!F:F,"교체")</f>
        <v>0</v>
      </c>
      <c r="V140" s="40">
        <f>SUMIFS('센터 자재 사용내역(10월)'!G:G,'센터 자재 사용내역(10월)'!E:E,'사급자재 사용내역'!C140,'센터 자재 사용내역(10월)'!F:F,"신규")+SUMIFS('센터 자재 사용내역(10월)'!G:G,'센터 자재 사용내역(10월)'!E:E,'사급자재 사용내역'!C140,'센터 자재 사용내역(10월)'!F:F,"교체")</f>
        <v>0</v>
      </c>
      <c r="W140" s="40">
        <f>SUMIFS('센터 자재 사용내역(11월)'!G:G,'센터 자재 사용내역(11월)'!E:E,'사급자재 사용내역'!C140,'센터 자재 사용내역(11월)'!F:F,"신규")+SUMIFS('센터 자재 사용내역(11월)'!G:G,'센터 자재 사용내역(11월)'!E:E,'사급자재 사용내역'!C140,'센터 자재 사용내역(11월)'!F:F,"교체")</f>
        <v>0</v>
      </c>
      <c r="X140" s="40">
        <f>SUMIFS('센터 자재 사용내역(12월)'!G:G,'센터 자재 사용내역(12월)'!E:E,'사급자재 사용내역'!C140,'센터 자재 사용내역(12월)'!F:F,"신규")+SUMIFS('센터 자재 사용내역(12월)'!G:G,'센터 자재 사용내역(12월)'!E:E,'사급자재 사용내역'!C140,'센터 자재 사용내역(12월)'!F:F,"교체")</f>
        <v>0</v>
      </c>
      <c r="Y140" s="40">
        <f t="shared" si="29"/>
        <v>190</v>
      </c>
      <c r="Z140" s="53"/>
      <c r="AB140" s="56"/>
      <c r="AC140" s="29"/>
      <c r="AD140" s="29"/>
      <c r="AE140" s="29"/>
      <c r="AF140" s="29"/>
      <c r="AG140" s="29"/>
      <c r="AH140" s="29"/>
      <c r="AI140" s="29"/>
      <c r="AJ140" s="29"/>
      <c r="AK140" s="29"/>
      <c r="AL140" s="29"/>
      <c r="AM140" s="29"/>
      <c r="AN140" s="21">
        <f t="shared" si="37"/>
        <v>0</v>
      </c>
      <c r="AO140" s="57"/>
      <c r="AQ140" s="61">
        <f>SUMIFS('센터 자재 사용내역(01월)'!G:G,'센터 자재 사용내역(01월)'!E:E,'사급자재 사용내역'!C140,'센터 자재 사용내역(01월)'!F:F,"불량")</f>
        <v>0</v>
      </c>
      <c r="AR140" s="40">
        <f>SUMIFS('센터 자재 사용내역(02월)'!G:G,'센터 자재 사용내역(02월)'!E:E,'사급자재 사용내역'!C140,'센터 자재 사용내역(02월)'!F:F,"불량")</f>
        <v>0</v>
      </c>
      <c r="AS140" s="40">
        <f>SUMIFS('센터 자재 사용내역(03월)'!G:G,'센터 자재 사용내역(03월)'!E:E,'사급자재 사용내역'!C140,'센터 자재 사용내역(03월)'!F:F,"불량")</f>
        <v>0</v>
      </c>
      <c r="AT140" s="40">
        <f>SUMIFS('센터 자재 사용내역(04월)'!G:G,'센터 자재 사용내역(04월)'!E:E,'사급자재 사용내역'!C140,'센터 자재 사용내역(04월)'!F:F,"불량")</f>
        <v>0</v>
      </c>
      <c r="AU140" s="40">
        <f>SUMIFS('센터 자재 사용내역(05월)'!G:G,'센터 자재 사용내역(05월)'!E:E,'사급자재 사용내역'!C140,'센터 자재 사용내역(05월)'!F:F,"불량")</f>
        <v>0</v>
      </c>
      <c r="AV140" s="40">
        <f>SUMIFS('센터 자재 사용내역(06월)'!G:G,'센터 자재 사용내역(06월)'!E:E,'사급자재 사용내역'!C140,'센터 자재 사용내역(06월)'!F:F,"불량")</f>
        <v>0</v>
      </c>
      <c r="AW140" s="40">
        <f>SUMIFS('센터 자재 사용내역(07월)'!G:G,'센터 자재 사용내역(07월)'!E:E,'사급자재 사용내역'!C140,'센터 자재 사용내역(07월)'!F:F,"불량")</f>
        <v>0</v>
      </c>
      <c r="AX140" s="40">
        <f>SUMIFS('센터 자재 사용내역(08월)'!G:G,'센터 자재 사용내역(08월)'!E:E,'사급자재 사용내역'!C140,'센터 자재 사용내역(08월)'!F:F,"불량")</f>
        <v>0</v>
      </c>
      <c r="AY140" s="40">
        <f>SUMIFS('센터 자재 사용내역(09월)'!G:G,'센터 자재 사용내역(09월)'!E:E,'사급자재 사용내역'!C140,'센터 자재 사용내역(09월)'!F:F,"불량")</f>
        <v>0</v>
      </c>
      <c r="AZ140" s="40">
        <f>SUMIFS('센터 자재 사용내역(10월)'!G:G,'센터 자재 사용내역(10월)'!E:E,'사급자재 사용내역'!C140,'센터 자재 사용내역(10월)'!F:F,"불량")</f>
        <v>0</v>
      </c>
      <c r="BA140" s="40">
        <f>SUMIFS('센터 자재 사용내역(11월)'!G:G,'센터 자재 사용내역(11월)'!E:E,'사급자재 사용내역'!C140,'센터 자재 사용내역(11월)'!F:F,"불량")</f>
        <v>0</v>
      </c>
      <c r="BB140" s="40">
        <f>SUMIFS('센터 자재 사용내역(12월)'!G:G,'센터 자재 사용내역(12월)'!E:E,'사급자재 사용내역'!C140,'센터 자재 사용내역(12월)'!F:F,"불량")</f>
        <v>0</v>
      </c>
      <c r="BC140" s="40">
        <f t="shared" si="35"/>
        <v>0</v>
      </c>
      <c r="BD140" s="62"/>
    </row>
    <row r="141" spans="2:56" ht="19.5" customHeight="1">
      <c r="B141" s="99"/>
      <c r="C141" s="23"/>
      <c r="D141" s="64" t="s">
        <v>129</v>
      </c>
      <c r="E141" s="67">
        <v>0</v>
      </c>
      <c r="F141" s="47">
        <v>0</v>
      </c>
      <c r="G141" s="46"/>
      <c r="H141" s="78"/>
      <c r="I141" s="90">
        <f t="shared" si="38"/>
        <v>0</v>
      </c>
      <c r="J141" s="89">
        <f t="shared" si="27"/>
        <v>0</v>
      </c>
      <c r="K141" s="78">
        <f t="shared" si="39"/>
        <v>0</v>
      </c>
      <c r="L141" s="84">
        <f t="shared" si="36"/>
        <v>0</v>
      </c>
      <c r="M141" s="79">
        <f>SUMIFS('센터 자재 사용내역(01월)'!G:G,'센터 자재 사용내역(01월)'!E:E,'사급자재 사용내역'!C141,'센터 자재 사용내역(01월)'!F:F,"신규")+SUMIFS('센터 자재 사용내역(01월)'!G:G,'센터 자재 사용내역(01월)'!E:E,'사급자재 사용내역'!C141,'센터 자재 사용내역(01월)'!F:F,"교체")</f>
        <v>0</v>
      </c>
      <c r="N141" s="40">
        <f>SUMIFS('센터 자재 사용내역(02월)'!G:G,'센터 자재 사용내역(02월)'!E:E,'사급자재 사용내역'!C141,'센터 자재 사용내역(02월)'!F:F,"신규")+SUMIFS('센터 자재 사용내역(02월)'!G:G,'센터 자재 사용내역(02월)'!E:E,'사급자재 사용내역'!C141,'센터 자재 사용내역(02월)'!F:F,"교체")</f>
        <v>0</v>
      </c>
      <c r="O141" s="40">
        <f>SUMIFS('센터 자재 사용내역(03월)'!G:G,'센터 자재 사용내역(03월)'!E:E,'사급자재 사용내역'!C141,'센터 자재 사용내역(03월)'!F:F,"신규")+SUMIFS('센터 자재 사용내역(03월)'!G:G,'센터 자재 사용내역(03월)'!E:E,'사급자재 사용내역'!C141,'센터 자재 사용내역(03월)'!F:F,"교체")</f>
        <v>0</v>
      </c>
      <c r="P141" s="40">
        <f>SUMIFS('센터 자재 사용내역(04월)'!G:G,'센터 자재 사용내역(04월)'!E:E,'사급자재 사용내역'!C141,'센터 자재 사용내역(04월)'!F:F,"신규")+SUMIFS('센터 자재 사용내역(04월)'!G:G,'센터 자재 사용내역(04월)'!E:E,'사급자재 사용내역'!C141,'센터 자재 사용내역(04월)'!F:F,"교체")</f>
        <v>0</v>
      </c>
      <c r="Q141" s="40">
        <f>SUMIFS('센터 자재 사용내역(05월)'!G:G,'센터 자재 사용내역(05월)'!E:E,'사급자재 사용내역'!C141,'센터 자재 사용내역(05월)'!F:F,"신규")+SUMIFS('센터 자재 사용내역(05월)'!G:G,'센터 자재 사용내역(05월)'!E:E,'사급자재 사용내역'!C141,'센터 자재 사용내역(05월)'!F:F,"교체")</f>
        <v>0</v>
      </c>
      <c r="R141" s="40">
        <f>SUMIFS('센터 자재 사용내역(06월)'!G:G,'센터 자재 사용내역(06월)'!E:E,'사급자재 사용내역'!C141,'센터 자재 사용내역(06월)'!F:F,"신규")+SUMIFS('센터 자재 사용내역(06월)'!G:G,'센터 자재 사용내역(06월)'!E:E,'사급자재 사용내역'!C141,'센터 자재 사용내역(06월)'!F:F,"교체")</f>
        <v>0</v>
      </c>
      <c r="S141" s="40">
        <f>SUMIFS('센터 자재 사용내역(07월)'!G:G,'센터 자재 사용내역(07월)'!E:E,'사급자재 사용내역'!C141,'센터 자재 사용내역(07월)'!F:F,"신규")+SUMIFS('센터 자재 사용내역(07월)'!G:G,'센터 자재 사용내역(07월)'!E:E,'사급자재 사용내역'!C141,'센터 자재 사용내역(07월)'!F:F,"교체")</f>
        <v>0</v>
      </c>
      <c r="T141" s="40">
        <f>SUMIFS('센터 자재 사용내역(08월)'!G:G,'센터 자재 사용내역(08월)'!E:E,'사급자재 사용내역'!C141,'센터 자재 사용내역(08월)'!F:F,"신규")+SUMIFS('센터 자재 사용내역(08월)'!G:G,'센터 자재 사용내역(08월)'!E:E,'사급자재 사용내역'!C141,'센터 자재 사용내역(08월)'!F:F,"교체")</f>
        <v>0</v>
      </c>
      <c r="U141" s="40">
        <f>SUMIFS('센터 자재 사용내역(09월)'!G:G,'센터 자재 사용내역(09월)'!E:E,'사급자재 사용내역'!C141,'센터 자재 사용내역(09월)'!F:F,"신규")+SUMIFS('센터 자재 사용내역(09월)'!G:G,'센터 자재 사용내역(09월)'!E:E,'사급자재 사용내역'!C141,'센터 자재 사용내역(09월)'!F:F,"교체")</f>
        <v>0</v>
      </c>
      <c r="V141" s="40">
        <f>SUMIFS('센터 자재 사용내역(10월)'!G:G,'센터 자재 사용내역(10월)'!E:E,'사급자재 사용내역'!C141,'센터 자재 사용내역(10월)'!F:F,"신규")+SUMIFS('센터 자재 사용내역(10월)'!G:G,'센터 자재 사용내역(10월)'!E:E,'사급자재 사용내역'!C141,'센터 자재 사용내역(10월)'!F:F,"교체")</f>
        <v>0</v>
      </c>
      <c r="W141" s="40">
        <f>SUMIFS('센터 자재 사용내역(11월)'!G:G,'센터 자재 사용내역(11월)'!E:E,'사급자재 사용내역'!C141,'센터 자재 사용내역(11월)'!F:F,"신규")+SUMIFS('센터 자재 사용내역(11월)'!G:G,'센터 자재 사용내역(11월)'!E:E,'사급자재 사용내역'!C141,'센터 자재 사용내역(11월)'!F:F,"교체")</f>
        <v>0</v>
      </c>
      <c r="X141" s="40">
        <f>SUMIFS('센터 자재 사용내역(12월)'!G:G,'센터 자재 사용내역(12월)'!E:E,'사급자재 사용내역'!C141,'센터 자재 사용내역(12월)'!F:F,"신규")+SUMIFS('센터 자재 사용내역(12월)'!G:G,'센터 자재 사용내역(12월)'!E:E,'사급자재 사용내역'!C141,'센터 자재 사용내역(12월)'!F:F,"교체")</f>
        <v>0</v>
      </c>
      <c r="Y141" s="40">
        <f t="shared" si="29"/>
        <v>0</v>
      </c>
      <c r="Z141" s="53"/>
      <c r="AB141" s="56"/>
      <c r="AC141" s="29"/>
      <c r="AD141" s="29"/>
      <c r="AE141" s="29"/>
      <c r="AF141" s="29"/>
      <c r="AG141" s="29"/>
      <c r="AH141" s="29"/>
      <c r="AI141" s="29"/>
      <c r="AJ141" s="29"/>
      <c r="AK141" s="29"/>
      <c r="AL141" s="29"/>
      <c r="AM141" s="29"/>
      <c r="AN141" s="21">
        <f t="shared" si="37"/>
        <v>0</v>
      </c>
      <c r="AO141" s="57"/>
      <c r="AQ141" s="61">
        <f>SUMIFS('센터 자재 사용내역(01월)'!G:G,'센터 자재 사용내역(01월)'!E:E,'사급자재 사용내역'!C141,'센터 자재 사용내역(01월)'!F:F,"불량")</f>
        <v>0</v>
      </c>
      <c r="AR141" s="40">
        <f>SUMIFS('센터 자재 사용내역(02월)'!G:G,'센터 자재 사용내역(02월)'!E:E,'사급자재 사용내역'!C141,'센터 자재 사용내역(02월)'!F:F,"불량")</f>
        <v>0</v>
      </c>
      <c r="AS141" s="40">
        <f>SUMIFS('센터 자재 사용내역(03월)'!G:G,'센터 자재 사용내역(03월)'!E:E,'사급자재 사용내역'!C141,'센터 자재 사용내역(03월)'!F:F,"불량")</f>
        <v>0</v>
      </c>
      <c r="AT141" s="40">
        <f>SUMIFS('센터 자재 사용내역(04월)'!G:G,'센터 자재 사용내역(04월)'!E:E,'사급자재 사용내역'!C141,'센터 자재 사용내역(04월)'!F:F,"불량")</f>
        <v>0</v>
      </c>
      <c r="AU141" s="40">
        <f>SUMIFS('센터 자재 사용내역(05월)'!G:G,'센터 자재 사용내역(05월)'!E:E,'사급자재 사용내역'!C141,'센터 자재 사용내역(05월)'!F:F,"불량")</f>
        <v>0</v>
      </c>
      <c r="AV141" s="40">
        <f>SUMIFS('센터 자재 사용내역(06월)'!G:G,'센터 자재 사용내역(06월)'!E:E,'사급자재 사용내역'!C141,'센터 자재 사용내역(06월)'!F:F,"불량")</f>
        <v>0</v>
      </c>
      <c r="AW141" s="40">
        <f>SUMIFS('센터 자재 사용내역(07월)'!G:G,'센터 자재 사용내역(07월)'!E:E,'사급자재 사용내역'!C141,'센터 자재 사용내역(07월)'!F:F,"불량")</f>
        <v>0</v>
      </c>
      <c r="AX141" s="40">
        <f>SUMIFS('센터 자재 사용내역(08월)'!G:G,'센터 자재 사용내역(08월)'!E:E,'사급자재 사용내역'!C141,'센터 자재 사용내역(08월)'!F:F,"불량")</f>
        <v>0</v>
      </c>
      <c r="AY141" s="40">
        <f>SUMIFS('센터 자재 사용내역(09월)'!G:G,'센터 자재 사용내역(09월)'!E:E,'사급자재 사용내역'!C141,'센터 자재 사용내역(09월)'!F:F,"불량")</f>
        <v>0</v>
      </c>
      <c r="AZ141" s="40">
        <f>SUMIFS('센터 자재 사용내역(10월)'!G:G,'센터 자재 사용내역(10월)'!E:E,'사급자재 사용내역'!C141,'센터 자재 사용내역(10월)'!F:F,"불량")</f>
        <v>0</v>
      </c>
      <c r="BA141" s="40">
        <f>SUMIFS('센터 자재 사용내역(11월)'!G:G,'센터 자재 사용내역(11월)'!E:E,'사급자재 사용내역'!C141,'센터 자재 사용내역(11월)'!F:F,"불량")</f>
        <v>0</v>
      </c>
      <c r="BB141" s="40">
        <f>SUMIFS('센터 자재 사용내역(12월)'!G:G,'센터 자재 사용내역(12월)'!E:E,'사급자재 사용내역'!C141,'센터 자재 사용내역(12월)'!F:F,"불량")</f>
        <v>0</v>
      </c>
      <c r="BC141" s="40">
        <f t="shared" si="35"/>
        <v>0</v>
      </c>
      <c r="BD141" s="62"/>
    </row>
    <row r="142" spans="2:56" ht="19.5" customHeight="1">
      <c r="B142" s="99"/>
      <c r="C142" s="23"/>
      <c r="D142" s="64" t="s">
        <v>129</v>
      </c>
      <c r="E142" s="67">
        <v>0</v>
      </c>
      <c r="F142" s="47">
        <v>0</v>
      </c>
      <c r="G142" s="46"/>
      <c r="H142" s="78"/>
      <c r="I142" s="90">
        <f t="shared" si="38"/>
        <v>0</v>
      </c>
      <c r="J142" s="89">
        <f t="shared" si="27"/>
        <v>0</v>
      </c>
      <c r="K142" s="78">
        <f t="shared" si="39"/>
        <v>0</v>
      </c>
      <c r="L142" s="84">
        <f t="shared" si="36"/>
        <v>0</v>
      </c>
      <c r="M142" s="79">
        <f>SUMIFS('센터 자재 사용내역(01월)'!G:G,'센터 자재 사용내역(01월)'!E:E,'사급자재 사용내역'!C142,'센터 자재 사용내역(01월)'!F:F,"신규")+SUMIFS('센터 자재 사용내역(01월)'!G:G,'센터 자재 사용내역(01월)'!E:E,'사급자재 사용내역'!C142,'센터 자재 사용내역(01월)'!F:F,"교체")</f>
        <v>0</v>
      </c>
      <c r="N142" s="40">
        <f>SUMIFS('센터 자재 사용내역(02월)'!G:G,'센터 자재 사용내역(02월)'!E:E,'사급자재 사용내역'!C142,'센터 자재 사용내역(02월)'!F:F,"신규")+SUMIFS('센터 자재 사용내역(02월)'!G:G,'센터 자재 사용내역(02월)'!E:E,'사급자재 사용내역'!C142,'센터 자재 사용내역(02월)'!F:F,"교체")</f>
        <v>0</v>
      </c>
      <c r="O142" s="40">
        <f>SUMIFS('센터 자재 사용내역(03월)'!G:G,'센터 자재 사용내역(03월)'!E:E,'사급자재 사용내역'!C142,'센터 자재 사용내역(03월)'!F:F,"신규")+SUMIFS('센터 자재 사용내역(03월)'!G:G,'센터 자재 사용내역(03월)'!E:E,'사급자재 사용내역'!C142,'센터 자재 사용내역(03월)'!F:F,"교체")</f>
        <v>0</v>
      </c>
      <c r="P142" s="40">
        <f>SUMIFS('센터 자재 사용내역(04월)'!G:G,'센터 자재 사용내역(04월)'!E:E,'사급자재 사용내역'!C142,'센터 자재 사용내역(04월)'!F:F,"신규")+SUMIFS('센터 자재 사용내역(04월)'!G:G,'센터 자재 사용내역(04월)'!E:E,'사급자재 사용내역'!C142,'센터 자재 사용내역(04월)'!F:F,"교체")</f>
        <v>0</v>
      </c>
      <c r="Q142" s="40">
        <f>SUMIFS('센터 자재 사용내역(05월)'!G:G,'센터 자재 사용내역(05월)'!E:E,'사급자재 사용내역'!C142,'센터 자재 사용내역(05월)'!F:F,"신규")+SUMIFS('센터 자재 사용내역(05월)'!G:G,'센터 자재 사용내역(05월)'!E:E,'사급자재 사용내역'!C142,'센터 자재 사용내역(05월)'!F:F,"교체")</f>
        <v>0</v>
      </c>
      <c r="R142" s="40">
        <f>SUMIFS('센터 자재 사용내역(06월)'!G:G,'센터 자재 사용내역(06월)'!E:E,'사급자재 사용내역'!C142,'센터 자재 사용내역(06월)'!F:F,"신규")+SUMIFS('센터 자재 사용내역(06월)'!G:G,'센터 자재 사용내역(06월)'!E:E,'사급자재 사용내역'!C142,'센터 자재 사용내역(06월)'!F:F,"교체")</f>
        <v>0</v>
      </c>
      <c r="S142" s="40">
        <f>SUMIFS('센터 자재 사용내역(07월)'!G:G,'센터 자재 사용내역(07월)'!E:E,'사급자재 사용내역'!C142,'센터 자재 사용내역(07월)'!F:F,"신규")+SUMIFS('센터 자재 사용내역(07월)'!G:G,'센터 자재 사용내역(07월)'!E:E,'사급자재 사용내역'!C142,'센터 자재 사용내역(07월)'!F:F,"교체")</f>
        <v>0</v>
      </c>
      <c r="T142" s="40">
        <f>SUMIFS('센터 자재 사용내역(08월)'!G:G,'센터 자재 사용내역(08월)'!E:E,'사급자재 사용내역'!C142,'센터 자재 사용내역(08월)'!F:F,"신규")+SUMIFS('센터 자재 사용내역(08월)'!G:G,'센터 자재 사용내역(08월)'!E:E,'사급자재 사용내역'!C142,'센터 자재 사용내역(08월)'!F:F,"교체")</f>
        <v>0</v>
      </c>
      <c r="U142" s="40">
        <f>SUMIFS('센터 자재 사용내역(09월)'!G:G,'센터 자재 사용내역(09월)'!E:E,'사급자재 사용내역'!C142,'센터 자재 사용내역(09월)'!F:F,"신규")+SUMIFS('센터 자재 사용내역(09월)'!G:G,'센터 자재 사용내역(09월)'!E:E,'사급자재 사용내역'!C142,'센터 자재 사용내역(09월)'!F:F,"교체")</f>
        <v>0</v>
      </c>
      <c r="V142" s="40">
        <f>SUMIFS('센터 자재 사용내역(10월)'!G:G,'센터 자재 사용내역(10월)'!E:E,'사급자재 사용내역'!C142,'센터 자재 사용내역(10월)'!F:F,"신규")+SUMIFS('센터 자재 사용내역(10월)'!G:G,'센터 자재 사용내역(10월)'!E:E,'사급자재 사용내역'!C142,'센터 자재 사용내역(10월)'!F:F,"교체")</f>
        <v>0</v>
      </c>
      <c r="W142" s="40">
        <f>SUMIFS('센터 자재 사용내역(11월)'!G:G,'센터 자재 사용내역(11월)'!E:E,'사급자재 사용내역'!C142,'센터 자재 사용내역(11월)'!F:F,"신규")+SUMIFS('센터 자재 사용내역(11월)'!G:G,'센터 자재 사용내역(11월)'!E:E,'사급자재 사용내역'!C142,'센터 자재 사용내역(11월)'!F:F,"교체")</f>
        <v>0</v>
      </c>
      <c r="X142" s="40">
        <f>SUMIFS('센터 자재 사용내역(12월)'!G:G,'센터 자재 사용내역(12월)'!E:E,'사급자재 사용내역'!C142,'센터 자재 사용내역(12월)'!F:F,"신규")+SUMIFS('센터 자재 사용내역(12월)'!G:G,'센터 자재 사용내역(12월)'!E:E,'사급자재 사용내역'!C142,'센터 자재 사용내역(12월)'!F:F,"교체")</f>
        <v>0</v>
      </c>
      <c r="Y142" s="40">
        <f t="shared" si="29"/>
        <v>0</v>
      </c>
      <c r="Z142" s="53"/>
      <c r="AB142" s="56"/>
      <c r="AC142" s="29"/>
      <c r="AD142" s="29"/>
      <c r="AE142" s="29"/>
      <c r="AF142" s="29"/>
      <c r="AG142" s="29"/>
      <c r="AH142" s="29"/>
      <c r="AI142" s="29"/>
      <c r="AJ142" s="29"/>
      <c r="AK142" s="29"/>
      <c r="AL142" s="29"/>
      <c r="AM142" s="29"/>
      <c r="AN142" s="21">
        <f t="shared" si="37"/>
        <v>0</v>
      </c>
      <c r="AO142" s="57"/>
      <c r="AQ142" s="61">
        <f>SUMIFS('센터 자재 사용내역(01월)'!G:G,'센터 자재 사용내역(01월)'!E:E,'사급자재 사용내역'!C142,'센터 자재 사용내역(01월)'!F:F,"불량")</f>
        <v>0</v>
      </c>
      <c r="AR142" s="40">
        <f>SUMIFS('센터 자재 사용내역(02월)'!G:G,'센터 자재 사용내역(02월)'!E:E,'사급자재 사용내역'!C142,'센터 자재 사용내역(02월)'!F:F,"불량")</f>
        <v>0</v>
      </c>
      <c r="AS142" s="40">
        <f>SUMIFS('센터 자재 사용내역(03월)'!G:G,'센터 자재 사용내역(03월)'!E:E,'사급자재 사용내역'!C142,'센터 자재 사용내역(03월)'!F:F,"불량")</f>
        <v>0</v>
      </c>
      <c r="AT142" s="40">
        <f>SUMIFS('센터 자재 사용내역(04월)'!G:G,'센터 자재 사용내역(04월)'!E:E,'사급자재 사용내역'!C142,'센터 자재 사용내역(04월)'!F:F,"불량")</f>
        <v>0</v>
      </c>
      <c r="AU142" s="40">
        <f>SUMIFS('센터 자재 사용내역(05월)'!G:G,'센터 자재 사용내역(05월)'!E:E,'사급자재 사용내역'!C142,'센터 자재 사용내역(05월)'!F:F,"불량")</f>
        <v>0</v>
      </c>
      <c r="AV142" s="40">
        <f>SUMIFS('센터 자재 사용내역(06월)'!G:G,'센터 자재 사용내역(06월)'!E:E,'사급자재 사용내역'!C142,'센터 자재 사용내역(06월)'!F:F,"불량")</f>
        <v>0</v>
      </c>
      <c r="AW142" s="40">
        <f>SUMIFS('센터 자재 사용내역(07월)'!G:G,'센터 자재 사용내역(07월)'!E:E,'사급자재 사용내역'!C142,'센터 자재 사용내역(07월)'!F:F,"불량")</f>
        <v>0</v>
      </c>
      <c r="AX142" s="40">
        <f>SUMIFS('센터 자재 사용내역(08월)'!G:G,'센터 자재 사용내역(08월)'!E:E,'사급자재 사용내역'!C142,'센터 자재 사용내역(08월)'!F:F,"불량")</f>
        <v>0</v>
      </c>
      <c r="AY142" s="40">
        <f>SUMIFS('센터 자재 사용내역(09월)'!G:G,'센터 자재 사용내역(09월)'!E:E,'사급자재 사용내역'!C142,'센터 자재 사용내역(09월)'!F:F,"불량")</f>
        <v>0</v>
      </c>
      <c r="AZ142" s="40">
        <f>SUMIFS('센터 자재 사용내역(10월)'!G:G,'센터 자재 사용내역(10월)'!E:E,'사급자재 사용내역'!C142,'센터 자재 사용내역(10월)'!F:F,"불량")</f>
        <v>0</v>
      </c>
      <c r="BA142" s="40">
        <f>SUMIFS('센터 자재 사용내역(11월)'!G:G,'센터 자재 사용내역(11월)'!E:E,'사급자재 사용내역'!C142,'센터 자재 사용내역(11월)'!F:F,"불량")</f>
        <v>0</v>
      </c>
      <c r="BB142" s="40">
        <f>SUMIFS('센터 자재 사용내역(12월)'!G:G,'센터 자재 사용내역(12월)'!E:E,'사급자재 사용내역'!C142,'센터 자재 사용내역(12월)'!F:F,"불량")</f>
        <v>0</v>
      </c>
      <c r="BC142" s="40">
        <f t="shared" si="35"/>
        <v>0</v>
      </c>
      <c r="BD142" s="62"/>
    </row>
    <row r="143" spans="2:56" ht="19.5" customHeight="1">
      <c r="B143" s="100"/>
      <c r="C143" s="23"/>
      <c r="D143" s="64" t="s">
        <v>129</v>
      </c>
      <c r="E143" s="67">
        <v>0</v>
      </c>
      <c r="F143" s="47">
        <v>0</v>
      </c>
      <c r="G143" s="46"/>
      <c r="H143" s="78"/>
      <c r="I143" s="90">
        <f t="shared" si="38"/>
        <v>0</v>
      </c>
      <c r="J143" s="89">
        <f t="shared" si="27"/>
        <v>0</v>
      </c>
      <c r="K143" s="78">
        <f t="shared" si="39"/>
        <v>0</v>
      </c>
      <c r="L143" s="84">
        <f t="shared" si="36"/>
        <v>0</v>
      </c>
      <c r="M143" s="79">
        <f>SUMIFS('센터 자재 사용내역(01월)'!G:G,'센터 자재 사용내역(01월)'!E:E,'사급자재 사용내역'!C143,'센터 자재 사용내역(01월)'!F:F,"신규")+SUMIFS('센터 자재 사용내역(01월)'!G:G,'센터 자재 사용내역(01월)'!E:E,'사급자재 사용내역'!C143,'센터 자재 사용내역(01월)'!F:F,"교체")</f>
        <v>0</v>
      </c>
      <c r="N143" s="40">
        <f>SUMIFS('센터 자재 사용내역(02월)'!G:G,'센터 자재 사용내역(02월)'!E:E,'사급자재 사용내역'!C143,'센터 자재 사용내역(02월)'!F:F,"신규")+SUMIFS('센터 자재 사용내역(02월)'!G:G,'센터 자재 사용내역(02월)'!E:E,'사급자재 사용내역'!C143,'센터 자재 사용내역(02월)'!F:F,"교체")</f>
        <v>0</v>
      </c>
      <c r="O143" s="40">
        <f>SUMIFS('센터 자재 사용내역(03월)'!G:G,'센터 자재 사용내역(03월)'!E:E,'사급자재 사용내역'!C143,'센터 자재 사용내역(03월)'!F:F,"신규")+SUMIFS('센터 자재 사용내역(03월)'!G:G,'센터 자재 사용내역(03월)'!E:E,'사급자재 사용내역'!C143,'센터 자재 사용내역(03월)'!F:F,"교체")</f>
        <v>0</v>
      </c>
      <c r="P143" s="40">
        <f>SUMIFS('센터 자재 사용내역(04월)'!G:G,'센터 자재 사용내역(04월)'!E:E,'사급자재 사용내역'!C143,'센터 자재 사용내역(04월)'!F:F,"신규")+SUMIFS('센터 자재 사용내역(04월)'!G:G,'센터 자재 사용내역(04월)'!E:E,'사급자재 사용내역'!C143,'센터 자재 사용내역(04월)'!F:F,"교체")</f>
        <v>0</v>
      </c>
      <c r="Q143" s="40">
        <f>SUMIFS('센터 자재 사용내역(05월)'!G:G,'센터 자재 사용내역(05월)'!E:E,'사급자재 사용내역'!C143,'센터 자재 사용내역(05월)'!F:F,"신규")+SUMIFS('센터 자재 사용내역(05월)'!G:G,'센터 자재 사용내역(05월)'!E:E,'사급자재 사용내역'!C143,'센터 자재 사용내역(05월)'!F:F,"교체")</f>
        <v>0</v>
      </c>
      <c r="R143" s="40">
        <f>SUMIFS('센터 자재 사용내역(06월)'!G:G,'센터 자재 사용내역(06월)'!E:E,'사급자재 사용내역'!C143,'센터 자재 사용내역(06월)'!F:F,"신규")+SUMIFS('센터 자재 사용내역(06월)'!G:G,'센터 자재 사용내역(06월)'!E:E,'사급자재 사용내역'!C143,'센터 자재 사용내역(06월)'!F:F,"교체")</f>
        <v>0</v>
      </c>
      <c r="S143" s="40">
        <f>SUMIFS('센터 자재 사용내역(07월)'!G:G,'센터 자재 사용내역(07월)'!E:E,'사급자재 사용내역'!C143,'센터 자재 사용내역(07월)'!F:F,"신규")+SUMIFS('센터 자재 사용내역(07월)'!G:G,'센터 자재 사용내역(07월)'!E:E,'사급자재 사용내역'!C143,'센터 자재 사용내역(07월)'!F:F,"교체")</f>
        <v>0</v>
      </c>
      <c r="T143" s="40">
        <f>SUMIFS('센터 자재 사용내역(08월)'!G:G,'센터 자재 사용내역(08월)'!E:E,'사급자재 사용내역'!C143,'센터 자재 사용내역(08월)'!F:F,"신규")+SUMIFS('센터 자재 사용내역(08월)'!G:G,'센터 자재 사용내역(08월)'!E:E,'사급자재 사용내역'!C143,'센터 자재 사용내역(08월)'!F:F,"교체")</f>
        <v>0</v>
      </c>
      <c r="U143" s="40">
        <f>SUMIFS('센터 자재 사용내역(09월)'!G:G,'센터 자재 사용내역(09월)'!E:E,'사급자재 사용내역'!C143,'센터 자재 사용내역(09월)'!F:F,"신규")+SUMIFS('센터 자재 사용내역(09월)'!G:G,'센터 자재 사용내역(09월)'!E:E,'사급자재 사용내역'!C143,'센터 자재 사용내역(09월)'!F:F,"교체")</f>
        <v>0</v>
      </c>
      <c r="V143" s="40">
        <f>SUMIFS('센터 자재 사용내역(10월)'!G:G,'센터 자재 사용내역(10월)'!E:E,'사급자재 사용내역'!C143,'센터 자재 사용내역(10월)'!F:F,"신규")+SUMIFS('센터 자재 사용내역(10월)'!G:G,'센터 자재 사용내역(10월)'!E:E,'사급자재 사용내역'!C143,'센터 자재 사용내역(10월)'!F:F,"교체")</f>
        <v>0</v>
      </c>
      <c r="W143" s="40">
        <f>SUMIFS('센터 자재 사용내역(11월)'!G:G,'센터 자재 사용내역(11월)'!E:E,'사급자재 사용내역'!C143,'센터 자재 사용내역(11월)'!F:F,"신규")+SUMIFS('센터 자재 사용내역(11월)'!G:G,'센터 자재 사용내역(11월)'!E:E,'사급자재 사용내역'!C143,'센터 자재 사용내역(11월)'!F:F,"교체")</f>
        <v>0</v>
      </c>
      <c r="X143" s="40">
        <f>SUMIFS('센터 자재 사용내역(12월)'!G:G,'센터 자재 사용내역(12월)'!E:E,'사급자재 사용내역'!C143,'센터 자재 사용내역(12월)'!F:F,"신규")+SUMIFS('센터 자재 사용내역(12월)'!G:G,'센터 자재 사용내역(12월)'!E:E,'사급자재 사용내역'!C143,'센터 자재 사용내역(12월)'!F:F,"교체")</f>
        <v>0</v>
      </c>
      <c r="Y143" s="40">
        <f t="shared" si="29"/>
        <v>0</v>
      </c>
      <c r="Z143" s="53"/>
      <c r="AB143" s="56"/>
      <c r="AC143" s="29"/>
      <c r="AD143" s="29"/>
      <c r="AE143" s="29"/>
      <c r="AF143" s="29"/>
      <c r="AG143" s="29"/>
      <c r="AH143" s="29"/>
      <c r="AI143" s="29"/>
      <c r="AJ143" s="29"/>
      <c r="AK143" s="29"/>
      <c r="AL143" s="29"/>
      <c r="AM143" s="29"/>
      <c r="AN143" s="21">
        <f t="shared" si="37"/>
        <v>0</v>
      </c>
      <c r="AO143" s="57"/>
      <c r="AQ143" s="61">
        <f>SUMIFS('센터 자재 사용내역(01월)'!G:G,'센터 자재 사용내역(01월)'!E:E,'사급자재 사용내역'!C143,'센터 자재 사용내역(01월)'!F:F,"불량")</f>
        <v>0</v>
      </c>
      <c r="AR143" s="40">
        <f>SUMIFS('센터 자재 사용내역(02월)'!G:G,'센터 자재 사용내역(02월)'!E:E,'사급자재 사용내역'!C143,'센터 자재 사용내역(02월)'!F:F,"불량")</f>
        <v>0</v>
      </c>
      <c r="AS143" s="40">
        <f>SUMIFS('센터 자재 사용내역(03월)'!G:G,'센터 자재 사용내역(03월)'!E:E,'사급자재 사용내역'!C143,'센터 자재 사용내역(03월)'!F:F,"불량")</f>
        <v>0</v>
      </c>
      <c r="AT143" s="40">
        <f>SUMIFS('센터 자재 사용내역(04월)'!G:G,'센터 자재 사용내역(04월)'!E:E,'사급자재 사용내역'!C143,'센터 자재 사용내역(04월)'!F:F,"불량")</f>
        <v>0</v>
      </c>
      <c r="AU143" s="40">
        <f>SUMIFS('센터 자재 사용내역(05월)'!G:G,'센터 자재 사용내역(05월)'!E:E,'사급자재 사용내역'!C143,'센터 자재 사용내역(05월)'!F:F,"불량")</f>
        <v>0</v>
      </c>
      <c r="AV143" s="40">
        <f>SUMIFS('센터 자재 사용내역(06월)'!G:G,'센터 자재 사용내역(06월)'!E:E,'사급자재 사용내역'!C143,'센터 자재 사용내역(06월)'!F:F,"불량")</f>
        <v>0</v>
      </c>
      <c r="AW143" s="40">
        <f>SUMIFS('센터 자재 사용내역(07월)'!G:G,'센터 자재 사용내역(07월)'!E:E,'사급자재 사용내역'!C143,'센터 자재 사용내역(07월)'!F:F,"불량")</f>
        <v>0</v>
      </c>
      <c r="AX143" s="40">
        <f>SUMIFS('센터 자재 사용내역(08월)'!G:G,'센터 자재 사용내역(08월)'!E:E,'사급자재 사용내역'!C143,'센터 자재 사용내역(08월)'!F:F,"불량")</f>
        <v>0</v>
      </c>
      <c r="AY143" s="40">
        <f>SUMIFS('센터 자재 사용내역(09월)'!G:G,'센터 자재 사용내역(09월)'!E:E,'사급자재 사용내역'!C143,'센터 자재 사용내역(09월)'!F:F,"불량")</f>
        <v>0</v>
      </c>
      <c r="AZ143" s="40">
        <f>SUMIFS('센터 자재 사용내역(10월)'!G:G,'센터 자재 사용내역(10월)'!E:E,'사급자재 사용내역'!C143,'센터 자재 사용내역(10월)'!F:F,"불량")</f>
        <v>0</v>
      </c>
      <c r="BA143" s="40">
        <f>SUMIFS('센터 자재 사용내역(11월)'!G:G,'센터 자재 사용내역(11월)'!E:E,'사급자재 사용내역'!C143,'센터 자재 사용내역(11월)'!F:F,"불량")</f>
        <v>0</v>
      </c>
      <c r="BB143" s="40">
        <f>SUMIFS('센터 자재 사용내역(12월)'!G:G,'센터 자재 사용내역(12월)'!E:E,'사급자재 사용내역'!C143,'센터 자재 사용내역(12월)'!F:F,"불량")</f>
        <v>0</v>
      </c>
      <c r="BC143" s="40">
        <f t="shared" si="35"/>
        <v>0</v>
      </c>
      <c r="BD143" s="62"/>
    </row>
    <row r="144" spans="2:56" ht="19.5" customHeight="1">
      <c r="B144" s="98" t="s">
        <v>211</v>
      </c>
      <c r="C144" s="23" t="s">
        <v>188</v>
      </c>
      <c r="D144" s="65" t="s">
        <v>129</v>
      </c>
      <c r="E144" s="67">
        <v>450</v>
      </c>
      <c r="F144" s="49">
        <v>0</v>
      </c>
      <c r="G144" s="48"/>
      <c r="H144" s="78"/>
      <c r="I144" s="91">
        <f t="shared" si="38"/>
        <v>0</v>
      </c>
      <c r="J144" s="89">
        <f t="shared" si="27"/>
        <v>0</v>
      </c>
      <c r="K144" s="78">
        <f t="shared" si="39"/>
        <v>0</v>
      </c>
      <c r="L144" s="84">
        <f t="shared" si="36"/>
        <v>450</v>
      </c>
      <c r="M144" s="80">
        <f>SUMIFS('센터 자재 사용내역(01월)'!G:G,'센터 자재 사용내역(01월)'!E:E,'사급자재 사용내역'!C144,'센터 자재 사용내역(01월)'!F:F,"신규")+SUMIFS('센터 자재 사용내역(01월)'!G:G,'센터 자재 사용내역(01월)'!E:E,'사급자재 사용내역'!C144,'센터 자재 사용내역(01월)'!F:F,"교체")</f>
        <v>0</v>
      </c>
      <c r="N144" s="73">
        <f>SUMIFS('센터 자재 사용내역(02월)'!G:G,'센터 자재 사용내역(02월)'!E:E,'사급자재 사용내역'!C144,'센터 자재 사용내역(02월)'!F:F,"신규")+SUMIFS('센터 자재 사용내역(02월)'!G:G,'센터 자재 사용내역(02월)'!E:E,'사급자재 사용내역'!C144,'센터 자재 사용내역(02월)'!F:F,"교체")</f>
        <v>0</v>
      </c>
      <c r="O144" s="73">
        <f>SUMIFS('센터 자재 사용내역(03월)'!G:G,'센터 자재 사용내역(03월)'!E:E,'사급자재 사용내역'!C144,'센터 자재 사용내역(03월)'!F:F,"신규")+SUMIFS('센터 자재 사용내역(03월)'!G:G,'센터 자재 사용내역(03월)'!E:E,'사급자재 사용내역'!C144,'센터 자재 사용내역(03월)'!F:F,"교체")</f>
        <v>0</v>
      </c>
      <c r="P144" s="40">
        <f>SUMIFS('센터 자재 사용내역(04월)'!G:G,'센터 자재 사용내역(04월)'!E:E,'사급자재 사용내역'!C144,'센터 자재 사용내역(04월)'!F:F,"신규")+SUMIFS('센터 자재 사용내역(04월)'!G:G,'센터 자재 사용내역(04월)'!E:E,'사급자재 사용내역'!C144,'센터 자재 사용내역(04월)'!F:F,"교체")</f>
        <v>0</v>
      </c>
      <c r="Q144" s="40">
        <f>SUMIFS('센터 자재 사용내역(05월)'!G:G,'센터 자재 사용내역(05월)'!E:E,'사급자재 사용내역'!C144,'센터 자재 사용내역(05월)'!F:F,"신규")+SUMIFS('센터 자재 사용내역(05월)'!G:G,'센터 자재 사용내역(05월)'!E:E,'사급자재 사용내역'!C144,'센터 자재 사용내역(05월)'!F:F,"교체")</f>
        <v>0</v>
      </c>
      <c r="R144" s="40">
        <f>SUMIFS('센터 자재 사용내역(06월)'!G:G,'센터 자재 사용내역(06월)'!E:E,'사급자재 사용내역'!C144,'센터 자재 사용내역(06월)'!F:F,"신규")+SUMIFS('센터 자재 사용내역(06월)'!G:G,'센터 자재 사용내역(06월)'!E:E,'사급자재 사용내역'!C144,'센터 자재 사용내역(06월)'!F:F,"교체")</f>
        <v>0</v>
      </c>
      <c r="S144" s="40">
        <f>SUMIFS('센터 자재 사용내역(07월)'!G:G,'센터 자재 사용내역(07월)'!E:E,'사급자재 사용내역'!C144,'센터 자재 사용내역(07월)'!F:F,"신규")+SUMIFS('센터 자재 사용내역(07월)'!G:G,'센터 자재 사용내역(07월)'!E:E,'사급자재 사용내역'!C144,'센터 자재 사용내역(07월)'!F:F,"교체")</f>
        <v>0</v>
      </c>
      <c r="T144" s="40">
        <f>SUMIFS('센터 자재 사용내역(08월)'!G:G,'센터 자재 사용내역(08월)'!E:E,'사급자재 사용내역'!C144,'센터 자재 사용내역(08월)'!F:F,"신규")+SUMIFS('센터 자재 사용내역(08월)'!G:G,'센터 자재 사용내역(08월)'!E:E,'사급자재 사용내역'!C144,'센터 자재 사용내역(08월)'!F:F,"교체")</f>
        <v>0</v>
      </c>
      <c r="U144" s="40">
        <f>SUMIFS('센터 자재 사용내역(09월)'!G:G,'센터 자재 사용내역(09월)'!E:E,'사급자재 사용내역'!C144,'센터 자재 사용내역(09월)'!F:F,"신규")+SUMIFS('센터 자재 사용내역(09월)'!G:G,'센터 자재 사용내역(09월)'!E:E,'사급자재 사용내역'!C144,'센터 자재 사용내역(09월)'!F:F,"교체")</f>
        <v>0</v>
      </c>
      <c r="V144" s="40">
        <f>SUMIFS('센터 자재 사용내역(10월)'!G:G,'센터 자재 사용내역(10월)'!E:E,'사급자재 사용내역'!C144,'센터 자재 사용내역(10월)'!F:F,"신규")+SUMIFS('센터 자재 사용내역(10월)'!G:G,'센터 자재 사용내역(10월)'!E:E,'사급자재 사용내역'!C144,'센터 자재 사용내역(10월)'!F:F,"교체")</f>
        <v>0</v>
      </c>
      <c r="W144" s="40">
        <f>SUMIFS('센터 자재 사용내역(11월)'!G:G,'센터 자재 사용내역(11월)'!E:E,'사급자재 사용내역'!C144,'센터 자재 사용내역(11월)'!F:F,"신규")+SUMIFS('센터 자재 사용내역(11월)'!G:G,'센터 자재 사용내역(11월)'!E:E,'사급자재 사용내역'!C144,'센터 자재 사용내역(11월)'!F:F,"교체")</f>
        <v>0</v>
      </c>
      <c r="X144" s="40">
        <f>SUMIFS('센터 자재 사용내역(12월)'!G:G,'센터 자재 사용내역(12월)'!E:E,'사급자재 사용내역'!C144,'센터 자재 사용내역(12월)'!F:F,"신규")+SUMIFS('센터 자재 사용내역(12월)'!G:G,'센터 자재 사용내역(12월)'!E:E,'사급자재 사용내역'!C144,'센터 자재 사용내역(12월)'!F:F,"교체")</f>
        <v>0</v>
      </c>
      <c r="Y144" s="73">
        <f t="shared" ref="Y144" si="40">SUM(M144:X144)</f>
        <v>0</v>
      </c>
      <c r="Z144" s="74"/>
      <c r="AB144" s="56"/>
      <c r="AC144" s="29"/>
      <c r="AD144" s="29"/>
      <c r="AE144" s="29"/>
      <c r="AF144" s="29"/>
      <c r="AG144" s="29"/>
      <c r="AH144" s="29"/>
      <c r="AI144" s="29"/>
      <c r="AJ144" s="29"/>
      <c r="AK144" s="29"/>
      <c r="AL144" s="29"/>
      <c r="AM144" s="29"/>
      <c r="AN144" s="21">
        <f t="shared" si="37"/>
        <v>0</v>
      </c>
      <c r="AO144" s="75"/>
      <c r="AQ144" s="61">
        <f>SUMIFS('센터 자재 사용내역(01월)'!G:G,'센터 자재 사용내역(01월)'!E:E,'사급자재 사용내역'!C144,'센터 자재 사용내역(01월)'!F:F,"불량")</f>
        <v>0</v>
      </c>
      <c r="AR144" s="40">
        <f>SUMIFS('센터 자재 사용내역(02월)'!G:G,'센터 자재 사용내역(02월)'!E:E,'사급자재 사용내역'!C144,'센터 자재 사용내역(02월)'!F:F,"불량")</f>
        <v>0</v>
      </c>
      <c r="AS144" s="40">
        <f>SUMIFS('센터 자재 사용내역(03월)'!G:G,'센터 자재 사용내역(03월)'!E:E,'사급자재 사용내역'!C144,'센터 자재 사용내역(03월)'!F:F,"불량")</f>
        <v>0</v>
      </c>
      <c r="AT144" s="40">
        <f>SUMIFS('센터 자재 사용내역(04월)'!G:G,'센터 자재 사용내역(04월)'!E:E,'사급자재 사용내역'!C144,'센터 자재 사용내역(04월)'!F:F,"불량")</f>
        <v>0</v>
      </c>
      <c r="AU144" s="40">
        <f>SUMIFS('센터 자재 사용내역(05월)'!G:G,'센터 자재 사용내역(05월)'!E:E,'사급자재 사용내역'!C144,'센터 자재 사용내역(05월)'!F:F,"불량")</f>
        <v>0</v>
      </c>
      <c r="AV144" s="40">
        <f>SUMIFS('센터 자재 사용내역(06월)'!G:G,'센터 자재 사용내역(06월)'!E:E,'사급자재 사용내역'!C144,'센터 자재 사용내역(06월)'!F:F,"불량")</f>
        <v>0</v>
      </c>
      <c r="AW144" s="40">
        <f>SUMIFS('센터 자재 사용내역(07월)'!G:G,'센터 자재 사용내역(07월)'!E:E,'사급자재 사용내역'!C144,'센터 자재 사용내역(07월)'!F:F,"불량")</f>
        <v>0</v>
      </c>
      <c r="AX144" s="40">
        <f>SUMIFS('센터 자재 사용내역(08월)'!G:G,'센터 자재 사용내역(08월)'!E:E,'사급자재 사용내역'!C144,'센터 자재 사용내역(08월)'!F:F,"불량")</f>
        <v>0</v>
      </c>
      <c r="AY144" s="40">
        <f>SUMIFS('센터 자재 사용내역(09월)'!G:G,'센터 자재 사용내역(09월)'!E:E,'사급자재 사용내역'!C144,'센터 자재 사용내역(09월)'!F:F,"불량")</f>
        <v>0</v>
      </c>
      <c r="AZ144" s="40">
        <f>SUMIFS('센터 자재 사용내역(10월)'!G:G,'센터 자재 사용내역(10월)'!E:E,'사급자재 사용내역'!C144,'센터 자재 사용내역(10월)'!F:F,"불량")</f>
        <v>0</v>
      </c>
      <c r="BA144" s="40">
        <f>SUMIFS('센터 자재 사용내역(11월)'!G:G,'센터 자재 사용내역(11월)'!E:E,'사급자재 사용내역'!C144,'센터 자재 사용내역(11월)'!F:F,"불량")</f>
        <v>0</v>
      </c>
      <c r="BB144" s="40">
        <f>SUMIFS('센터 자재 사용내역(12월)'!G:G,'센터 자재 사용내역(12월)'!E:E,'사급자재 사용내역'!C144,'센터 자재 사용내역(12월)'!F:F,"불량")</f>
        <v>0</v>
      </c>
      <c r="BC144" s="40">
        <f t="shared" si="35"/>
        <v>0</v>
      </c>
      <c r="BD144" s="62"/>
    </row>
    <row r="145" spans="2:56" ht="19.5" customHeight="1">
      <c r="B145" s="99"/>
      <c r="C145" s="23" t="s">
        <v>189</v>
      </c>
      <c r="D145" s="65" t="s">
        <v>129</v>
      </c>
      <c r="E145" s="67">
        <v>780</v>
      </c>
      <c r="F145" s="49">
        <v>0</v>
      </c>
      <c r="G145" s="48"/>
      <c r="H145" s="78"/>
      <c r="I145" s="91">
        <f t="shared" ref="I145:I147" si="41">(F145+BC145)-(G145+H145)</f>
        <v>0</v>
      </c>
      <c r="J145" s="89">
        <f t="shared" ref="J145:J147" si="42">Y145</f>
        <v>30</v>
      </c>
      <c r="K145" s="78">
        <f t="shared" ref="K145:K147" si="43">AN145</f>
        <v>0</v>
      </c>
      <c r="L145" s="84">
        <f t="shared" ref="L145:L147" si="44">E145-J145+K145</f>
        <v>750</v>
      </c>
      <c r="M145" s="80">
        <f>SUMIFS('센터 자재 사용내역(01월)'!G:G,'센터 자재 사용내역(01월)'!E:E,'사급자재 사용내역'!C145,'센터 자재 사용내역(01월)'!F:F,"신규")+SUMIFS('센터 자재 사용내역(01월)'!G:G,'센터 자재 사용내역(01월)'!E:E,'사급자재 사용내역'!C145,'센터 자재 사용내역(01월)'!F:F,"교체")</f>
        <v>0</v>
      </c>
      <c r="N145" s="73">
        <f>SUMIFS('센터 자재 사용내역(02월)'!G:G,'센터 자재 사용내역(02월)'!E:E,'사급자재 사용내역'!C145,'센터 자재 사용내역(02월)'!F:F,"신규")+SUMIFS('센터 자재 사용내역(02월)'!G:G,'센터 자재 사용내역(02월)'!E:E,'사급자재 사용내역'!C145,'센터 자재 사용내역(02월)'!F:F,"교체")</f>
        <v>0</v>
      </c>
      <c r="O145" s="73">
        <f>SUMIFS('센터 자재 사용내역(03월)'!G:G,'센터 자재 사용내역(03월)'!E:E,'사급자재 사용내역'!C145,'센터 자재 사용내역(03월)'!F:F,"신규")+SUMIFS('센터 자재 사용내역(03월)'!G:G,'센터 자재 사용내역(03월)'!E:E,'사급자재 사용내역'!C145,'센터 자재 사용내역(03월)'!F:F,"교체")</f>
        <v>0</v>
      </c>
      <c r="P145" s="40">
        <f>SUMIFS('센터 자재 사용내역(04월)'!G:G,'센터 자재 사용내역(04월)'!E:E,'사급자재 사용내역'!C145,'센터 자재 사용내역(04월)'!F:F,"신규")+SUMIFS('센터 자재 사용내역(04월)'!G:G,'센터 자재 사용내역(04월)'!E:E,'사급자재 사용내역'!C145,'센터 자재 사용내역(04월)'!F:F,"교체")</f>
        <v>0</v>
      </c>
      <c r="Q145" s="40">
        <f>SUMIFS('센터 자재 사용내역(05월)'!G:G,'센터 자재 사용내역(05월)'!E:E,'사급자재 사용내역'!C145,'센터 자재 사용내역(05월)'!F:F,"신규")+SUMIFS('센터 자재 사용내역(05월)'!G:G,'센터 자재 사용내역(05월)'!E:E,'사급자재 사용내역'!C145,'센터 자재 사용내역(05월)'!F:F,"교체")</f>
        <v>30</v>
      </c>
      <c r="R145" s="40">
        <f>SUMIFS('센터 자재 사용내역(06월)'!G:G,'센터 자재 사용내역(06월)'!E:E,'사급자재 사용내역'!C145,'센터 자재 사용내역(06월)'!F:F,"신규")+SUMIFS('센터 자재 사용내역(06월)'!G:G,'센터 자재 사용내역(06월)'!E:E,'사급자재 사용내역'!C145,'센터 자재 사용내역(06월)'!F:F,"교체")</f>
        <v>0</v>
      </c>
      <c r="S145" s="40">
        <f>SUMIFS('센터 자재 사용내역(07월)'!G:G,'센터 자재 사용내역(07월)'!E:E,'사급자재 사용내역'!C145,'센터 자재 사용내역(07월)'!F:F,"신규")+SUMIFS('센터 자재 사용내역(07월)'!G:G,'센터 자재 사용내역(07월)'!E:E,'사급자재 사용내역'!C145,'센터 자재 사용내역(07월)'!F:F,"교체")</f>
        <v>0</v>
      </c>
      <c r="T145" s="40">
        <f>SUMIFS('센터 자재 사용내역(08월)'!G:G,'센터 자재 사용내역(08월)'!E:E,'사급자재 사용내역'!C145,'센터 자재 사용내역(08월)'!F:F,"신규")+SUMIFS('센터 자재 사용내역(08월)'!G:G,'센터 자재 사용내역(08월)'!E:E,'사급자재 사용내역'!C145,'센터 자재 사용내역(08월)'!F:F,"교체")</f>
        <v>0</v>
      </c>
      <c r="U145" s="40">
        <f>SUMIFS('센터 자재 사용내역(09월)'!G:G,'센터 자재 사용내역(09월)'!E:E,'사급자재 사용내역'!C145,'센터 자재 사용내역(09월)'!F:F,"신규")+SUMIFS('센터 자재 사용내역(09월)'!G:G,'센터 자재 사용내역(09월)'!E:E,'사급자재 사용내역'!C145,'센터 자재 사용내역(09월)'!F:F,"교체")</f>
        <v>0</v>
      </c>
      <c r="V145" s="40">
        <f>SUMIFS('센터 자재 사용내역(10월)'!G:G,'센터 자재 사용내역(10월)'!E:E,'사급자재 사용내역'!C145,'센터 자재 사용내역(10월)'!F:F,"신규")+SUMIFS('센터 자재 사용내역(10월)'!G:G,'센터 자재 사용내역(10월)'!E:E,'사급자재 사용내역'!C145,'센터 자재 사용내역(10월)'!F:F,"교체")</f>
        <v>0</v>
      </c>
      <c r="W145" s="40">
        <f>SUMIFS('센터 자재 사용내역(11월)'!G:G,'센터 자재 사용내역(11월)'!E:E,'사급자재 사용내역'!C145,'센터 자재 사용내역(11월)'!F:F,"신규")+SUMIFS('센터 자재 사용내역(11월)'!G:G,'센터 자재 사용내역(11월)'!E:E,'사급자재 사용내역'!C145,'센터 자재 사용내역(11월)'!F:F,"교체")</f>
        <v>0</v>
      </c>
      <c r="X145" s="40">
        <f>SUMIFS('센터 자재 사용내역(12월)'!G:G,'센터 자재 사용내역(12월)'!E:E,'사급자재 사용내역'!C145,'센터 자재 사용내역(12월)'!F:F,"신규")+SUMIFS('센터 자재 사용내역(12월)'!G:G,'센터 자재 사용내역(12월)'!E:E,'사급자재 사용내역'!C145,'센터 자재 사용내역(12월)'!F:F,"교체")</f>
        <v>0</v>
      </c>
      <c r="Y145" s="73">
        <f t="shared" ref="Y145:Y147" si="45">SUM(M145:X145)</f>
        <v>30</v>
      </c>
      <c r="Z145" s="74"/>
      <c r="AB145" s="56"/>
      <c r="AC145" s="29"/>
      <c r="AD145" s="29"/>
      <c r="AE145" s="29"/>
      <c r="AF145" s="29"/>
      <c r="AG145" s="29"/>
      <c r="AH145" s="29"/>
      <c r="AI145" s="29"/>
      <c r="AJ145" s="29"/>
      <c r="AK145" s="29"/>
      <c r="AL145" s="29"/>
      <c r="AM145" s="29"/>
      <c r="AN145" s="21">
        <f t="shared" ref="AN145:AN147" si="46">SUM(AB145:AM145)</f>
        <v>0</v>
      </c>
      <c r="AO145" s="75"/>
      <c r="AQ145" s="61">
        <f>SUMIFS('센터 자재 사용내역(01월)'!G:G,'센터 자재 사용내역(01월)'!E:E,'사급자재 사용내역'!C145,'센터 자재 사용내역(01월)'!F:F,"불량")</f>
        <v>0</v>
      </c>
      <c r="AR145" s="40">
        <f>SUMIFS('센터 자재 사용내역(02월)'!G:G,'센터 자재 사용내역(02월)'!E:E,'사급자재 사용내역'!C145,'센터 자재 사용내역(02월)'!F:F,"불량")</f>
        <v>0</v>
      </c>
      <c r="AS145" s="40">
        <f>SUMIFS('센터 자재 사용내역(03월)'!G:G,'센터 자재 사용내역(03월)'!E:E,'사급자재 사용내역'!C145,'센터 자재 사용내역(03월)'!F:F,"불량")</f>
        <v>0</v>
      </c>
      <c r="AT145" s="40">
        <f>SUMIFS('센터 자재 사용내역(04월)'!G:G,'센터 자재 사용내역(04월)'!E:E,'사급자재 사용내역'!C145,'센터 자재 사용내역(04월)'!F:F,"불량")</f>
        <v>0</v>
      </c>
      <c r="AU145" s="40">
        <f>SUMIFS('센터 자재 사용내역(05월)'!G:G,'센터 자재 사용내역(05월)'!E:E,'사급자재 사용내역'!C145,'센터 자재 사용내역(05월)'!F:F,"불량")</f>
        <v>0</v>
      </c>
      <c r="AV145" s="40">
        <f>SUMIFS('센터 자재 사용내역(06월)'!G:G,'센터 자재 사용내역(06월)'!E:E,'사급자재 사용내역'!C145,'센터 자재 사용내역(06월)'!F:F,"불량")</f>
        <v>0</v>
      </c>
      <c r="AW145" s="40">
        <f>SUMIFS('센터 자재 사용내역(07월)'!G:G,'센터 자재 사용내역(07월)'!E:E,'사급자재 사용내역'!C145,'센터 자재 사용내역(07월)'!F:F,"불량")</f>
        <v>0</v>
      </c>
      <c r="AX145" s="40">
        <f>SUMIFS('센터 자재 사용내역(08월)'!G:G,'센터 자재 사용내역(08월)'!E:E,'사급자재 사용내역'!C145,'센터 자재 사용내역(08월)'!F:F,"불량")</f>
        <v>0</v>
      </c>
      <c r="AY145" s="40">
        <f>SUMIFS('센터 자재 사용내역(09월)'!G:G,'센터 자재 사용내역(09월)'!E:E,'사급자재 사용내역'!C145,'센터 자재 사용내역(09월)'!F:F,"불량")</f>
        <v>0</v>
      </c>
      <c r="AZ145" s="40">
        <f>SUMIFS('센터 자재 사용내역(10월)'!G:G,'센터 자재 사용내역(10월)'!E:E,'사급자재 사용내역'!C145,'센터 자재 사용내역(10월)'!F:F,"불량")</f>
        <v>0</v>
      </c>
      <c r="BA145" s="40">
        <f>SUMIFS('센터 자재 사용내역(11월)'!G:G,'센터 자재 사용내역(11월)'!E:E,'사급자재 사용내역'!C145,'센터 자재 사용내역(11월)'!F:F,"불량")</f>
        <v>0</v>
      </c>
      <c r="BB145" s="40">
        <f>SUMIFS('센터 자재 사용내역(12월)'!G:G,'센터 자재 사용내역(12월)'!E:E,'사급자재 사용내역'!C145,'센터 자재 사용내역(12월)'!F:F,"불량")</f>
        <v>0</v>
      </c>
      <c r="BC145" s="40">
        <f t="shared" ref="BC145:BC147" si="47">SUM(AQ145:BB145)</f>
        <v>0</v>
      </c>
      <c r="BD145" s="62"/>
    </row>
    <row r="146" spans="2:56" ht="19.5" customHeight="1">
      <c r="B146" s="99"/>
      <c r="C146" s="23" t="s">
        <v>207</v>
      </c>
      <c r="D146" s="65" t="s">
        <v>129</v>
      </c>
      <c r="E146" s="67">
        <v>186</v>
      </c>
      <c r="F146" s="49">
        <v>0</v>
      </c>
      <c r="G146" s="48"/>
      <c r="H146" s="78"/>
      <c r="I146" s="91">
        <f t="shared" si="41"/>
        <v>0</v>
      </c>
      <c r="J146" s="89">
        <f t="shared" si="42"/>
        <v>52</v>
      </c>
      <c r="K146" s="78">
        <f t="shared" si="43"/>
        <v>0</v>
      </c>
      <c r="L146" s="84">
        <f t="shared" si="44"/>
        <v>134</v>
      </c>
      <c r="M146" s="80">
        <f>SUMIFS('센터 자재 사용내역(01월)'!G:G,'센터 자재 사용내역(01월)'!E:E,'사급자재 사용내역'!C146,'센터 자재 사용내역(01월)'!F:F,"신규")+SUMIFS('센터 자재 사용내역(01월)'!G:G,'센터 자재 사용내역(01월)'!E:E,'사급자재 사용내역'!C146,'센터 자재 사용내역(01월)'!F:F,"교체")</f>
        <v>0</v>
      </c>
      <c r="N146" s="73">
        <f>SUMIFS('센터 자재 사용내역(02월)'!G:G,'센터 자재 사용내역(02월)'!E:E,'사급자재 사용내역'!C146,'센터 자재 사용내역(02월)'!F:F,"신규")+SUMIFS('센터 자재 사용내역(02월)'!G:G,'센터 자재 사용내역(02월)'!E:E,'사급자재 사용내역'!C146,'센터 자재 사용내역(02월)'!F:F,"교체")</f>
        <v>0</v>
      </c>
      <c r="O146" s="73">
        <f>SUMIFS('센터 자재 사용내역(03월)'!G:G,'센터 자재 사용내역(03월)'!E:E,'사급자재 사용내역'!C146,'센터 자재 사용내역(03월)'!F:F,"신규")+SUMIFS('센터 자재 사용내역(03월)'!G:G,'센터 자재 사용내역(03월)'!E:E,'사급자재 사용내역'!C146,'센터 자재 사용내역(03월)'!F:F,"교체")</f>
        <v>0</v>
      </c>
      <c r="P146" s="40">
        <f>SUMIFS('센터 자재 사용내역(04월)'!G:G,'센터 자재 사용내역(04월)'!E:E,'사급자재 사용내역'!C146,'센터 자재 사용내역(04월)'!F:F,"신규")+SUMIFS('센터 자재 사용내역(04월)'!G:G,'센터 자재 사용내역(04월)'!E:E,'사급자재 사용내역'!C146,'센터 자재 사용내역(04월)'!F:F,"교체")</f>
        <v>5</v>
      </c>
      <c r="Q146" s="40">
        <f>SUMIFS('센터 자재 사용내역(05월)'!G:G,'센터 자재 사용내역(05월)'!E:E,'사급자재 사용내역'!C146,'센터 자재 사용내역(05월)'!F:F,"신규")+SUMIFS('센터 자재 사용내역(05월)'!G:G,'센터 자재 사용내역(05월)'!E:E,'사급자재 사용내역'!C146,'센터 자재 사용내역(05월)'!F:F,"교체")</f>
        <v>15</v>
      </c>
      <c r="R146" s="40">
        <f>SUMIFS('센터 자재 사용내역(06월)'!G:G,'센터 자재 사용내역(06월)'!E:E,'사급자재 사용내역'!C146,'센터 자재 사용내역(06월)'!F:F,"신규")+SUMIFS('센터 자재 사용내역(06월)'!G:G,'센터 자재 사용내역(06월)'!E:E,'사급자재 사용내역'!C146,'센터 자재 사용내역(06월)'!F:F,"교체")</f>
        <v>7</v>
      </c>
      <c r="S146" s="40">
        <f>SUMIFS('센터 자재 사용내역(07월)'!G:G,'센터 자재 사용내역(07월)'!E:E,'사급자재 사용내역'!C146,'센터 자재 사용내역(07월)'!F:F,"신규")+SUMIFS('센터 자재 사용내역(07월)'!G:G,'센터 자재 사용내역(07월)'!E:E,'사급자재 사용내역'!C146,'센터 자재 사용내역(07월)'!F:F,"교체")</f>
        <v>10</v>
      </c>
      <c r="T146" s="40">
        <f>SUMIFS('센터 자재 사용내역(08월)'!G:G,'센터 자재 사용내역(08월)'!E:E,'사급자재 사용내역'!C146,'센터 자재 사용내역(08월)'!F:F,"신규")+SUMIFS('센터 자재 사용내역(08월)'!G:G,'센터 자재 사용내역(08월)'!E:E,'사급자재 사용내역'!C146,'센터 자재 사용내역(08월)'!F:F,"교체")</f>
        <v>15</v>
      </c>
      <c r="U146" s="40">
        <f>SUMIFS('센터 자재 사용내역(09월)'!G:G,'센터 자재 사용내역(09월)'!E:E,'사급자재 사용내역'!C146,'센터 자재 사용내역(09월)'!F:F,"신규")+SUMIFS('센터 자재 사용내역(09월)'!G:G,'센터 자재 사용내역(09월)'!E:E,'사급자재 사용내역'!C146,'센터 자재 사용내역(09월)'!F:F,"교체")</f>
        <v>0</v>
      </c>
      <c r="V146" s="40">
        <f>SUMIFS('센터 자재 사용내역(10월)'!G:G,'센터 자재 사용내역(10월)'!E:E,'사급자재 사용내역'!C146,'센터 자재 사용내역(10월)'!F:F,"신규")+SUMIFS('센터 자재 사용내역(10월)'!G:G,'센터 자재 사용내역(10월)'!E:E,'사급자재 사용내역'!C146,'센터 자재 사용내역(10월)'!F:F,"교체")</f>
        <v>0</v>
      </c>
      <c r="W146" s="40">
        <f>SUMIFS('센터 자재 사용내역(11월)'!G:G,'센터 자재 사용내역(11월)'!E:E,'사급자재 사용내역'!C146,'센터 자재 사용내역(11월)'!F:F,"신규")+SUMIFS('센터 자재 사용내역(11월)'!G:G,'센터 자재 사용내역(11월)'!E:E,'사급자재 사용내역'!C146,'센터 자재 사용내역(11월)'!F:F,"교체")</f>
        <v>0</v>
      </c>
      <c r="X146" s="40">
        <f>SUMIFS('센터 자재 사용내역(12월)'!G:G,'센터 자재 사용내역(12월)'!E:E,'사급자재 사용내역'!C146,'센터 자재 사용내역(12월)'!F:F,"신규")+SUMIFS('센터 자재 사용내역(12월)'!G:G,'센터 자재 사용내역(12월)'!E:E,'사급자재 사용내역'!C146,'센터 자재 사용내역(12월)'!F:F,"교체")</f>
        <v>0</v>
      </c>
      <c r="Y146" s="73">
        <f t="shared" si="45"/>
        <v>52</v>
      </c>
      <c r="Z146" s="74"/>
      <c r="AB146" s="56"/>
      <c r="AC146" s="29"/>
      <c r="AD146" s="29"/>
      <c r="AE146" s="29"/>
      <c r="AF146" s="29"/>
      <c r="AG146" s="29"/>
      <c r="AH146" s="29"/>
      <c r="AI146" s="29"/>
      <c r="AJ146" s="29"/>
      <c r="AK146" s="29"/>
      <c r="AL146" s="29"/>
      <c r="AM146" s="29"/>
      <c r="AN146" s="21">
        <f t="shared" si="46"/>
        <v>0</v>
      </c>
      <c r="AO146" s="75"/>
      <c r="AQ146" s="61">
        <f>SUMIFS('센터 자재 사용내역(01월)'!G:G,'센터 자재 사용내역(01월)'!E:E,'사급자재 사용내역'!C146,'센터 자재 사용내역(01월)'!F:F,"불량")</f>
        <v>0</v>
      </c>
      <c r="AR146" s="40">
        <f>SUMIFS('센터 자재 사용내역(02월)'!G:G,'센터 자재 사용내역(02월)'!E:E,'사급자재 사용내역'!C146,'센터 자재 사용내역(02월)'!F:F,"불량")</f>
        <v>0</v>
      </c>
      <c r="AS146" s="40">
        <f>SUMIFS('센터 자재 사용내역(03월)'!G:G,'센터 자재 사용내역(03월)'!E:E,'사급자재 사용내역'!C146,'센터 자재 사용내역(03월)'!F:F,"불량")</f>
        <v>0</v>
      </c>
      <c r="AT146" s="40">
        <f>SUMIFS('센터 자재 사용내역(04월)'!G:G,'센터 자재 사용내역(04월)'!E:E,'사급자재 사용내역'!C146,'센터 자재 사용내역(04월)'!F:F,"불량")</f>
        <v>0</v>
      </c>
      <c r="AU146" s="40">
        <f>SUMIFS('센터 자재 사용내역(05월)'!G:G,'센터 자재 사용내역(05월)'!E:E,'사급자재 사용내역'!C146,'센터 자재 사용내역(05월)'!F:F,"불량")</f>
        <v>0</v>
      </c>
      <c r="AV146" s="40">
        <f>SUMIFS('센터 자재 사용내역(06월)'!G:G,'센터 자재 사용내역(06월)'!E:E,'사급자재 사용내역'!C146,'센터 자재 사용내역(06월)'!F:F,"불량")</f>
        <v>0</v>
      </c>
      <c r="AW146" s="40">
        <f>SUMIFS('센터 자재 사용내역(07월)'!G:G,'센터 자재 사용내역(07월)'!E:E,'사급자재 사용내역'!C146,'센터 자재 사용내역(07월)'!F:F,"불량")</f>
        <v>0</v>
      </c>
      <c r="AX146" s="40">
        <f>SUMIFS('센터 자재 사용내역(08월)'!G:G,'센터 자재 사용내역(08월)'!E:E,'사급자재 사용내역'!C146,'센터 자재 사용내역(08월)'!F:F,"불량")</f>
        <v>0</v>
      </c>
      <c r="AY146" s="40">
        <f>SUMIFS('센터 자재 사용내역(09월)'!G:G,'센터 자재 사용내역(09월)'!E:E,'사급자재 사용내역'!C146,'센터 자재 사용내역(09월)'!F:F,"불량")</f>
        <v>0</v>
      </c>
      <c r="AZ146" s="40">
        <f>SUMIFS('센터 자재 사용내역(10월)'!G:G,'센터 자재 사용내역(10월)'!E:E,'사급자재 사용내역'!C146,'센터 자재 사용내역(10월)'!F:F,"불량")</f>
        <v>0</v>
      </c>
      <c r="BA146" s="40">
        <f>SUMIFS('센터 자재 사용내역(11월)'!G:G,'센터 자재 사용내역(11월)'!E:E,'사급자재 사용내역'!C146,'센터 자재 사용내역(11월)'!F:F,"불량")</f>
        <v>0</v>
      </c>
      <c r="BB146" s="40">
        <f>SUMIFS('센터 자재 사용내역(12월)'!G:G,'센터 자재 사용내역(12월)'!E:E,'사급자재 사용내역'!C146,'센터 자재 사용내역(12월)'!F:F,"불량")</f>
        <v>0</v>
      </c>
      <c r="BC146" s="40">
        <f t="shared" si="47"/>
        <v>0</v>
      </c>
      <c r="BD146" s="62"/>
    </row>
    <row r="147" spans="2:56" ht="19.5" customHeight="1">
      <c r="B147" s="99"/>
      <c r="C147" s="23" t="s">
        <v>208</v>
      </c>
      <c r="D147" s="65" t="s">
        <v>129</v>
      </c>
      <c r="E147" s="67">
        <v>485</v>
      </c>
      <c r="F147" s="49">
        <v>0</v>
      </c>
      <c r="G147" s="48"/>
      <c r="H147" s="78"/>
      <c r="I147" s="91">
        <f t="shared" si="41"/>
        <v>0</v>
      </c>
      <c r="J147" s="89">
        <f t="shared" si="42"/>
        <v>277</v>
      </c>
      <c r="K147" s="78">
        <f t="shared" si="43"/>
        <v>0</v>
      </c>
      <c r="L147" s="84">
        <f t="shared" si="44"/>
        <v>208</v>
      </c>
      <c r="M147" s="80">
        <f>SUMIFS('센터 자재 사용내역(01월)'!G:G,'센터 자재 사용내역(01월)'!E:E,'사급자재 사용내역'!C147,'센터 자재 사용내역(01월)'!F:F,"신규")+SUMIFS('센터 자재 사용내역(01월)'!G:G,'센터 자재 사용내역(01월)'!E:E,'사급자재 사용내역'!C147,'센터 자재 사용내역(01월)'!F:F,"교체")</f>
        <v>25</v>
      </c>
      <c r="N147" s="73">
        <f>SUMIFS('센터 자재 사용내역(02월)'!G:G,'센터 자재 사용내역(02월)'!E:E,'사급자재 사용내역'!C147,'센터 자재 사용내역(02월)'!F:F,"신규")+SUMIFS('센터 자재 사용내역(02월)'!G:G,'센터 자재 사용내역(02월)'!E:E,'사급자재 사용내역'!C147,'센터 자재 사용내역(02월)'!F:F,"교체")</f>
        <v>8</v>
      </c>
      <c r="O147" s="73">
        <f>SUMIFS('센터 자재 사용내역(03월)'!G:G,'센터 자재 사용내역(03월)'!E:E,'사급자재 사용내역'!C147,'센터 자재 사용내역(03월)'!F:F,"신규")+SUMIFS('센터 자재 사용내역(03월)'!G:G,'센터 자재 사용내역(03월)'!E:E,'사급자재 사용내역'!C147,'센터 자재 사용내역(03월)'!F:F,"교체")</f>
        <v>170</v>
      </c>
      <c r="P147" s="40">
        <f>SUMIFS('센터 자재 사용내역(04월)'!G:G,'센터 자재 사용내역(04월)'!E:E,'사급자재 사용내역'!C147,'센터 자재 사용내역(04월)'!F:F,"신규")+SUMIFS('센터 자재 사용내역(04월)'!G:G,'센터 자재 사용내역(04월)'!E:E,'사급자재 사용내역'!C147,'센터 자재 사용내역(04월)'!F:F,"교체")</f>
        <v>15</v>
      </c>
      <c r="Q147" s="40">
        <f>SUMIFS('센터 자재 사용내역(05월)'!G:G,'센터 자재 사용내역(05월)'!E:E,'사급자재 사용내역'!C147,'센터 자재 사용내역(05월)'!F:F,"신규")+SUMIFS('센터 자재 사용내역(05월)'!G:G,'센터 자재 사용내역(05월)'!E:E,'사급자재 사용내역'!C147,'센터 자재 사용내역(05월)'!F:F,"교체")</f>
        <v>25</v>
      </c>
      <c r="R147" s="40">
        <f>SUMIFS('센터 자재 사용내역(06월)'!G:G,'센터 자재 사용내역(06월)'!E:E,'사급자재 사용내역'!C147,'센터 자재 사용내역(06월)'!F:F,"신규")+SUMIFS('센터 자재 사용내역(06월)'!G:G,'센터 자재 사용내역(06월)'!E:E,'사급자재 사용내역'!C147,'센터 자재 사용내역(06월)'!F:F,"교체")</f>
        <v>12</v>
      </c>
      <c r="S147" s="40">
        <f>SUMIFS('센터 자재 사용내역(07월)'!G:G,'센터 자재 사용내역(07월)'!E:E,'사급자재 사용내역'!C147,'센터 자재 사용내역(07월)'!F:F,"신규")+SUMIFS('센터 자재 사용내역(07월)'!G:G,'센터 자재 사용내역(07월)'!E:E,'사급자재 사용내역'!C147,'센터 자재 사용내역(07월)'!F:F,"교체")</f>
        <v>10</v>
      </c>
      <c r="T147" s="40">
        <f>SUMIFS('센터 자재 사용내역(08월)'!G:G,'센터 자재 사용내역(08월)'!E:E,'사급자재 사용내역'!C147,'센터 자재 사용내역(08월)'!F:F,"신규")+SUMIFS('센터 자재 사용내역(08월)'!G:G,'센터 자재 사용내역(08월)'!E:E,'사급자재 사용내역'!C147,'센터 자재 사용내역(08월)'!F:F,"교체")</f>
        <v>12</v>
      </c>
      <c r="U147" s="40">
        <f>SUMIFS('센터 자재 사용내역(09월)'!G:G,'센터 자재 사용내역(09월)'!E:E,'사급자재 사용내역'!C147,'센터 자재 사용내역(09월)'!F:F,"신규")+SUMIFS('센터 자재 사용내역(09월)'!G:G,'센터 자재 사용내역(09월)'!E:E,'사급자재 사용내역'!C147,'센터 자재 사용내역(09월)'!F:F,"교체")</f>
        <v>0</v>
      </c>
      <c r="V147" s="40">
        <f>SUMIFS('센터 자재 사용내역(10월)'!G:G,'센터 자재 사용내역(10월)'!E:E,'사급자재 사용내역'!C147,'센터 자재 사용내역(10월)'!F:F,"신규")+SUMIFS('센터 자재 사용내역(10월)'!G:G,'센터 자재 사용내역(10월)'!E:E,'사급자재 사용내역'!C147,'센터 자재 사용내역(10월)'!F:F,"교체")</f>
        <v>0</v>
      </c>
      <c r="W147" s="40">
        <f>SUMIFS('센터 자재 사용내역(11월)'!G:G,'센터 자재 사용내역(11월)'!E:E,'사급자재 사용내역'!C147,'센터 자재 사용내역(11월)'!F:F,"신규")+SUMIFS('센터 자재 사용내역(11월)'!G:G,'센터 자재 사용내역(11월)'!E:E,'사급자재 사용내역'!C147,'센터 자재 사용내역(11월)'!F:F,"교체")</f>
        <v>0</v>
      </c>
      <c r="X147" s="40">
        <f>SUMIFS('센터 자재 사용내역(12월)'!G:G,'센터 자재 사용내역(12월)'!E:E,'사급자재 사용내역'!C147,'센터 자재 사용내역(12월)'!F:F,"신규")+SUMIFS('센터 자재 사용내역(12월)'!G:G,'센터 자재 사용내역(12월)'!E:E,'사급자재 사용내역'!C147,'센터 자재 사용내역(12월)'!F:F,"교체")</f>
        <v>0</v>
      </c>
      <c r="Y147" s="73">
        <f t="shared" si="45"/>
        <v>277</v>
      </c>
      <c r="Z147" s="74"/>
      <c r="AB147" s="56"/>
      <c r="AC147" s="29"/>
      <c r="AD147" s="29"/>
      <c r="AE147" s="29"/>
      <c r="AF147" s="29"/>
      <c r="AG147" s="29"/>
      <c r="AH147" s="29"/>
      <c r="AI147" s="29"/>
      <c r="AJ147" s="29"/>
      <c r="AK147" s="29"/>
      <c r="AL147" s="29"/>
      <c r="AM147" s="29"/>
      <c r="AN147" s="21">
        <f t="shared" si="46"/>
        <v>0</v>
      </c>
      <c r="AO147" s="75"/>
      <c r="AQ147" s="61">
        <f>SUMIFS('센터 자재 사용내역(01월)'!G:G,'센터 자재 사용내역(01월)'!E:E,'사급자재 사용내역'!C147,'센터 자재 사용내역(01월)'!F:F,"불량")</f>
        <v>0</v>
      </c>
      <c r="AR147" s="40">
        <f>SUMIFS('센터 자재 사용내역(02월)'!G:G,'센터 자재 사용내역(02월)'!E:E,'사급자재 사용내역'!C147,'센터 자재 사용내역(02월)'!F:F,"불량")</f>
        <v>0</v>
      </c>
      <c r="AS147" s="40">
        <f>SUMIFS('센터 자재 사용내역(03월)'!G:G,'센터 자재 사용내역(03월)'!E:E,'사급자재 사용내역'!C147,'센터 자재 사용내역(03월)'!F:F,"불량")</f>
        <v>0</v>
      </c>
      <c r="AT147" s="40">
        <f>SUMIFS('센터 자재 사용내역(04월)'!G:G,'센터 자재 사용내역(04월)'!E:E,'사급자재 사용내역'!C147,'센터 자재 사용내역(04월)'!F:F,"불량")</f>
        <v>0</v>
      </c>
      <c r="AU147" s="40">
        <f>SUMIFS('센터 자재 사용내역(05월)'!G:G,'센터 자재 사용내역(05월)'!E:E,'사급자재 사용내역'!C147,'센터 자재 사용내역(05월)'!F:F,"불량")</f>
        <v>0</v>
      </c>
      <c r="AV147" s="40">
        <f>SUMIFS('센터 자재 사용내역(06월)'!G:G,'센터 자재 사용내역(06월)'!E:E,'사급자재 사용내역'!C147,'센터 자재 사용내역(06월)'!F:F,"불량")</f>
        <v>0</v>
      </c>
      <c r="AW147" s="40">
        <f>SUMIFS('센터 자재 사용내역(07월)'!G:G,'센터 자재 사용내역(07월)'!E:E,'사급자재 사용내역'!C147,'센터 자재 사용내역(07월)'!F:F,"불량")</f>
        <v>0</v>
      </c>
      <c r="AX147" s="40">
        <f>SUMIFS('센터 자재 사용내역(08월)'!G:G,'센터 자재 사용내역(08월)'!E:E,'사급자재 사용내역'!C147,'센터 자재 사용내역(08월)'!F:F,"불량")</f>
        <v>0</v>
      </c>
      <c r="AY147" s="40">
        <f>SUMIFS('센터 자재 사용내역(09월)'!G:G,'센터 자재 사용내역(09월)'!E:E,'사급자재 사용내역'!C147,'센터 자재 사용내역(09월)'!F:F,"불량")</f>
        <v>0</v>
      </c>
      <c r="AZ147" s="40">
        <f>SUMIFS('센터 자재 사용내역(10월)'!G:G,'센터 자재 사용내역(10월)'!E:E,'사급자재 사용내역'!C147,'센터 자재 사용내역(10월)'!F:F,"불량")</f>
        <v>0</v>
      </c>
      <c r="BA147" s="40">
        <f>SUMIFS('센터 자재 사용내역(11월)'!G:G,'센터 자재 사용내역(11월)'!E:E,'사급자재 사용내역'!C147,'센터 자재 사용내역(11월)'!F:F,"불량")</f>
        <v>0</v>
      </c>
      <c r="BB147" s="40">
        <f>SUMIFS('센터 자재 사용내역(12월)'!G:G,'센터 자재 사용내역(12월)'!E:E,'사급자재 사용내역'!C147,'센터 자재 사용내역(12월)'!F:F,"불량")</f>
        <v>0</v>
      </c>
      <c r="BC147" s="40">
        <f t="shared" si="47"/>
        <v>0</v>
      </c>
      <c r="BD147" s="62"/>
    </row>
    <row r="148" spans="2:56" ht="19.5" customHeight="1">
      <c r="B148" s="99"/>
      <c r="C148" s="23" t="s">
        <v>209</v>
      </c>
      <c r="D148" s="65" t="s">
        <v>129</v>
      </c>
      <c r="E148" s="67">
        <v>17</v>
      </c>
      <c r="F148" s="49">
        <v>0</v>
      </c>
      <c r="G148" s="48"/>
      <c r="H148" s="78"/>
      <c r="I148" s="91">
        <f t="shared" ref="I148:I149" si="48">(F148+BC148)-(G148+H148)</f>
        <v>0</v>
      </c>
      <c r="J148" s="89">
        <f t="shared" ref="J148:J149" si="49">Y148</f>
        <v>14</v>
      </c>
      <c r="K148" s="78">
        <f t="shared" ref="K148:K149" si="50">AN148</f>
        <v>0</v>
      </c>
      <c r="L148" s="84">
        <f t="shared" ref="L148:L149" si="51">E148-J148+K148</f>
        <v>3</v>
      </c>
      <c r="M148" s="80">
        <f>SUMIFS('센터 자재 사용내역(01월)'!G:G,'센터 자재 사용내역(01월)'!E:E,'사급자재 사용내역'!C148,'센터 자재 사용내역(01월)'!F:F,"신규")+SUMIFS('센터 자재 사용내역(01월)'!G:G,'센터 자재 사용내역(01월)'!E:E,'사급자재 사용내역'!C148,'센터 자재 사용내역(01월)'!F:F,"교체")</f>
        <v>0</v>
      </c>
      <c r="N148" s="73">
        <f>SUMIFS('센터 자재 사용내역(02월)'!G:G,'센터 자재 사용내역(02월)'!E:E,'사급자재 사용내역'!C148,'센터 자재 사용내역(02월)'!F:F,"신규")+SUMIFS('센터 자재 사용내역(02월)'!G:G,'센터 자재 사용내역(02월)'!E:E,'사급자재 사용내역'!C148,'센터 자재 사용내역(02월)'!F:F,"교체")</f>
        <v>5</v>
      </c>
      <c r="O148" s="73">
        <f>SUMIFS('센터 자재 사용내역(03월)'!G:G,'센터 자재 사용내역(03월)'!E:E,'사급자재 사용내역'!C148,'센터 자재 사용내역(03월)'!F:F,"신규")+SUMIFS('센터 자재 사용내역(03월)'!G:G,'센터 자재 사용내역(03월)'!E:E,'사급자재 사용내역'!C148,'센터 자재 사용내역(03월)'!F:F,"교체")</f>
        <v>5</v>
      </c>
      <c r="P148" s="40">
        <f>SUMIFS('센터 자재 사용내역(04월)'!G:G,'센터 자재 사용내역(04월)'!E:E,'사급자재 사용내역'!C148,'센터 자재 사용내역(04월)'!F:F,"신규")+SUMIFS('센터 자재 사용내역(04월)'!G:G,'센터 자재 사용내역(04월)'!E:E,'사급자재 사용내역'!C148,'센터 자재 사용내역(04월)'!F:F,"교체")</f>
        <v>0</v>
      </c>
      <c r="Q148" s="40">
        <f>SUMIFS('센터 자재 사용내역(05월)'!G:G,'센터 자재 사용내역(05월)'!E:E,'사급자재 사용내역'!C148,'센터 자재 사용내역(05월)'!F:F,"신규")+SUMIFS('센터 자재 사용내역(05월)'!G:G,'센터 자재 사용내역(05월)'!E:E,'사급자재 사용내역'!C148,'센터 자재 사용내역(05월)'!F:F,"교체")</f>
        <v>0</v>
      </c>
      <c r="R148" s="40">
        <f>SUMIFS('센터 자재 사용내역(06월)'!G:G,'센터 자재 사용내역(06월)'!E:E,'사급자재 사용내역'!C148,'센터 자재 사용내역(06월)'!F:F,"신규")+SUMIFS('센터 자재 사용내역(06월)'!G:G,'센터 자재 사용내역(06월)'!E:E,'사급자재 사용내역'!C148,'센터 자재 사용내역(06월)'!F:F,"교체")</f>
        <v>0</v>
      </c>
      <c r="S148" s="40">
        <f>SUMIFS('센터 자재 사용내역(07월)'!G:G,'센터 자재 사용내역(07월)'!E:E,'사급자재 사용내역'!C148,'센터 자재 사용내역(07월)'!F:F,"신규")+SUMIFS('센터 자재 사용내역(07월)'!G:G,'센터 자재 사용내역(07월)'!E:E,'사급자재 사용내역'!C148,'센터 자재 사용내역(07월)'!F:F,"교체")</f>
        <v>4</v>
      </c>
      <c r="T148" s="40">
        <f>SUMIFS('센터 자재 사용내역(08월)'!G:G,'센터 자재 사용내역(08월)'!E:E,'사급자재 사용내역'!C148,'센터 자재 사용내역(08월)'!F:F,"신규")+SUMIFS('센터 자재 사용내역(08월)'!G:G,'센터 자재 사용내역(08월)'!E:E,'사급자재 사용내역'!C148,'센터 자재 사용내역(08월)'!F:F,"교체")</f>
        <v>0</v>
      </c>
      <c r="U148" s="40">
        <f>SUMIFS('센터 자재 사용내역(09월)'!G:G,'센터 자재 사용내역(09월)'!E:E,'사급자재 사용내역'!C148,'센터 자재 사용내역(09월)'!F:F,"신규")+SUMIFS('센터 자재 사용내역(09월)'!G:G,'센터 자재 사용내역(09월)'!E:E,'사급자재 사용내역'!C148,'센터 자재 사용내역(09월)'!F:F,"교체")</f>
        <v>0</v>
      </c>
      <c r="V148" s="40">
        <f>SUMIFS('센터 자재 사용내역(10월)'!G:G,'센터 자재 사용내역(10월)'!E:E,'사급자재 사용내역'!C148,'센터 자재 사용내역(10월)'!F:F,"신규")+SUMIFS('센터 자재 사용내역(10월)'!G:G,'센터 자재 사용내역(10월)'!E:E,'사급자재 사용내역'!C148,'센터 자재 사용내역(10월)'!F:F,"교체")</f>
        <v>0</v>
      </c>
      <c r="W148" s="40">
        <f>SUMIFS('센터 자재 사용내역(11월)'!G:G,'센터 자재 사용내역(11월)'!E:E,'사급자재 사용내역'!C148,'센터 자재 사용내역(11월)'!F:F,"신규")+SUMIFS('센터 자재 사용내역(11월)'!G:G,'센터 자재 사용내역(11월)'!E:E,'사급자재 사용내역'!C148,'센터 자재 사용내역(11월)'!F:F,"교체")</f>
        <v>0</v>
      </c>
      <c r="X148" s="40">
        <f>SUMIFS('센터 자재 사용내역(12월)'!G:G,'센터 자재 사용내역(12월)'!E:E,'사급자재 사용내역'!C148,'센터 자재 사용내역(12월)'!F:F,"신규")+SUMIFS('센터 자재 사용내역(12월)'!G:G,'센터 자재 사용내역(12월)'!E:E,'사급자재 사용내역'!C148,'센터 자재 사용내역(12월)'!F:F,"교체")</f>
        <v>0</v>
      </c>
      <c r="Y148" s="73">
        <f t="shared" ref="Y148:Y149" si="52">SUM(M148:X148)</f>
        <v>14</v>
      </c>
      <c r="Z148" s="74"/>
      <c r="AB148" s="56"/>
      <c r="AC148" s="29"/>
      <c r="AD148" s="29"/>
      <c r="AE148" s="29"/>
      <c r="AF148" s="29"/>
      <c r="AG148" s="29"/>
      <c r="AH148" s="29"/>
      <c r="AI148" s="29"/>
      <c r="AJ148" s="29"/>
      <c r="AK148" s="29"/>
      <c r="AL148" s="29"/>
      <c r="AM148" s="29"/>
      <c r="AN148" s="21">
        <f t="shared" ref="AN148:AN149" si="53">SUM(AB148:AM148)</f>
        <v>0</v>
      </c>
      <c r="AO148" s="75"/>
      <c r="AQ148" s="61">
        <f>SUMIFS('센터 자재 사용내역(01월)'!G:G,'센터 자재 사용내역(01월)'!E:E,'사급자재 사용내역'!C148,'센터 자재 사용내역(01월)'!F:F,"불량")</f>
        <v>0</v>
      </c>
      <c r="AR148" s="40">
        <f>SUMIFS('센터 자재 사용내역(02월)'!G:G,'센터 자재 사용내역(02월)'!E:E,'사급자재 사용내역'!C148,'센터 자재 사용내역(02월)'!F:F,"불량")</f>
        <v>0</v>
      </c>
      <c r="AS148" s="40">
        <f>SUMIFS('센터 자재 사용내역(03월)'!G:G,'센터 자재 사용내역(03월)'!E:E,'사급자재 사용내역'!C148,'센터 자재 사용내역(03월)'!F:F,"불량")</f>
        <v>0</v>
      </c>
      <c r="AT148" s="40">
        <f>SUMIFS('센터 자재 사용내역(04월)'!G:G,'센터 자재 사용내역(04월)'!E:E,'사급자재 사용내역'!C148,'센터 자재 사용내역(04월)'!F:F,"불량")</f>
        <v>0</v>
      </c>
      <c r="AU148" s="40">
        <f>SUMIFS('센터 자재 사용내역(05월)'!G:G,'센터 자재 사용내역(05월)'!E:E,'사급자재 사용내역'!C148,'센터 자재 사용내역(05월)'!F:F,"불량")</f>
        <v>0</v>
      </c>
      <c r="AV148" s="40">
        <f>SUMIFS('센터 자재 사용내역(06월)'!G:G,'센터 자재 사용내역(06월)'!E:E,'사급자재 사용내역'!C148,'센터 자재 사용내역(06월)'!F:F,"불량")</f>
        <v>0</v>
      </c>
      <c r="AW148" s="40">
        <f>SUMIFS('센터 자재 사용내역(07월)'!G:G,'센터 자재 사용내역(07월)'!E:E,'사급자재 사용내역'!C148,'센터 자재 사용내역(07월)'!F:F,"불량")</f>
        <v>0</v>
      </c>
      <c r="AX148" s="40">
        <f>SUMIFS('센터 자재 사용내역(08월)'!G:G,'센터 자재 사용내역(08월)'!E:E,'사급자재 사용내역'!C148,'센터 자재 사용내역(08월)'!F:F,"불량")</f>
        <v>0</v>
      </c>
      <c r="AY148" s="40">
        <f>SUMIFS('센터 자재 사용내역(09월)'!G:G,'센터 자재 사용내역(09월)'!E:E,'사급자재 사용내역'!C148,'센터 자재 사용내역(09월)'!F:F,"불량")</f>
        <v>0</v>
      </c>
      <c r="AZ148" s="40">
        <f>SUMIFS('센터 자재 사용내역(10월)'!G:G,'센터 자재 사용내역(10월)'!E:E,'사급자재 사용내역'!C148,'센터 자재 사용내역(10월)'!F:F,"불량")</f>
        <v>0</v>
      </c>
      <c r="BA148" s="40">
        <f>SUMIFS('센터 자재 사용내역(11월)'!G:G,'센터 자재 사용내역(11월)'!E:E,'사급자재 사용내역'!C148,'센터 자재 사용내역(11월)'!F:F,"불량")</f>
        <v>0</v>
      </c>
      <c r="BB148" s="40">
        <f>SUMIFS('센터 자재 사용내역(12월)'!G:G,'센터 자재 사용내역(12월)'!E:E,'사급자재 사용내역'!C148,'센터 자재 사용내역(12월)'!F:F,"불량")</f>
        <v>0</v>
      </c>
      <c r="BC148" s="40">
        <f t="shared" ref="BC148:BC149" si="54">SUM(AQ148:BB148)</f>
        <v>0</v>
      </c>
      <c r="BD148" s="62"/>
    </row>
    <row r="149" spans="2:56" ht="19.5" customHeight="1">
      <c r="B149" s="99"/>
      <c r="C149" s="23" t="s">
        <v>216</v>
      </c>
      <c r="D149" s="65" t="s">
        <v>129</v>
      </c>
      <c r="E149" s="67">
        <v>395</v>
      </c>
      <c r="F149" s="49">
        <v>0</v>
      </c>
      <c r="G149" s="48"/>
      <c r="H149" s="78"/>
      <c r="I149" s="91">
        <f t="shared" si="48"/>
        <v>0</v>
      </c>
      <c r="J149" s="89">
        <f t="shared" si="49"/>
        <v>93</v>
      </c>
      <c r="K149" s="78">
        <f t="shared" si="50"/>
        <v>0</v>
      </c>
      <c r="L149" s="84">
        <f t="shared" si="51"/>
        <v>302</v>
      </c>
      <c r="M149" s="80">
        <f>SUMIFS('센터 자재 사용내역(01월)'!G:G,'센터 자재 사용내역(01월)'!E:E,'사급자재 사용내역'!C149,'센터 자재 사용내역(01월)'!F:F,"신규")+SUMIFS('센터 자재 사용내역(01월)'!G:G,'센터 자재 사용내역(01월)'!E:E,'사급자재 사용내역'!C149,'센터 자재 사용내역(01월)'!F:F,"교체")</f>
        <v>15</v>
      </c>
      <c r="N149" s="73">
        <f>SUMIFS('센터 자재 사용내역(02월)'!G:G,'센터 자재 사용내역(02월)'!E:E,'사급자재 사용내역'!C149,'센터 자재 사용내역(02월)'!F:F,"신규")+SUMIFS('센터 자재 사용내역(02월)'!G:G,'센터 자재 사용내역(02월)'!E:E,'사급자재 사용내역'!C149,'센터 자재 사용내역(02월)'!F:F,"교체")</f>
        <v>8</v>
      </c>
      <c r="O149" s="73">
        <f>SUMIFS('센터 자재 사용내역(03월)'!G:G,'센터 자재 사용내역(03월)'!E:E,'사급자재 사용내역'!C149,'센터 자재 사용내역(03월)'!F:F,"신규")+SUMIFS('센터 자재 사용내역(03월)'!G:G,'센터 자재 사용내역(03월)'!E:E,'사급자재 사용내역'!C149,'센터 자재 사용내역(03월)'!F:F,"교체")</f>
        <v>6</v>
      </c>
      <c r="P149" s="40">
        <f>SUMIFS('센터 자재 사용내역(04월)'!G:G,'센터 자재 사용내역(04월)'!E:E,'사급자재 사용내역'!C149,'센터 자재 사용내역(04월)'!F:F,"신규")+SUMIFS('센터 자재 사용내역(04월)'!G:G,'센터 자재 사용내역(04월)'!E:E,'사급자재 사용내역'!C149,'센터 자재 사용내역(04월)'!F:F,"교체")</f>
        <v>12</v>
      </c>
      <c r="Q149" s="40">
        <f>SUMIFS('센터 자재 사용내역(05월)'!G:G,'센터 자재 사용내역(05월)'!E:E,'사급자재 사용내역'!C149,'센터 자재 사용내역(05월)'!F:F,"신규")+SUMIFS('센터 자재 사용내역(05월)'!G:G,'센터 자재 사용내역(05월)'!E:E,'사급자재 사용내역'!C149,'센터 자재 사용내역(05월)'!F:F,"교체")</f>
        <v>20</v>
      </c>
      <c r="R149" s="40">
        <f>SUMIFS('센터 자재 사용내역(06월)'!G:G,'센터 자재 사용내역(06월)'!E:E,'사급자재 사용내역'!C149,'센터 자재 사용내역(06월)'!F:F,"신규")+SUMIFS('센터 자재 사용내역(06월)'!G:G,'센터 자재 사용내역(06월)'!E:E,'사급자재 사용내역'!C149,'센터 자재 사용내역(06월)'!F:F,"교체")</f>
        <v>10</v>
      </c>
      <c r="S149" s="40">
        <f>SUMIFS('센터 자재 사용내역(07월)'!G:G,'센터 자재 사용내역(07월)'!E:E,'사급자재 사용내역'!C149,'센터 자재 사용내역(07월)'!F:F,"신규")+SUMIFS('센터 자재 사용내역(07월)'!G:G,'센터 자재 사용내역(07월)'!E:E,'사급자재 사용내역'!C149,'센터 자재 사용내역(07월)'!F:F,"교체")</f>
        <v>12</v>
      </c>
      <c r="T149" s="40">
        <f>SUMIFS('센터 자재 사용내역(08월)'!G:G,'센터 자재 사용내역(08월)'!E:E,'사급자재 사용내역'!C149,'센터 자재 사용내역(08월)'!F:F,"신규")+SUMIFS('센터 자재 사용내역(08월)'!G:G,'센터 자재 사용내역(08월)'!E:E,'사급자재 사용내역'!C149,'센터 자재 사용내역(08월)'!F:F,"교체")</f>
        <v>10</v>
      </c>
      <c r="U149" s="40">
        <f>SUMIFS('센터 자재 사용내역(09월)'!G:G,'센터 자재 사용내역(09월)'!E:E,'사급자재 사용내역'!C149,'센터 자재 사용내역(09월)'!F:F,"신규")+SUMIFS('센터 자재 사용내역(09월)'!G:G,'센터 자재 사용내역(09월)'!E:E,'사급자재 사용내역'!C149,'센터 자재 사용내역(09월)'!F:F,"교체")</f>
        <v>0</v>
      </c>
      <c r="V149" s="40">
        <f>SUMIFS('센터 자재 사용내역(10월)'!G:G,'센터 자재 사용내역(10월)'!E:E,'사급자재 사용내역'!C149,'센터 자재 사용내역(10월)'!F:F,"신규")+SUMIFS('센터 자재 사용내역(10월)'!G:G,'센터 자재 사용내역(10월)'!E:E,'사급자재 사용내역'!C149,'센터 자재 사용내역(10월)'!F:F,"교체")</f>
        <v>0</v>
      </c>
      <c r="W149" s="40">
        <f>SUMIFS('센터 자재 사용내역(11월)'!G:G,'센터 자재 사용내역(11월)'!E:E,'사급자재 사용내역'!C149,'센터 자재 사용내역(11월)'!F:F,"신규")+SUMIFS('센터 자재 사용내역(11월)'!G:G,'센터 자재 사용내역(11월)'!E:E,'사급자재 사용내역'!C149,'센터 자재 사용내역(11월)'!F:F,"교체")</f>
        <v>0</v>
      </c>
      <c r="X149" s="40">
        <f>SUMIFS('센터 자재 사용내역(12월)'!G:G,'센터 자재 사용내역(12월)'!E:E,'사급자재 사용내역'!C149,'센터 자재 사용내역(12월)'!F:F,"신규")+SUMIFS('센터 자재 사용내역(12월)'!G:G,'센터 자재 사용내역(12월)'!E:E,'사급자재 사용내역'!C149,'센터 자재 사용내역(12월)'!F:F,"교체")</f>
        <v>0</v>
      </c>
      <c r="Y149" s="73">
        <f t="shared" si="52"/>
        <v>93</v>
      </c>
      <c r="Z149" s="74"/>
      <c r="AB149" s="56"/>
      <c r="AC149" s="29"/>
      <c r="AD149" s="29"/>
      <c r="AE149" s="29"/>
      <c r="AF149" s="29"/>
      <c r="AG149" s="29"/>
      <c r="AH149" s="29"/>
      <c r="AI149" s="29"/>
      <c r="AJ149" s="29"/>
      <c r="AK149" s="29"/>
      <c r="AL149" s="29"/>
      <c r="AM149" s="29"/>
      <c r="AN149" s="21">
        <f t="shared" si="53"/>
        <v>0</v>
      </c>
      <c r="AO149" s="75"/>
      <c r="AQ149" s="61">
        <f>SUMIFS('센터 자재 사용내역(01월)'!G:G,'센터 자재 사용내역(01월)'!E:E,'사급자재 사용내역'!C149,'센터 자재 사용내역(01월)'!F:F,"불량")</f>
        <v>0</v>
      </c>
      <c r="AR149" s="40">
        <f>SUMIFS('센터 자재 사용내역(02월)'!G:G,'센터 자재 사용내역(02월)'!E:E,'사급자재 사용내역'!C149,'센터 자재 사용내역(02월)'!F:F,"불량")</f>
        <v>0</v>
      </c>
      <c r="AS149" s="40">
        <f>SUMIFS('센터 자재 사용내역(03월)'!G:G,'센터 자재 사용내역(03월)'!E:E,'사급자재 사용내역'!C149,'센터 자재 사용내역(03월)'!F:F,"불량")</f>
        <v>0</v>
      </c>
      <c r="AT149" s="40">
        <f>SUMIFS('센터 자재 사용내역(04월)'!G:G,'센터 자재 사용내역(04월)'!E:E,'사급자재 사용내역'!C149,'센터 자재 사용내역(04월)'!F:F,"불량")</f>
        <v>0</v>
      </c>
      <c r="AU149" s="40">
        <f>SUMIFS('센터 자재 사용내역(05월)'!G:G,'센터 자재 사용내역(05월)'!E:E,'사급자재 사용내역'!C149,'센터 자재 사용내역(05월)'!F:F,"불량")</f>
        <v>0</v>
      </c>
      <c r="AV149" s="40">
        <f>SUMIFS('센터 자재 사용내역(06월)'!G:G,'센터 자재 사용내역(06월)'!E:E,'사급자재 사용내역'!C149,'센터 자재 사용내역(06월)'!F:F,"불량")</f>
        <v>0</v>
      </c>
      <c r="AW149" s="40">
        <f>SUMIFS('센터 자재 사용내역(07월)'!G:G,'센터 자재 사용내역(07월)'!E:E,'사급자재 사용내역'!C149,'센터 자재 사용내역(07월)'!F:F,"불량")</f>
        <v>0</v>
      </c>
      <c r="AX149" s="40">
        <f>SUMIFS('센터 자재 사용내역(08월)'!G:G,'센터 자재 사용내역(08월)'!E:E,'사급자재 사용내역'!C149,'센터 자재 사용내역(08월)'!F:F,"불량")</f>
        <v>0</v>
      </c>
      <c r="AY149" s="40">
        <f>SUMIFS('센터 자재 사용내역(09월)'!G:G,'센터 자재 사용내역(09월)'!E:E,'사급자재 사용내역'!C149,'센터 자재 사용내역(09월)'!F:F,"불량")</f>
        <v>0</v>
      </c>
      <c r="AZ149" s="40">
        <f>SUMIFS('센터 자재 사용내역(10월)'!G:G,'센터 자재 사용내역(10월)'!E:E,'사급자재 사용내역'!C149,'센터 자재 사용내역(10월)'!F:F,"불량")</f>
        <v>0</v>
      </c>
      <c r="BA149" s="40">
        <f>SUMIFS('센터 자재 사용내역(11월)'!G:G,'센터 자재 사용내역(11월)'!E:E,'사급자재 사용내역'!C149,'센터 자재 사용내역(11월)'!F:F,"불량")</f>
        <v>0</v>
      </c>
      <c r="BB149" s="40">
        <f>SUMIFS('센터 자재 사용내역(12월)'!G:G,'센터 자재 사용내역(12월)'!E:E,'사급자재 사용내역'!C149,'센터 자재 사용내역(12월)'!F:F,"불량")</f>
        <v>0</v>
      </c>
      <c r="BC149" s="40">
        <f t="shared" si="54"/>
        <v>0</v>
      </c>
      <c r="BD149" s="62"/>
    </row>
    <row r="150" spans="2:56" ht="19.5" customHeight="1">
      <c r="B150" s="99"/>
      <c r="C150" s="23" t="s">
        <v>66</v>
      </c>
      <c r="D150" s="65" t="s">
        <v>129</v>
      </c>
      <c r="E150" s="67">
        <v>200</v>
      </c>
      <c r="F150" s="49">
        <v>0</v>
      </c>
      <c r="G150" s="48"/>
      <c r="H150" s="78"/>
      <c r="I150" s="91">
        <f t="shared" ref="I150:I152" si="55">(F150+BC150)-(G150+H150)</f>
        <v>0</v>
      </c>
      <c r="J150" s="89">
        <f t="shared" ref="J150:J151" si="56">Y150</f>
        <v>195</v>
      </c>
      <c r="K150" s="78">
        <f t="shared" ref="K150:K151" si="57">AN150</f>
        <v>0</v>
      </c>
      <c r="L150" s="84">
        <f t="shared" ref="L150:L152" si="58">E150-J150+K150</f>
        <v>5</v>
      </c>
      <c r="M150" s="80">
        <f>SUMIFS('센터 자재 사용내역(01월)'!G:G,'센터 자재 사용내역(01월)'!E:E,'사급자재 사용내역'!C150,'센터 자재 사용내역(01월)'!F:F,"신규")+SUMIFS('센터 자재 사용내역(01월)'!G:G,'센터 자재 사용내역(01월)'!E:E,'사급자재 사용내역'!C150,'센터 자재 사용내역(01월)'!F:F,"교체")</f>
        <v>0</v>
      </c>
      <c r="N150" s="73">
        <f>SUMIFS('센터 자재 사용내역(02월)'!G:G,'센터 자재 사용내역(02월)'!E:E,'사급자재 사용내역'!C150,'센터 자재 사용내역(02월)'!F:F,"신규")+SUMIFS('센터 자재 사용내역(02월)'!G:G,'센터 자재 사용내역(02월)'!E:E,'사급자재 사용내역'!C150,'센터 자재 사용내역(02월)'!F:F,"교체")</f>
        <v>0</v>
      </c>
      <c r="O150" s="73">
        <f>SUMIFS('센터 자재 사용내역(03월)'!G:G,'센터 자재 사용내역(03월)'!E:E,'사급자재 사용내역'!C150,'센터 자재 사용내역(03월)'!F:F,"신규")+SUMIFS('센터 자재 사용내역(03월)'!G:G,'센터 자재 사용내역(03월)'!E:E,'사급자재 사용내역'!C150,'센터 자재 사용내역(03월)'!F:F,"교체")</f>
        <v>110</v>
      </c>
      <c r="P150" s="40">
        <f>SUMIFS('센터 자재 사용내역(04월)'!G:G,'센터 자재 사용내역(04월)'!E:E,'사급자재 사용내역'!C150,'센터 자재 사용내역(04월)'!F:F,"신규")+SUMIFS('센터 자재 사용내역(04월)'!G:G,'센터 자재 사용내역(04월)'!E:E,'사급자재 사용내역'!C150,'센터 자재 사용내역(04월)'!F:F,"교체")</f>
        <v>35</v>
      </c>
      <c r="Q150" s="40">
        <f>SUMIFS('센터 자재 사용내역(05월)'!G:G,'센터 자재 사용내역(05월)'!E:E,'사급자재 사용내역'!C150,'센터 자재 사용내역(05월)'!F:F,"신규")+SUMIFS('센터 자재 사용내역(05월)'!G:G,'센터 자재 사용내역(05월)'!E:E,'사급자재 사용내역'!C150,'센터 자재 사용내역(05월)'!F:F,"교체")</f>
        <v>50</v>
      </c>
      <c r="R150" s="40">
        <f>SUMIFS('센터 자재 사용내역(06월)'!G:G,'센터 자재 사용내역(06월)'!E:E,'사급자재 사용내역'!C150,'센터 자재 사용내역(06월)'!F:F,"신규")+SUMIFS('센터 자재 사용내역(06월)'!G:G,'센터 자재 사용내역(06월)'!E:E,'사급자재 사용내역'!C150,'센터 자재 사용내역(06월)'!F:F,"교체")</f>
        <v>0</v>
      </c>
      <c r="S150" s="40">
        <f>SUMIFS('센터 자재 사용내역(07월)'!G:G,'센터 자재 사용내역(07월)'!E:E,'사급자재 사용내역'!C150,'센터 자재 사용내역(07월)'!F:F,"신규")+SUMIFS('센터 자재 사용내역(07월)'!G:G,'센터 자재 사용내역(07월)'!E:E,'사급자재 사용내역'!C150,'센터 자재 사용내역(07월)'!F:F,"교체")</f>
        <v>0</v>
      </c>
      <c r="T150" s="40">
        <f>SUMIFS('센터 자재 사용내역(08월)'!G:G,'센터 자재 사용내역(08월)'!E:E,'사급자재 사용내역'!C150,'센터 자재 사용내역(08월)'!F:F,"신규")+SUMIFS('센터 자재 사용내역(08월)'!G:G,'센터 자재 사용내역(08월)'!E:E,'사급자재 사용내역'!C150,'센터 자재 사용내역(08월)'!F:F,"교체")</f>
        <v>0</v>
      </c>
      <c r="U150" s="40">
        <f>SUMIFS('센터 자재 사용내역(09월)'!G:G,'센터 자재 사용내역(09월)'!E:E,'사급자재 사용내역'!C150,'센터 자재 사용내역(09월)'!F:F,"신규")+SUMIFS('센터 자재 사용내역(09월)'!G:G,'센터 자재 사용내역(09월)'!E:E,'사급자재 사용내역'!C150,'센터 자재 사용내역(09월)'!F:F,"교체")</f>
        <v>0</v>
      </c>
      <c r="V150" s="40">
        <f>SUMIFS('센터 자재 사용내역(10월)'!G:G,'센터 자재 사용내역(10월)'!E:E,'사급자재 사용내역'!C150,'센터 자재 사용내역(10월)'!F:F,"신규")+SUMIFS('센터 자재 사용내역(10월)'!G:G,'센터 자재 사용내역(10월)'!E:E,'사급자재 사용내역'!C150,'센터 자재 사용내역(10월)'!F:F,"교체")</f>
        <v>0</v>
      </c>
      <c r="W150" s="40">
        <f>SUMIFS('센터 자재 사용내역(11월)'!G:G,'센터 자재 사용내역(11월)'!E:E,'사급자재 사용내역'!C150,'센터 자재 사용내역(11월)'!F:F,"신규")+SUMIFS('센터 자재 사용내역(11월)'!G:G,'센터 자재 사용내역(11월)'!E:E,'사급자재 사용내역'!C150,'센터 자재 사용내역(11월)'!F:F,"교체")</f>
        <v>0</v>
      </c>
      <c r="X150" s="40">
        <f>SUMIFS('센터 자재 사용내역(12월)'!G:G,'센터 자재 사용내역(12월)'!E:E,'사급자재 사용내역'!C150,'센터 자재 사용내역(12월)'!F:F,"신규")+SUMIFS('센터 자재 사용내역(12월)'!G:G,'센터 자재 사용내역(12월)'!E:E,'사급자재 사용내역'!C150,'센터 자재 사용내역(12월)'!F:F,"교체")</f>
        <v>0</v>
      </c>
      <c r="Y150" s="73">
        <f t="shared" ref="Y150:Y151" si="59">SUM(M150:X150)</f>
        <v>195</v>
      </c>
      <c r="Z150" s="74"/>
      <c r="AB150" s="56"/>
      <c r="AC150" s="29"/>
      <c r="AD150" s="29"/>
      <c r="AE150" s="29"/>
      <c r="AF150" s="29"/>
      <c r="AG150" s="29"/>
      <c r="AH150" s="29"/>
      <c r="AI150" s="29"/>
      <c r="AJ150" s="29"/>
      <c r="AK150" s="29"/>
      <c r="AL150" s="29"/>
      <c r="AM150" s="29"/>
      <c r="AN150" s="21">
        <f t="shared" ref="AN150:AN151" si="60">SUM(AB150:AM150)</f>
        <v>0</v>
      </c>
      <c r="AO150" s="75"/>
      <c r="AQ150" s="61">
        <f>SUMIFS('센터 자재 사용내역(01월)'!G:G,'센터 자재 사용내역(01월)'!E:E,'사급자재 사용내역'!C150,'센터 자재 사용내역(01월)'!F:F,"불량")</f>
        <v>0</v>
      </c>
      <c r="AR150" s="40">
        <f>SUMIFS('센터 자재 사용내역(02월)'!G:G,'센터 자재 사용내역(02월)'!E:E,'사급자재 사용내역'!C150,'센터 자재 사용내역(02월)'!F:F,"불량")</f>
        <v>0</v>
      </c>
      <c r="AS150" s="40">
        <f>SUMIFS('센터 자재 사용내역(03월)'!G:G,'센터 자재 사용내역(03월)'!E:E,'사급자재 사용내역'!C150,'센터 자재 사용내역(03월)'!F:F,"불량")</f>
        <v>0</v>
      </c>
      <c r="AT150" s="40">
        <f>SUMIFS('센터 자재 사용내역(04월)'!G:G,'센터 자재 사용내역(04월)'!E:E,'사급자재 사용내역'!C150,'센터 자재 사용내역(04월)'!F:F,"불량")</f>
        <v>0</v>
      </c>
      <c r="AU150" s="40">
        <f>SUMIFS('센터 자재 사용내역(05월)'!G:G,'센터 자재 사용내역(05월)'!E:E,'사급자재 사용내역'!C150,'센터 자재 사용내역(05월)'!F:F,"불량")</f>
        <v>0</v>
      </c>
      <c r="AV150" s="40">
        <f>SUMIFS('센터 자재 사용내역(06월)'!G:G,'센터 자재 사용내역(06월)'!E:E,'사급자재 사용내역'!C150,'센터 자재 사용내역(06월)'!F:F,"불량")</f>
        <v>0</v>
      </c>
      <c r="AW150" s="40">
        <f>SUMIFS('센터 자재 사용내역(07월)'!G:G,'센터 자재 사용내역(07월)'!E:E,'사급자재 사용내역'!C150,'센터 자재 사용내역(07월)'!F:F,"불량")</f>
        <v>0</v>
      </c>
      <c r="AX150" s="40">
        <f>SUMIFS('센터 자재 사용내역(08월)'!G:G,'센터 자재 사용내역(08월)'!E:E,'사급자재 사용내역'!C150,'센터 자재 사용내역(08월)'!F:F,"불량")</f>
        <v>0</v>
      </c>
      <c r="AY150" s="40">
        <f>SUMIFS('센터 자재 사용내역(09월)'!G:G,'센터 자재 사용내역(09월)'!E:E,'사급자재 사용내역'!C150,'센터 자재 사용내역(09월)'!F:F,"불량")</f>
        <v>0</v>
      </c>
      <c r="AZ150" s="40">
        <f>SUMIFS('센터 자재 사용내역(10월)'!G:G,'센터 자재 사용내역(10월)'!E:E,'사급자재 사용내역'!C150,'센터 자재 사용내역(10월)'!F:F,"불량")</f>
        <v>0</v>
      </c>
      <c r="BA150" s="40">
        <f>SUMIFS('센터 자재 사용내역(11월)'!G:G,'센터 자재 사용내역(11월)'!E:E,'사급자재 사용내역'!C150,'센터 자재 사용내역(11월)'!F:F,"불량")</f>
        <v>0</v>
      </c>
      <c r="BB150" s="40">
        <f>SUMIFS('센터 자재 사용내역(12월)'!G:G,'센터 자재 사용내역(12월)'!E:E,'사급자재 사용내역'!C150,'센터 자재 사용내역(12월)'!F:F,"불량")</f>
        <v>0</v>
      </c>
      <c r="BC150" s="40">
        <f t="shared" ref="BC150:BC151" si="61">SUM(AQ150:BB150)</f>
        <v>0</v>
      </c>
      <c r="BD150" s="62"/>
    </row>
    <row r="151" spans="2:56" ht="19.5" customHeight="1">
      <c r="B151" s="100"/>
      <c r="C151" s="23"/>
      <c r="D151" s="65" t="s">
        <v>129</v>
      </c>
      <c r="E151" s="67">
        <v>0</v>
      </c>
      <c r="F151" s="49">
        <v>0</v>
      </c>
      <c r="G151" s="48"/>
      <c r="H151" s="78"/>
      <c r="I151" s="91">
        <f t="shared" si="55"/>
        <v>0</v>
      </c>
      <c r="J151" s="89">
        <f t="shared" si="56"/>
        <v>0</v>
      </c>
      <c r="K151" s="78">
        <f t="shared" si="57"/>
        <v>0</v>
      </c>
      <c r="L151" s="84">
        <f t="shared" si="58"/>
        <v>0</v>
      </c>
      <c r="M151" s="80">
        <f>SUMIFS('센터 자재 사용내역(01월)'!G:G,'센터 자재 사용내역(01월)'!E:E,'사급자재 사용내역'!C151,'센터 자재 사용내역(01월)'!F:F,"신규")+SUMIFS('센터 자재 사용내역(01월)'!G:G,'센터 자재 사용내역(01월)'!E:E,'사급자재 사용내역'!C151,'센터 자재 사용내역(01월)'!F:F,"교체")</f>
        <v>0</v>
      </c>
      <c r="N151" s="73">
        <f>SUMIFS('센터 자재 사용내역(02월)'!G:G,'센터 자재 사용내역(02월)'!E:E,'사급자재 사용내역'!C151,'센터 자재 사용내역(02월)'!F:F,"신규")+SUMIFS('센터 자재 사용내역(02월)'!G:G,'센터 자재 사용내역(02월)'!E:E,'사급자재 사용내역'!C151,'센터 자재 사용내역(02월)'!F:F,"교체")</f>
        <v>0</v>
      </c>
      <c r="O151" s="73">
        <f>SUMIFS('센터 자재 사용내역(03월)'!G:G,'센터 자재 사용내역(03월)'!E:E,'사급자재 사용내역'!C151,'센터 자재 사용내역(03월)'!F:F,"신규")+SUMIFS('센터 자재 사용내역(03월)'!G:G,'센터 자재 사용내역(03월)'!E:E,'사급자재 사용내역'!C151,'센터 자재 사용내역(03월)'!F:F,"교체")</f>
        <v>0</v>
      </c>
      <c r="P151" s="40">
        <f>SUMIFS('센터 자재 사용내역(04월)'!G:G,'센터 자재 사용내역(04월)'!E:E,'사급자재 사용내역'!C151,'센터 자재 사용내역(04월)'!F:F,"신규")+SUMIFS('센터 자재 사용내역(04월)'!G:G,'센터 자재 사용내역(04월)'!E:E,'사급자재 사용내역'!C151,'센터 자재 사용내역(04월)'!F:F,"교체")</f>
        <v>0</v>
      </c>
      <c r="Q151" s="40">
        <f>SUMIFS('센터 자재 사용내역(05월)'!G:G,'센터 자재 사용내역(05월)'!E:E,'사급자재 사용내역'!C151,'센터 자재 사용내역(05월)'!F:F,"신규")+SUMIFS('센터 자재 사용내역(05월)'!G:G,'센터 자재 사용내역(05월)'!E:E,'사급자재 사용내역'!C151,'센터 자재 사용내역(05월)'!F:F,"교체")</f>
        <v>0</v>
      </c>
      <c r="R151" s="40">
        <f>SUMIFS('센터 자재 사용내역(06월)'!G:G,'센터 자재 사용내역(06월)'!E:E,'사급자재 사용내역'!C151,'센터 자재 사용내역(06월)'!F:F,"신규")+SUMIFS('센터 자재 사용내역(06월)'!G:G,'센터 자재 사용내역(06월)'!E:E,'사급자재 사용내역'!C151,'센터 자재 사용내역(06월)'!F:F,"교체")</f>
        <v>0</v>
      </c>
      <c r="S151" s="40">
        <f>SUMIFS('센터 자재 사용내역(07월)'!G:G,'센터 자재 사용내역(07월)'!E:E,'사급자재 사용내역'!C151,'센터 자재 사용내역(07월)'!F:F,"신규")+SUMIFS('센터 자재 사용내역(07월)'!G:G,'센터 자재 사용내역(07월)'!E:E,'사급자재 사용내역'!C151,'센터 자재 사용내역(07월)'!F:F,"교체")</f>
        <v>0</v>
      </c>
      <c r="T151" s="40">
        <f>SUMIFS('센터 자재 사용내역(08월)'!G:G,'센터 자재 사용내역(08월)'!E:E,'사급자재 사용내역'!C151,'센터 자재 사용내역(08월)'!F:F,"신규")+SUMIFS('센터 자재 사용내역(08월)'!G:G,'센터 자재 사용내역(08월)'!E:E,'사급자재 사용내역'!C151,'센터 자재 사용내역(08월)'!F:F,"교체")</f>
        <v>0</v>
      </c>
      <c r="U151" s="40">
        <f>SUMIFS('센터 자재 사용내역(09월)'!G:G,'센터 자재 사용내역(09월)'!E:E,'사급자재 사용내역'!C151,'센터 자재 사용내역(09월)'!F:F,"신규")+SUMIFS('센터 자재 사용내역(09월)'!G:G,'센터 자재 사용내역(09월)'!E:E,'사급자재 사용내역'!C151,'센터 자재 사용내역(09월)'!F:F,"교체")</f>
        <v>0</v>
      </c>
      <c r="V151" s="40">
        <f>SUMIFS('센터 자재 사용내역(10월)'!G:G,'센터 자재 사용내역(10월)'!E:E,'사급자재 사용내역'!C151,'센터 자재 사용내역(10월)'!F:F,"신규")+SUMIFS('센터 자재 사용내역(10월)'!G:G,'센터 자재 사용내역(10월)'!E:E,'사급자재 사용내역'!C151,'센터 자재 사용내역(10월)'!F:F,"교체")</f>
        <v>0</v>
      </c>
      <c r="W151" s="40">
        <f>SUMIFS('센터 자재 사용내역(11월)'!G:G,'센터 자재 사용내역(11월)'!E:E,'사급자재 사용내역'!C151,'센터 자재 사용내역(11월)'!F:F,"신규")+SUMIFS('센터 자재 사용내역(11월)'!G:G,'센터 자재 사용내역(11월)'!E:E,'사급자재 사용내역'!C151,'센터 자재 사용내역(11월)'!F:F,"교체")</f>
        <v>0</v>
      </c>
      <c r="X151" s="40">
        <f>SUMIFS('센터 자재 사용내역(12월)'!G:G,'센터 자재 사용내역(12월)'!E:E,'사급자재 사용내역'!C151,'센터 자재 사용내역(12월)'!F:F,"신규")+SUMIFS('센터 자재 사용내역(12월)'!G:G,'센터 자재 사용내역(12월)'!E:E,'사급자재 사용내역'!C151,'센터 자재 사용내역(12월)'!F:F,"교체")</f>
        <v>0</v>
      </c>
      <c r="Y151" s="73">
        <f t="shared" si="59"/>
        <v>0</v>
      </c>
      <c r="Z151" s="74"/>
      <c r="AB151" s="56"/>
      <c r="AC151" s="29"/>
      <c r="AD151" s="29"/>
      <c r="AE151" s="29"/>
      <c r="AF151" s="29"/>
      <c r="AG151" s="29"/>
      <c r="AH151" s="29"/>
      <c r="AI151" s="29"/>
      <c r="AJ151" s="29"/>
      <c r="AK151" s="29"/>
      <c r="AL151" s="29"/>
      <c r="AM151" s="29"/>
      <c r="AN151" s="21">
        <f t="shared" si="60"/>
        <v>0</v>
      </c>
      <c r="AO151" s="75"/>
      <c r="AQ151" s="61">
        <f>SUMIFS('센터 자재 사용내역(01월)'!G:G,'센터 자재 사용내역(01월)'!E:E,'사급자재 사용내역'!C151,'센터 자재 사용내역(01월)'!F:F,"불량")</f>
        <v>0</v>
      </c>
      <c r="AR151" s="40">
        <f>SUMIFS('센터 자재 사용내역(02월)'!G:G,'센터 자재 사용내역(02월)'!E:E,'사급자재 사용내역'!C151,'센터 자재 사용내역(02월)'!F:F,"불량")</f>
        <v>0</v>
      </c>
      <c r="AS151" s="40">
        <f>SUMIFS('센터 자재 사용내역(03월)'!G:G,'센터 자재 사용내역(03월)'!E:E,'사급자재 사용내역'!C151,'센터 자재 사용내역(03월)'!F:F,"불량")</f>
        <v>0</v>
      </c>
      <c r="AT151" s="40">
        <f>SUMIFS('센터 자재 사용내역(04월)'!G:G,'센터 자재 사용내역(04월)'!E:E,'사급자재 사용내역'!C151,'센터 자재 사용내역(04월)'!F:F,"불량")</f>
        <v>0</v>
      </c>
      <c r="AU151" s="40">
        <f>SUMIFS('센터 자재 사용내역(05월)'!G:G,'센터 자재 사용내역(05월)'!E:E,'사급자재 사용내역'!C151,'센터 자재 사용내역(05월)'!F:F,"불량")</f>
        <v>0</v>
      </c>
      <c r="AV151" s="40">
        <f>SUMIFS('센터 자재 사용내역(06월)'!G:G,'센터 자재 사용내역(06월)'!E:E,'사급자재 사용내역'!C151,'센터 자재 사용내역(06월)'!F:F,"불량")</f>
        <v>0</v>
      </c>
      <c r="AW151" s="40">
        <f>SUMIFS('센터 자재 사용내역(07월)'!G:G,'센터 자재 사용내역(07월)'!E:E,'사급자재 사용내역'!C151,'센터 자재 사용내역(07월)'!F:F,"불량")</f>
        <v>0</v>
      </c>
      <c r="AX151" s="40">
        <f>SUMIFS('센터 자재 사용내역(08월)'!G:G,'센터 자재 사용내역(08월)'!E:E,'사급자재 사용내역'!C151,'센터 자재 사용내역(08월)'!F:F,"불량")</f>
        <v>0</v>
      </c>
      <c r="AY151" s="40">
        <f>SUMIFS('센터 자재 사용내역(09월)'!G:G,'센터 자재 사용내역(09월)'!E:E,'사급자재 사용내역'!C151,'센터 자재 사용내역(09월)'!F:F,"불량")</f>
        <v>0</v>
      </c>
      <c r="AZ151" s="40">
        <f>SUMIFS('센터 자재 사용내역(10월)'!G:G,'센터 자재 사용내역(10월)'!E:E,'사급자재 사용내역'!C151,'센터 자재 사용내역(10월)'!F:F,"불량")</f>
        <v>0</v>
      </c>
      <c r="BA151" s="40">
        <f>SUMIFS('센터 자재 사용내역(11월)'!G:G,'센터 자재 사용내역(11월)'!E:E,'사급자재 사용내역'!C151,'센터 자재 사용내역(11월)'!F:F,"불량")</f>
        <v>0</v>
      </c>
      <c r="BB151" s="40">
        <f>SUMIFS('센터 자재 사용내역(12월)'!G:G,'센터 자재 사용내역(12월)'!E:E,'사급자재 사용내역'!C151,'센터 자재 사용내역(12월)'!F:F,"불량")</f>
        <v>0</v>
      </c>
      <c r="BC151" s="40">
        <f t="shared" si="61"/>
        <v>0</v>
      </c>
      <c r="BD151" s="62"/>
    </row>
    <row r="152" spans="2:56" ht="19.5" customHeight="1">
      <c r="B152" s="71" t="s">
        <v>200</v>
      </c>
      <c r="C152" s="23" t="s">
        <v>111</v>
      </c>
      <c r="D152" s="65" t="s">
        <v>129</v>
      </c>
      <c r="E152" s="67">
        <v>30</v>
      </c>
      <c r="F152" s="49">
        <v>0</v>
      </c>
      <c r="G152" s="48"/>
      <c r="H152" s="78"/>
      <c r="I152" s="91">
        <f t="shared" si="55"/>
        <v>0</v>
      </c>
      <c r="J152" s="89">
        <f t="shared" ref="J152" si="62">Y152</f>
        <v>15</v>
      </c>
      <c r="K152" s="78">
        <f t="shared" ref="K152" si="63">AN152</f>
        <v>0</v>
      </c>
      <c r="L152" s="84">
        <f t="shared" si="58"/>
        <v>15</v>
      </c>
      <c r="M152" s="80">
        <f>SUMIFS('센터 자재 사용내역(01월)'!G:G,'센터 자재 사용내역(01월)'!E:E,'사급자재 사용내역'!C152,'센터 자재 사용내역(01월)'!F:F,"신규")+SUMIFS('센터 자재 사용내역(01월)'!G:G,'센터 자재 사용내역(01월)'!E:E,'사급자재 사용내역'!C152,'센터 자재 사용내역(01월)'!F:F,"교체")</f>
        <v>3</v>
      </c>
      <c r="N152" s="73">
        <f>SUMIFS('센터 자재 사용내역(02월)'!G:G,'센터 자재 사용내역(02월)'!E:E,'사급자재 사용내역'!C152,'센터 자재 사용내역(02월)'!F:F,"신규")+SUMIFS('센터 자재 사용내역(02월)'!G:G,'센터 자재 사용내역(02월)'!E:E,'사급자재 사용내역'!C152,'센터 자재 사용내역(02월)'!F:F,"교체")</f>
        <v>1</v>
      </c>
      <c r="O152" s="73">
        <f>SUMIFS('센터 자재 사용내역(03월)'!G:G,'센터 자재 사용내역(03월)'!E:E,'사급자재 사용내역'!C152,'센터 자재 사용내역(03월)'!F:F,"신규")+SUMIFS('센터 자재 사용내역(03월)'!G:G,'센터 자재 사용내역(03월)'!E:E,'사급자재 사용내역'!C152,'센터 자재 사용내역(03월)'!F:F,"교체")</f>
        <v>2</v>
      </c>
      <c r="P152" s="40">
        <f>SUMIFS('센터 자재 사용내역(04월)'!G:G,'센터 자재 사용내역(04월)'!E:E,'사급자재 사용내역'!C152,'센터 자재 사용내역(04월)'!F:F,"신규")+SUMIFS('센터 자재 사용내역(04월)'!G:G,'센터 자재 사용내역(04월)'!E:E,'사급자재 사용내역'!C152,'센터 자재 사용내역(04월)'!F:F,"교체")</f>
        <v>3</v>
      </c>
      <c r="Q152" s="40">
        <f>SUMIFS('센터 자재 사용내역(05월)'!G:G,'센터 자재 사용내역(05월)'!E:E,'사급자재 사용내역'!C152,'센터 자재 사용내역(05월)'!F:F,"신규")+SUMIFS('센터 자재 사용내역(05월)'!G:G,'센터 자재 사용내역(05월)'!E:E,'사급자재 사용내역'!C152,'센터 자재 사용내역(05월)'!F:F,"교체")</f>
        <v>3</v>
      </c>
      <c r="R152" s="40">
        <f>SUMIFS('센터 자재 사용내역(06월)'!G:G,'센터 자재 사용내역(06월)'!E:E,'사급자재 사용내역'!C152,'센터 자재 사용내역(06월)'!F:F,"신규")+SUMIFS('센터 자재 사용내역(06월)'!G:G,'센터 자재 사용내역(06월)'!E:E,'사급자재 사용내역'!C152,'센터 자재 사용내역(06월)'!F:F,"교체")</f>
        <v>1</v>
      </c>
      <c r="S152" s="40">
        <f>SUMIFS('센터 자재 사용내역(07월)'!G:G,'센터 자재 사용내역(07월)'!E:E,'사급자재 사용내역'!C152,'센터 자재 사용내역(07월)'!F:F,"신규")+SUMIFS('센터 자재 사용내역(07월)'!G:G,'센터 자재 사용내역(07월)'!E:E,'사급자재 사용내역'!C152,'센터 자재 사용내역(07월)'!F:F,"교체")</f>
        <v>0</v>
      </c>
      <c r="T152" s="40">
        <f>SUMIFS('센터 자재 사용내역(08월)'!G:G,'센터 자재 사용내역(08월)'!E:E,'사급자재 사용내역'!C152,'센터 자재 사용내역(08월)'!F:F,"신규")+SUMIFS('센터 자재 사용내역(08월)'!G:G,'센터 자재 사용내역(08월)'!E:E,'사급자재 사용내역'!C152,'센터 자재 사용내역(08월)'!F:F,"교체")</f>
        <v>2</v>
      </c>
      <c r="U152" s="40">
        <f>SUMIFS('센터 자재 사용내역(09월)'!G:G,'센터 자재 사용내역(09월)'!E:E,'사급자재 사용내역'!C152,'센터 자재 사용내역(09월)'!F:F,"신규")+SUMIFS('센터 자재 사용내역(09월)'!G:G,'센터 자재 사용내역(09월)'!E:E,'사급자재 사용내역'!C152,'센터 자재 사용내역(09월)'!F:F,"교체")</f>
        <v>0</v>
      </c>
      <c r="V152" s="40">
        <f>SUMIFS('센터 자재 사용내역(10월)'!G:G,'센터 자재 사용내역(10월)'!E:E,'사급자재 사용내역'!C152,'센터 자재 사용내역(10월)'!F:F,"신규")+SUMIFS('센터 자재 사용내역(10월)'!G:G,'센터 자재 사용내역(10월)'!E:E,'사급자재 사용내역'!C152,'센터 자재 사용내역(10월)'!F:F,"교체")</f>
        <v>0</v>
      </c>
      <c r="W152" s="40">
        <f>SUMIFS('센터 자재 사용내역(11월)'!G:G,'센터 자재 사용내역(11월)'!E:E,'사급자재 사용내역'!C152,'센터 자재 사용내역(11월)'!F:F,"신규")+SUMIFS('센터 자재 사용내역(11월)'!G:G,'센터 자재 사용내역(11월)'!E:E,'사급자재 사용내역'!C152,'센터 자재 사용내역(11월)'!F:F,"교체")</f>
        <v>0</v>
      </c>
      <c r="X152" s="40">
        <f>SUMIFS('센터 자재 사용내역(12월)'!G:G,'센터 자재 사용내역(12월)'!E:E,'사급자재 사용내역'!C152,'센터 자재 사용내역(12월)'!F:F,"신규")+SUMIFS('센터 자재 사용내역(12월)'!G:G,'센터 자재 사용내역(12월)'!E:E,'사급자재 사용내역'!C152,'센터 자재 사용내역(12월)'!F:F,"교체")</f>
        <v>0</v>
      </c>
      <c r="Y152" s="73">
        <f t="shared" ref="Y152" si="64">SUM(M152:X152)</f>
        <v>15</v>
      </c>
      <c r="Z152" s="74"/>
      <c r="AB152" s="56"/>
      <c r="AC152" s="29"/>
      <c r="AD152" s="29"/>
      <c r="AE152" s="29"/>
      <c r="AF152" s="29"/>
      <c r="AG152" s="29"/>
      <c r="AH152" s="29"/>
      <c r="AI152" s="29"/>
      <c r="AJ152" s="29"/>
      <c r="AK152" s="29"/>
      <c r="AL152" s="29"/>
      <c r="AM152" s="29"/>
      <c r="AN152" s="21">
        <f t="shared" ref="AN152" si="65">SUM(AB152:AM152)</f>
        <v>0</v>
      </c>
      <c r="AO152" s="75"/>
      <c r="AQ152" s="61">
        <f>SUMIFS('센터 자재 사용내역(01월)'!G:G,'센터 자재 사용내역(01월)'!E:E,'사급자재 사용내역'!C152,'센터 자재 사용내역(01월)'!F:F,"불량")</f>
        <v>0</v>
      </c>
      <c r="AR152" s="40">
        <f>SUMIFS('센터 자재 사용내역(02월)'!G:G,'센터 자재 사용내역(02월)'!E:E,'사급자재 사용내역'!C152,'센터 자재 사용내역(02월)'!F:F,"불량")</f>
        <v>0</v>
      </c>
      <c r="AS152" s="40">
        <f>SUMIFS('센터 자재 사용내역(03월)'!G:G,'센터 자재 사용내역(03월)'!E:E,'사급자재 사용내역'!C152,'센터 자재 사용내역(03월)'!F:F,"불량")</f>
        <v>0</v>
      </c>
      <c r="AT152" s="40">
        <f>SUMIFS('센터 자재 사용내역(04월)'!G:G,'센터 자재 사용내역(04월)'!E:E,'사급자재 사용내역'!C152,'센터 자재 사용내역(04월)'!F:F,"불량")</f>
        <v>0</v>
      </c>
      <c r="AU152" s="40">
        <f>SUMIFS('센터 자재 사용내역(05월)'!G:G,'센터 자재 사용내역(05월)'!E:E,'사급자재 사용내역'!C152,'센터 자재 사용내역(05월)'!F:F,"불량")</f>
        <v>0</v>
      </c>
      <c r="AV152" s="40">
        <f>SUMIFS('센터 자재 사용내역(06월)'!G:G,'센터 자재 사용내역(06월)'!E:E,'사급자재 사용내역'!C152,'센터 자재 사용내역(06월)'!F:F,"불량")</f>
        <v>0</v>
      </c>
      <c r="AW152" s="40">
        <f>SUMIFS('센터 자재 사용내역(07월)'!G:G,'센터 자재 사용내역(07월)'!E:E,'사급자재 사용내역'!C152,'센터 자재 사용내역(07월)'!F:F,"불량")</f>
        <v>0</v>
      </c>
      <c r="AX152" s="40">
        <f>SUMIFS('센터 자재 사용내역(08월)'!G:G,'센터 자재 사용내역(08월)'!E:E,'사급자재 사용내역'!C152,'센터 자재 사용내역(08월)'!F:F,"불량")</f>
        <v>0</v>
      </c>
      <c r="AY152" s="40">
        <f>SUMIFS('센터 자재 사용내역(09월)'!G:G,'센터 자재 사용내역(09월)'!E:E,'사급자재 사용내역'!C152,'센터 자재 사용내역(09월)'!F:F,"불량")</f>
        <v>0</v>
      </c>
      <c r="AZ152" s="40">
        <f>SUMIFS('센터 자재 사용내역(10월)'!G:G,'센터 자재 사용내역(10월)'!E:E,'사급자재 사용내역'!C152,'센터 자재 사용내역(10월)'!F:F,"불량")</f>
        <v>0</v>
      </c>
      <c r="BA152" s="40">
        <f>SUMIFS('센터 자재 사용내역(11월)'!G:G,'센터 자재 사용내역(11월)'!E:E,'사급자재 사용내역'!C152,'센터 자재 사용내역(11월)'!F:F,"불량")</f>
        <v>0</v>
      </c>
      <c r="BB152" s="40">
        <f>SUMIFS('센터 자재 사용내역(12월)'!G:G,'센터 자재 사용내역(12월)'!E:E,'사급자재 사용내역'!C152,'센터 자재 사용내역(12월)'!F:F,"불량")</f>
        <v>0</v>
      </c>
      <c r="BC152" s="40">
        <f t="shared" ref="BC152" si="66">SUM(AQ152:BB152)</f>
        <v>0</v>
      </c>
      <c r="BD152" s="62"/>
    </row>
    <row r="153" spans="2:56" ht="19.5" customHeight="1" thickBot="1">
      <c r="B153" s="71" t="s">
        <v>1322</v>
      </c>
      <c r="C153" s="23" t="s">
        <v>1323</v>
      </c>
      <c r="D153" s="65" t="s">
        <v>129</v>
      </c>
      <c r="E153" s="67">
        <v>0</v>
      </c>
      <c r="F153" s="49">
        <v>0</v>
      </c>
      <c r="G153" s="48"/>
      <c r="H153" s="78"/>
      <c r="I153" s="92">
        <f t="shared" ref="I153" si="67">(F153+BC153)-(G153+H153)</f>
        <v>0</v>
      </c>
      <c r="J153" s="89">
        <f t="shared" ref="J153" si="68">Y153</f>
        <v>42</v>
      </c>
      <c r="K153" s="78">
        <f t="shared" ref="K153" si="69">AN153</f>
        <v>100</v>
      </c>
      <c r="L153" s="85">
        <f t="shared" ref="L153" si="70">E153-J153+K153</f>
        <v>58</v>
      </c>
      <c r="M153" s="80">
        <f>SUMIFS('센터 자재 사용내역(01월)'!G:G,'센터 자재 사용내역(01월)'!E:E,'사급자재 사용내역'!C153,'센터 자재 사용내역(01월)'!F:F,"신규")+SUMIFS('센터 자재 사용내역(01월)'!G:G,'센터 자재 사용내역(01월)'!E:E,'사급자재 사용내역'!C153,'센터 자재 사용내역(01월)'!F:F,"교체")</f>
        <v>0</v>
      </c>
      <c r="N153" s="73">
        <f>SUMIFS('센터 자재 사용내역(02월)'!G:G,'센터 자재 사용내역(02월)'!E:E,'사급자재 사용내역'!C153,'센터 자재 사용내역(02월)'!F:F,"신규")+SUMIFS('센터 자재 사용내역(02월)'!G:G,'센터 자재 사용내역(02월)'!E:E,'사급자재 사용내역'!C153,'센터 자재 사용내역(02월)'!F:F,"교체")</f>
        <v>0</v>
      </c>
      <c r="O153" s="73">
        <f>SUMIFS('센터 자재 사용내역(03월)'!G:G,'센터 자재 사용내역(03월)'!E:E,'사급자재 사용내역'!C153,'센터 자재 사용내역(03월)'!F:F,"신규")+SUMIFS('센터 자재 사용내역(03월)'!G:G,'센터 자재 사용내역(03월)'!E:E,'사급자재 사용내역'!C153,'센터 자재 사용내역(03월)'!F:F,"교체")</f>
        <v>0</v>
      </c>
      <c r="P153" s="40">
        <f>SUMIFS('센터 자재 사용내역(04월)'!G:G,'센터 자재 사용내역(04월)'!E:E,'사급자재 사용내역'!C153,'센터 자재 사용내역(04월)'!F:F,"신규")+SUMIFS('센터 자재 사용내역(04월)'!G:G,'센터 자재 사용내역(04월)'!E:E,'사급자재 사용내역'!C153,'센터 자재 사용내역(04월)'!F:F,"교체")</f>
        <v>24</v>
      </c>
      <c r="Q153" s="40">
        <f>SUMIFS('센터 자재 사용내역(05월)'!G:G,'센터 자재 사용내역(05월)'!E:E,'사급자재 사용내역'!C153,'센터 자재 사용내역(05월)'!F:F,"신규")+SUMIFS('센터 자재 사용내역(05월)'!G:G,'센터 자재 사용내역(05월)'!E:E,'사급자재 사용내역'!C153,'센터 자재 사용내역(05월)'!F:F,"교체")</f>
        <v>0</v>
      </c>
      <c r="R153" s="40">
        <f>SUMIFS('센터 자재 사용내역(06월)'!G:G,'센터 자재 사용내역(06월)'!E:E,'사급자재 사용내역'!C153,'센터 자재 사용내역(06월)'!F:F,"신규")+SUMIFS('센터 자재 사용내역(06월)'!G:G,'센터 자재 사용내역(06월)'!E:E,'사급자재 사용내역'!C153,'센터 자재 사용내역(06월)'!F:F,"교체")</f>
        <v>0</v>
      </c>
      <c r="S153" s="40">
        <f>SUMIFS('센터 자재 사용내역(07월)'!G:G,'센터 자재 사용내역(07월)'!E:E,'사급자재 사용내역'!C153,'센터 자재 사용내역(07월)'!F:F,"신규")+SUMIFS('센터 자재 사용내역(07월)'!G:G,'센터 자재 사용내역(07월)'!E:E,'사급자재 사용내역'!C153,'센터 자재 사용내역(07월)'!F:F,"교체")</f>
        <v>12</v>
      </c>
      <c r="T153" s="40">
        <f>SUMIFS('센터 자재 사용내역(08월)'!G:G,'센터 자재 사용내역(08월)'!E:E,'사급자재 사용내역'!C153,'센터 자재 사용내역(08월)'!F:F,"신규")+SUMIFS('센터 자재 사용내역(08월)'!G:G,'센터 자재 사용내역(08월)'!E:E,'사급자재 사용내역'!C153,'센터 자재 사용내역(08월)'!F:F,"교체")</f>
        <v>6</v>
      </c>
      <c r="U153" s="40">
        <f>SUMIFS('센터 자재 사용내역(09월)'!G:G,'센터 자재 사용내역(09월)'!E:E,'사급자재 사용내역'!C153,'센터 자재 사용내역(09월)'!F:F,"신규")+SUMIFS('센터 자재 사용내역(09월)'!G:G,'센터 자재 사용내역(09월)'!E:E,'사급자재 사용내역'!C153,'센터 자재 사용내역(09월)'!F:F,"교체")</f>
        <v>0</v>
      </c>
      <c r="V153" s="40">
        <f>SUMIFS('센터 자재 사용내역(10월)'!G:G,'센터 자재 사용내역(10월)'!E:E,'사급자재 사용내역'!C153,'센터 자재 사용내역(10월)'!F:F,"신규")+SUMIFS('센터 자재 사용내역(10월)'!G:G,'센터 자재 사용내역(10월)'!E:E,'사급자재 사용내역'!C153,'센터 자재 사용내역(10월)'!F:F,"교체")</f>
        <v>0</v>
      </c>
      <c r="W153" s="40">
        <f>SUMIFS('센터 자재 사용내역(11월)'!G:G,'센터 자재 사용내역(11월)'!E:E,'사급자재 사용내역'!C153,'센터 자재 사용내역(11월)'!F:F,"신규")+SUMIFS('센터 자재 사용내역(11월)'!G:G,'센터 자재 사용내역(11월)'!E:E,'사급자재 사용내역'!C153,'센터 자재 사용내역(11월)'!F:F,"교체")</f>
        <v>0</v>
      </c>
      <c r="X153" s="40">
        <f>SUMIFS('센터 자재 사용내역(12월)'!G:G,'센터 자재 사용내역(12월)'!E:E,'사급자재 사용내역'!C153,'센터 자재 사용내역(12월)'!F:F,"신규")+SUMIFS('센터 자재 사용내역(12월)'!G:G,'센터 자재 사용내역(12월)'!E:E,'사급자재 사용내역'!C153,'센터 자재 사용내역(12월)'!F:F,"교체")</f>
        <v>0</v>
      </c>
      <c r="Y153" s="73">
        <f t="shared" ref="Y153" si="71">SUM(M153:X153)</f>
        <v>42</v>
      </c>
      <c r="Z153" s="74"/>
      <c r="AB153" s="56"/>
      <c r="AC153" s="29"/>
      <c r="AD153" s="29">
        <v>50</v>
      </c>
      <c r="AE153" s="29">
        <v>50</v>
      </c>
      <c r="AF153" s="29"/>
      <c r="AG153" s="29"/>
      <c r="AH153" s="29"/>
      <c r="AI153" s="29"/>
      <c r="AJ153" s="29"/>
      <c r="AK153" s="29"/>
      <c r="AL153" s="29"/>
      <c r="AM153" s="29"/>
      <c r="AN153" s="21">
        <f t="shared" ref="AN153" si="72">SUM(AB153:AM153)</f>
        <v>100</v>
      </c>
      <c r="AO153" s="75"/>
      <c r="AQ153" s="61">
        <f>SUMIFS('센터 자재 사용내역(01월)'!G:G,'센터 자재 사용내역(01월)'!E:E,'사급자재 사용내역'!C153,'센터 자재 사용내역(01월)'!F:F,"불량")</f>
        <v>0</v>
      </c>
      <c r="AR153" s="40">
        <f>SUMIFS('센터 자재 사용내역(02월)'!G:G,'센터 자재 사용내역(02월)'!E:E,'사급자재 사용내역'!C153,'센터 자재 사용내역(02월)'!F:F,"불량")</f>
        <v>0</v>
      </c>
      <c r="AS153" s="40">
        <f>SUMIFS('센터 자재 사용내역(03월)'!G:G,'센터 자재 사용내역(03월)'!E:E,'사급자재 사용내역'!C153,'센터 자재 사용내역(03월)'!F:F,"불량")</f>
        <v>0</v>
      </c>
      <c r="AT153" s="40">
        <f>SUMIFS('센터 자재 사용내역(04월)'!G:G,'센터 자재 사용내역(04월)'!E:E,'사급자재 사용내역'!C153,'센터 자재 사용내역(04월)'!F:F,"불량")</f>
        <v>0</v>
      </c>
      <c r="AU153" s="40">
        <f>SUMIFS('센터 자재 사용내역(05월)'!G:G,'센터 자재 사용내역(05월)'!E:E,'사급자재 사용내역'!C153,'센터 자재 사용내역(05월)'!F:F,"불량")</f>
        <v>0</v>
      </c>
      <c r="AV153" s="40">
        <f>SUMIFS('센터 자재 사용내역(06월)'!G:G,'센터 자재 사용내역(06월)'!E:E,'사급자재 사용내역'!C153,'센터 자재 사용내역(06월)'!F:F,"불량")</f>
        <v>0</v>
      </c>
      <c r="AW153" s="40">
        <f>SUMIFS('센터 자재 사용내역(07월)'!G:G,'센터 자재 사용내역(07월)'!E:E,'사급자재 사용내역'!C153,'센터 자재 사용내역(07월)'!F:F,"불량")</f>
        <v>0</v>
      </c>
      <c r="AX153" s="40">
        <f>SUMIFS('센터 자재 사용내역(08월)'!G:G,'센터 자재 사용내역(08월)'!E:E,'사급자재 사용내역'!C153,'센터 자재 사용내역(08월)'!F:F,"불량")</f>
        <v>0</v>
      </c>
      <c r="AY153" s="40">
        <f>SUMIFS('센터 자재 사용내역(09월)'!G:G,'센터 자재 사용내역(09월)'!E:E,'사급자재 사용내역'!C153,'센터 자재 사용내역(09월)'!F:F,"불량")</f>
        <v>0</v>
      </c>
      <c r="AZ153" s="40">
        <f>SUMIFS('센터 자재 사용내역(10월)'!G:G,'센터 자재 사용내역(10월)'!E:E,'사급자재 사용내역'!C153,'센터 자재 사용내역(10월)'!F:F,"불량")</f>
        <v>0</v>
      </c>
      <c r="BA153" s="40">
        <f>SUMIFS('센터 자재 사용내역(11월)'!G:G,'센터 자재 사용내역(11월)'!E:E,'사급자재 사용내역'!C153,'센터 자재 사용내역(11월)'!F:F,"불량")</f>
        <v>0</v>
      </c>
      <c r="BB153" s="40">
        <f>SUMIFS('센터 자재 사용내역(12월)'!G:G,'센터 자재 사용내역(12월)'!E:E,'사급자재 사용내역'!C153,'센터 자재 사용내역(12월)'!F:F,"불량")</f>
        <v>0</v>
      </c>
      <c r="BC153" s="40">
        <f t="shared" ref="BC153" si="73">SUM(AQ153:BB153)</f>
        <v>0</v>
      </c>
      <c r="BD153" s="62"/>
    </row>
    <row r="154" spans="2:56" ht="16.5" customHeight="1">
      <c r="AB154" s="26"/>
      <c r="AC154" s="27"/>
      <c r="AD154" s="27"/>
      <c r="AE154" s="27"/>
      <c r="AF154" s="27"/>
      <c r="AG154" s="27"/>
      <c r="AH154" s="27"/>
      <c r="AI154" s="27"/>
      <c r="AJ154" s="27"/>
      <c r="AK154" s="27"/>
      <c r="AL154" s="27"/>
      <c r="AM154" s="27"/>
      <c r="AN154" s="27"/>
      <c r="AO154" s="27"/>
      <c r="AP154" s="26"/>
    </row>
    <row r="155" spans="2:56" ht="16.5" customHeight="1">
      <c r="AB155" s="26"/>
      <c r="AC155" s="27"/>
      <c r="AD155" s="27"/>
      <c r="AE155" s="27"/>
      <c r="AF155" s="27"/>
      <c r="AG155" s="27"/>
      <c r="AH155" s="27"/>
      <c r="AI155" s="27"/>
      <c r="AJ155" s="27"/>
      <c r="AK155" s="27"/>
      <c r="AL155" s="27"/>
      <c r="AM155" s="27"/>
      <c r="AN155" s="27"/>
      <c r="AO155" s="27"/>
      <c r="AP155" s="26"/>
    </row>
    <row r="156" spans="2:56" ht="16.5" customHeight="1">
      <c r="AB156" s="26"/>
      <c r="AC156" s="27"/>
      <c r="AD156" s="27"/>
      <c r="AE156" s="27"/>
      <c r="AF156" s="27"/>
      <c r="AG156" s="27"/>
      <c r="AH156" s="27"/>
      <c r="AI156" s="27"/>
      <c r="AJ156" s="27"/>
      <c r="AK156" s="27"/>
      <c r="AL156" s="27"/>
      <c r="AM156" s="27"/>
      <c r="AN156" s="27"/>
      <c r="AO156" s="27"/>
      <c r="AP156" s="26"/>
    </row>
    <row r="157" spans="2:56" ht="16.5" customHeight="1">
      <c r="AB157" s="26"/>
      <c r="AC157" s="27"/>
      <c r="AD157" s="27"/>
      <c r="AE157" s="27"/>
      <c r="AF157" s="27"/>
      <c r="AG157" s="27"/>
      <c r="AH157" s="27"/>
      <c r="AI157" s="27"/>
      <c r="AJ157" s="27"/>
      <c r="AK157" s="27"/>
      <c r="AL157" s="27"/>
      <c r="AM157" s="27"/>
      <c r="AN157" s="27"/>
      <c r="AO157" s="27"/>
      <c r="AP157" s="26"/>
    </row>
    <row r="158" spans="2:56" ht="16.5" customHeight="1">
      <c r="AB158" s="26"/>
      <c r="AC158" s="27"/>
      <c r="AD158" s="27"/>
      <c r="AE158" s="27"/>
      <c r="AF158" s="27"/>
      <c r="AG158" s="27"/>
      <c r="AH158" s="27"/>
      <c r="AI158" s="27"/>
      <c r="AJ158" s="27"/>
      <c r="AK158" s="27"/>
      <c r="AL158" s="27"/>
      <c r="AM158" s="27"/>
      <c r="AN158" s="27"/>
      <c r="AO158" s="27"/>
      <c r="AP158" s="26"/>
    </row>
    <row r="159" spans="2:56" ht="16.5" customHeight="1">
      <c r="AB159" s="26"/>
      <c r="AC159" s="27"/>
      <c r="AD159" s="27"/>
      <c r="AE159" s="27"/>
      <c r="AF159" s="27"/>
      <c r="AG159" s="27"/>
      <c r="AH159" s="27"/>
      <c r="AI159" s="27"/>
      <c r="AJ159" s="27"/>
      <c r="AK159" s="27"/>
      <c r="AL159" s="27"/>
      <c r="AM159" s="27"/>
      <c r="AN159" s="27"/>
      <c r="AO159" s="27"/>
      <c r="AP159" s="26"/>
    </row>
    <row r="160" spans="2:56" ht="16.5" customHeight="1">
      <c r="AB160" s="26"/>
      <c r="AC160" s="27"/>
      <c r="AD160" s="27"/>
      <c r="AE160" s="27"/>
      <c r="AF160" s="27"/>
      <c r="AG160" s="27"/>
      <c r="AH160" s="27"/>
      <c r="AI160" s="27"/>
      <c r="AJ160" s="27"/>
      <c r="AK160" s="27"/>
      <c r="AL160" s="27"/>
      <c r="AM160" s="27"/>
      <c r="AN160" s="27"/>
      <c r="AO160" s="27"/>
      <c r="AP160" s="26"/>
    </row>
    <row r="161" spans="28:42" ht="16.5" customHeight="1">
      <c r="AB161" s="26"/>
      <c r="AC161" s="27"/>
      <c r="AD161" s="27"/>
      <c r="AE161" s="27"/>
      <c r="AF161" s="27"/>
      <c r="AG161" s="27"/>
      <c r="AH161" s="27"/>
      <c r="AI161" s="27"/>
      <c r="AJ161" s="27"/>
      <c r="AK161" s="27"/>
      <c r="AL161" s="27"/>
      <c r="AM161" s="27"/>
      <c r="AN161" s="27"/>
      <c r="AO161" s="27"/>
      <c r="AP161" s="26"/>
    </row>
    <row r="162" spans="28:42" ht="16.5" customHeight="1">
      <c r="AB162" s="26"/>
      <c r="AC162" s="27"/>
      <c r="AD162" s="27"/>
      <c r="AE162" s="27"/>
      <c r="AF162" s="27"/>
      <c r="AG162" s="27"/>
      <c r="AH162" s="27"/>
      <c r="AI162" s="27"/>
      <c r="AJ162" s="27"/>
      <c r="AK162" s="27"/>
      <c r="AL162" s="27"/>
      <c r="AM162" s="27"/>
      <c r="AN162" s="27"/>
      <c r="AO162" s="27"/>
      <c r="AP162" s="26"/>
    </row>
    <row r="163" spans="28:42" ht="16.5" customHeight="1">
      <c r="AB163" s="26"/>
      <c r="AC163" s="27"/>
      <c r="AD163" s="27"/>
      <c r="AE163" s="27"/>
      <c r="AF163" s="27"/>
      <c r="AG163" s="27"/>
      <c r="AH163" s="27"/>
      <c r="AI163" s="27"/>
      <c r="AJ163" s="27"/>
      <c r="AK163" s="27"/>
      <c r="AL163" s="27"/>
      <c r="AM163" s="27"/>
      <c r="AN163" s="27"/>
      <c r="AO163" s="27"/>
      <c r="AP163" s="26"/>
    </row>
    <row r="164" spans="28:42" ht="16.5" customHeight="1">
      <c r="AB164" s="26"/>
      <c r="AC164" s="27"/>
      <c r="AD164" s="27"/>
      <c r="AE164" s="27"/>
      <c r="AF164" s="27"/>
      <c r="AG164" s="27"/>
      <c r="AH164" s="27"/>
      <c r="AI164" s="27"/>
      <c r="AJ164" s="27"/>
      <c r="AK164" s="27"/>
      <c r="AL164" s="27"/>
      <c r="AM164" s="27"/>
      <c r="AN164" s="27"/>
      <c r="AO164" s="27"/>
      <c r="AP164" s="26"/>
    </row>
    <row r="165" spans="28:42" ht="16.5" customHeight="1">
      <c r="AB165" s="26"/>
      <c r="AC165" s="27"/>
      <c r="AD165" s="27"/>
      <c r="AE165" s="27"/>
      <c r="AF165" s="27"/>
      <c r="AG165" s="27"/>
      <c r="AH165" s="27"/>
      <c r="AI165" s="27"/>
      <c r="AJ165" s="27"/>
      <c r="AK165" s="27"/>
      <c r="AL165" s="27"/>
      <c r="AM165" s="27"/>
      <c r="AN165" s="27"/>
      <c r="AO165" s="27"/>
      <c r="AP165" s="26"/>
    </row>
    <row r="166" spans="28:42" ht="16.5" customHeight="1">
      <c r="AB166" s="26"/>
      <c r="AC166" s="27"/>
      <c r="AD166" s="27"/>
      <c r="AE166" s="27"/>
      <c r="AF166" s="27"/>
      <c r="AG166" s="27"/>
      <c r="AH166" s="27"/>
      <c r="AI166" s="27"/>
      <c r="AJ166" s="27"/>
      <c r="AK166" s="27"/>
      <c r="AL166" s="27"/>
      <c r="AM166" s="27"/>
      <c r="AN166" s="27"/>
      <c r="AO166" s="27"/>
      <c r="AP166" s="26"/>
    </row>
    <row r="167" spans="28:42" ht="16.5" customHeight="1">
      <c r="AB167" s="26"/>
      <c r="AC167" s="27"/>
      <c r="AD167" s="27"/>
      <c r="AE167" s="27"/>
      <c r="AF167" s="27"/>
      <c r="AG167" s="27"/>
      <c r="AH167" s="27"/>
      <c r="AI167" s="27"/>
      <c r="AJ167" s="27"/>
      <c r="AK167" s="27"/>
      <c r="AL167" s="27"/>
      <c r="AM167" s="27"/>
      <c r="AN167" s="27"/>
      <c r="AO167" s="27"/>
      <c r="AP167" s="26"/>
    </row>
    <row r="168" spans="28:42" ht="16.5" customHeight="1">
      <c r="AB168" s="26"/>
      <c r="AC168" s="27"/>
      <c r="AD168" s="27"/>
      <c r="AE168" s="27"/>
      <c r="AF168" s="27"/>
      <c r="AG168" s="27"/>
      <c r="AH168" s="27"/>
      <c r="AI168" s="27"/>
      <c r="AJ168" s="27"/>
      <c r="AK168" s="27"/>
      <c r="AL168" s="27"/>
      <c r="AM168" s="27"/>
      <c r="AN168" s="27"/>
      <c r="AO168" s="27"/>
      <c r="AP168" s="26"/>
    </row>
    <row r="169" spans="28:42" ht="16.5" customHeight="1">
      <c r="AB169" s="26"/>
      <c r="AC169" s="27"/>
      <c r="AD169" s="27"/>
      <c r="AE169" s="27"/>
      <c r="AF169" s="27"/>
      <c r="AG169" s="27"/>
      <c r="AH169" s="27"/>
      <c r="AI169" s="27"/>
      <c r="AJ169" s="27"/>
      <c r="AK169" s="27"/>
      <c r="AL169" s="27"/>
      <c r="AM169" s="27"/>
      <c r="AN169" s="27"/>
      <c r="AO169" s="27"/>
      <c r="AP169" s="26"/>
    </row>
    <row r="170" spans="28:42" ht="16.5" customHeight="1">
      <c r="AB170" s="26"/>
      <c r="AC170" s="27"/>
      <c r="AD170" s="27"/>
      <c r="AE170" s="27"/>
      <c r="AF170" s="27"/>
      <c r="AG170" s="27"/>
      <c r="AH170" s="27"/>
      <c r="AI170" s="27"/>
      <c r="AJ170" s="27"/>
      <c r="AK170" s="27"/>
      <c r="AL170" s="27"/>
      <c r="AM170" s="27"/>
      <c r="AN170" s="27"/>
      <c r="AO170" s="27"/>
      <c r="AP170" s="26"/>
    </row>
    <row r="171" spans="28:42" ht="16.5" customHeight="1">
      <c r="AB171" s="26"/>
      <c r="AC171" s="27"/>
      <c r="AD171" s="27"/>
      <c r="AE171" s="27"/>
      <c r="AF171" s="27"/>
      <c r="AG171" s="27"/>
      <c r="AH171" s="27"/>
      <c r="AI171" s="27"/>
      <c r="AJ171" s="27"/>
      <c r="AK171" s="27"/>
      <c r="AL171" s="27"/>
      <c r="AM171" s="27"/>
      <c r="AN171" s="27"/>
      <c r="AO171" s="27"/>
      <c r="AP171" s="26"/>
    </row>
    <row r="172" spans="28:42" ht="16.5" customHeight="1">
      <c r="AB172" s="26"/>
      <c r="AC172" s="27"/>
      <c r="AD172" s="27"/>
      <c r="AE172" s="27"/>
      <c r="AF172" s="27"/>
      <c r="AG172" s="27"/>
      <c r="AH172" s="27"/>
      <c r="AI172" s="27"/>
      <c r="AJ172" s="27"/>
      <c r="AK172" s="27"/>
      <c r="AL172" s="27"/>
      <c r="AM172" s="27"/>
      <c r="AN172" s="27"/>
      <c r="AO172" s="27"/>
      <c r="AP172" s="26"/>
    </row>
    <row r="173" spans="28:42" ht="16.5" customHeight="1">
      <c r="AB173" s="26"/>
      <c r="AC173" s="27"/>
      <c r="AD173" s="27"/>
      <c r="AE173" s="27"/>
      <c r="AF173" s="27"/>
      <c r="AG173" s="27"/>
      <c r="AH173" s="27"/>
      <c r="AI173" s="27"/>
      <c r="AJ173" s="27"/>
      <c r="AK173" s="27"/>
      <c r="AL173" s="27"/>
      <c r="AM173" s="27"/>
      <c r="AN173" s="27"/>
      <c r="AO173" s="27"/>
      <c r="AP173" s="26"/>
    </row>
    <row r="174" spans="28:42" ht="16.5" customHeight="1">
      <c r="AB174" s="26"/>
      <c r="AC174" s="27"/>
      <c r="AD174" s="27"/>
      <c r="AE174" s="27"/>
      <c r="AF174" s="27"/>
      <c r="AG174" s="27"/>
      <c r="AH174" s="27"/>
      <c r="AI174" s="27"/>
      <c r="AJ174" s="27"/>
      <c r="AK174" s="27"/>
      <c r="AL174" s="27"/>
      <c r="AM174" s="27"/>
      <c r="AN174" s="27"/>
      <c r="AO174" s="27"/>
      <c r="AP174" s="26"/>
    </row>
    <row r="175" spans="28:42" ht="16.5" customHeight="1">
      <c r="AB175" s="26"/>
      <c r="AC175" s="27"/>
      <c r="AD175" s="27"/>
      <c r="AE175" s="27"/>
      <c r="AF175" s="27"/>
      <c r="AG175" s="27"/>
      <c r="AH175" s="27"/>
      <c r="AI175" s="27"/>
      <c r="AJ175" s="27"/>
      <c r="AK175" s="27"/>
      <c r="AL175" s="27"/>
      <c r="AM175" s="27"/>
      <c r="AN175" s="27"/>
      <c r="AO175" s="27"/>
      <c r="AP175" s="26"/>
    </row>
    <row r="176" spans="28:42" ht="16.5" customHeight="1">
      <c r="AB176" s="26"/>
      <c r="AC176" s="27"/>
      <c r="AD176" s="27"/>
      <c r="AE176" s="27"/>
      <c r="AF176" s="27"/>
      <c r="AG176" s="27"/>
      <c r="AH176" s="27"/>
      <c r="AI176" s="27"/>
      <c r="AJ176" s="27"/>
      <c r="AK176" s="27"/>
      <c r="AL176" s="27"/>
      <c r="AM176" s="27"/>
      <c r="AN176" s="27"/>
      <c r="AO176" s="27"/>
      <c r="AP176" s="26"/>
    </row>
    <row r="177" spans="28:42" ht="16.5" customHeight="1">
      <c r="AB177" s="26"/>
      <c r="AC177" s="27"/>
      <c r="AD177" s="27"/>
      <c r="AE177" s="27"/>
      <c r="AF177" s="27"/>
      <c r="AG177" s="27"/>
      <c r="AH177" s="27"/>
      <c r="AI177" s="27"/>
      <c r="AJ177" s="27"/>
      <c r="AK177" s="27"/>
      <c r="AL177" s="27"/>
      <c r="AM177" s="27"/>
      <c r="AN177" s="27"/>
      <c r="AO177" s="27"/>
      <c r="AP177" s="26"/>
    </row>
    <row r="178" spans="28:42" ht="16.5" customHeight="1">
      <c r="AB178" s="26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7"/>
      <c r="AN178" s="27"/>
      <c r="AO178" s="27"/>
      <c r="AP178" s="26"/>
    </row>
    <row r="179" spans="28:42" ht="16.5" customHeight="1">
      <c r="AB179" s="26"/>
      <c r="AC179" s="27"/>
      <c r="AD179" s="27"/>
      <c r="AE179" s="27"/>
      <c r="AF179" s="27"/>
      <c r="AG179" s="27"/>
      <c r="AH179" s="27"/>
      <c r="AI179" s="27"/>
      <c r="AJ179" s="27"/>
      <c r="AK179" s="27"/>
      <c r="AL179" s="27"/>
      <c r="AM179" s="27"/>
      <c r="AN179" s="27"/>
      <c r="AO179" s="27"/>
      <c r="AP179" s="26"/>
    </row>
    <row r="180" spans="28:42" ht="16.5" customHeight="1">
      <c r="AB180" s="26"/>
      <c r="AC180" s="27"/>
      <c r="AD180" s="27"/>
      <c r="AE180" s="27"/>
      <c r="AF180" s="27"/>
      <c r="AG180" s="27"/>
      <c r="AH180" s="27"/>
      <c r="AI180" s="27"/>
      <c r="AJ180" s="27"/>
      <c r="AK180" s="27"/>
      <c r="AL180" s="27"/>
      <c r="AM180" s="27"/>
      <c r="AN180" s="27"/>
      <c r="AO180" s="27"/>
      <c r="AP180" s="26"/>
    </row>
    <row r="181" spans="28:42" ht="16.5" customHeight="1">
      <c r="AB181" s="26"/>
      <c r="AC181" s="27"/>
      <c r="AD181" s="27"/>
      <c r="AE181" s="27"/>
      <c r="AF181" s="27"/>
      <c r="AG181" s="27"/>
      <c r="AH181" s="27"/>
      <c r="AI181" s="27"/>
      <c r="AJ181" s="27"/>
      <c r="AK181" s="27"/>
      <c r="AL181" s="27"/>
      <c r="AM181" s="27"/>
      <c r="AN181" s="27"/>
      <c r="AO181" s="27"/>
      <c r="AP181" s="26"/>
    </row>
    <row r="182" spans="28:42" ht="16.5" customHeight="1">
      <c r="AB182" s="26"/>
      <c r="AC182" s="27"/>
      <c r="AD182" s="27"/>
      <c r="AE182" s="27"/>
      <c r="AF182" s="27"/>
      <c r="AG182" s="27"/>
      <c r="AH182" s="27"/>
      <c r="AI182" s="27"/>
      <c r="AJ182" s="27"/>
      <c r="AK182" s="27"/>
      <c r="AL182" s="27"/>
      <c r="AM182" s="27"/>
      <c r="AN182" s="27"/>
      <c r="AO182" s="27"/>
      <c r="AP182" s="26"/>
    </row>
    <row r="183" spans="28:42" ht="16.5" customHeight="1">
      <c r="AB183" s="26"/>
      <c r="AC183" s="27"/>
      <c r="AD183" s="27"/>
      <c r="AE183" s="27"/>
      <c r="AF183" s="27"/>
      <c r="AG183" s="27"/>
      <c r="AH183" s="27"/>
      <c r="AI183" s="27"/>
      <c r="AJ183" s="27"/>
      <c r="AK183" s="27"/>
      <c r="AL183" s="27"/>
      <c r="AM183" s="27"/>
      <c r="AN183" s="27"/>
      <c r="AO183" s="27"/>
      <c r="AP183" s="26"/>
    </row>
    <row r="184" spans="28:42" ht="16.5" customHeight="1">
      <c r="AB184" s="26"/>
      <c r="AC184" s="27"/>
      <c r="AD184" s="27"/>
      <c r="AE184" s="27"/>
      <c r="AF184" s="27"/>
      <c r="AG184" s="27"/>
      <c r="AH184" s="27"/>
      <c r="AI184" s="27"/>
      <c r="AJ184" s="27"/>
      <c r="AK184" s="27"/>
      <c r="AL184" s="27"/>
      <c r="AM184" s="27"/>
      <c r="AN184" s="27"/>
      <c r="AO184" s="27"/>
      <c r="AP184" s="26"/>
    </row>
    <row r="185" spans="28:42" ht="16.5" customHeight="1">
      <c r="AB185" s="26"/>
      <c r="AC185" s="27"/>
      <c r="AD185" s="27"/>
      <c r="AE185" s="27"/>
      <c r="AF185" s="27"/>
      <c r="AG185" s="27"/>
      <c r="AH185" s="27"/>
      <c r="AI185" s="27"/>
      <c r="AJ185" s="27"/>
      <c r="AK185" s="27"/>
      <c r="AL185" s="27"/>
      <c r="AM185" s="27"/>
      <c r="AN185" s="27"/>
      <c r="AO185" s="27"/>
      <c r="AP185" s="26"/>
    </row>
    <row r="186" spans="28:42" ht="16.5" customHeight="1">
      <c r="AB186" s="26"/>
      <c r="AC186" s="27"/>
      <c r="AD186" s="27"/>
      <c r="AE186" s="27"/>
      <c r="AF186" s="27"/>
      <c r="AG186" s="27"/>
      <c r="AH186" s="27"/>
      <c r="AI186" s="27"/>
      <c r="AJ186" s="27"/>
      <c r="AK186" s="27"/>
      <c r="AL186" s="27"/>
      <c r="AM186" s="27"/>
      <c r="AN186" s="27"/>
      <c r="AO186" s="27"/>
      <c r="AP186" s="26"/>
    </row>
    <row r="187" spans="28:42" ht="16.5" customHeight="1">
      <c r="AB187" s="26"/>
      <c r="AC187" s="27"/>
      <c r="AD187" s="27"/>
      <c r="AE187" s="27"/>
      <c r="AF187" s="27"/>
      <c r="AG187" s="27"/>
      <c r="AH187" s="27"/>
      <c r="AI187" s="27"/>
      <c r="AJ187" s="27"/>
      <c r="AK187" s="27"/>
      <c r="AL187" s="27"/>
      <c r="AM187" s="27"/>
      <c r="AN187" s="27"/>
      <c r="AO187" s="27"/>
      <c r="AP187" s="26"/>
    </row>
    <row r="188" spans="28:42" ht="16.5" customHeight="1">
      <c r="AB188" s="26"/>
      <c r="AC188" s="27"/>
      <c r="AD188" s="27"/>
      <c r="AE188" s="27"/>
      <c r="AF188" s="27"/>
      <c r="AG188" s="27"/>
      <c r="AH188" s="27"/>
      <c r="AI188" s="27"/>
      <c r="AJ188" s="27"/>
      <c r="AK188" s="27"/>
      <c r="AL188" s="27"/>
      <c r="AM188" s="27"/>
      <c r="AN188" s="27"/>
      <c r="AO188" s="27"/>
      <c r="AP188" s="26"/>
    </row>
    <row r="189" spans="28:42" ht="16.5" customHeight="1">
      <c r="AB189" s="26"/>
      <c r="AC189" s="27"/>
      <c r="AD189" s="27"/>
      <c r="AE189" s="27"/>
      <c r="AF189" s="27"/>
      <c r="AG189" s="27"/>
      <c r="AH189" s="27"/>
      <c r="AI189" s="27"/>
      <c r="AJ189" s="27"/>
      <c r="AK189" s="27"/>
      <c r="AL189" s="27"/>
      <c r="AM189" s="27"/>
      <c r="AN189" s="27"/>
      <c r="AO189" s="27"/>
      <c r="AP189" s="26"/>
    </row>
    <row r="190" spans="28:42" ht="16.5" customHeight="1">
      <c r="AB190" s="26"/>
      <c r="AC190" s="27"/>
      <c r="AD190" s="27"/>
      <c r="AE190" s="27"/>
      <c r="AF190" s="27"/>
      <c r="AG190" s="27"/>
      <c r="AH190" s="27"/>
      <c r="AI190" s="27"/>
      <c r="AJ190" s="27"/>
      <c r="AK190" s="27"/>
      <c r="AL190" s="27"/>
      <c r="AM190" s="27"/>
      <c r="AN190" s="27"/>
      <c r="AO190" s="27"/>
      <c r="AP190" s="26"/>
    </row>
    <row r="191" spans="28:42" ht="16.5" customHeight="1">
      <c r="AB191" s="26"/>
      <c r="AC191" s="27"/>
      <c r="AD191" s="27"/>
      <c r="AE191" s="27"/>
      <c r="AF191" s="27"/>
      <c r="AG191" s="27"/>
      <c r="AH191" s="27"/>
      <c r="AI191" s="27"/>
      <c r="AJ191" s="27"/>
      <c r="AK191" s="27"/>
      <c r="AL191" s="27"/>
      <c r="AM191" s="27"/>
      <c r="AN191" s="27"/>
      <c r="AO191" s="27"/>
      <c r="AP191" s="26"/>
    </row>
    <row r="192" spans="28:42" ht="16.5" customHeight="1">
      <c r="AB192" s="26"/>
      <c r="AC192" s="27"/>
      <c r="AD192" s="27"/>
      <c r="AE192" s="27"/>
      <c r="AF192" s="27"/>
      <c r="AG192" s="27"/>
      <c r="AH192" s="27"/>
      <c r="AI192" s="27"/>
      <c r="AJ192" s="27"/>
      <c r="AK192" s="27"/>
      <c r="AL192" s="27"/>
      <c r="AM192" s="27"/>
      <c r="AN192" s="27"/>
      <c r="AO192" s="27"/>
      <c r="AP192" s="26"/>
    </row>
    <row r="193" spans="28:42" ht="16.5" customHeight="1">
      <c r="AB193" s="26"/>
      <c r="AC193" s="27"/>
      <c r="AD193" s="27"/>
      <c r="AE193" s="27"/>
      <c r="AF193" s="27"/>
      <c r="AG193" s="27"/>
      <c r="AH193" s="27"/>
      <c r="AI193" s="27"/>
      <c r="AJ193" s="27"/>
      <c r="AK193" s="27"/>
      <c r="AL193" s="27"/>
      <c r="AM193" s="27"/>
      <c r="AN193" s="27"/>
      <c r="AO193" s="27"/>
      <c r="AP193" s="26"/>
    </row>
    <row r="194" spans="28:42" ht="16.5" customHeight="1">
      <c r="AB194" s="26"/>
      <c r="AC194" s="27"/>
      <c r="AD194" s="27"/>
      <c r="AE194" s="27"/>
      <c r="AF194" s="27"/>
      <c r="AG194" s="27"/>
      <c r="AH194" s="27"/>
      <c r="AI194" s="27"/>
      <c r="AJ194" s="27"/>
      <c r="AK194" s="27"/>
      <c r="AL194" s="27"/>
      <c r="AM194" s="27"/>
      <c r="AN194" s="27"/>
      <c r="AO194" s="27"/>
      <c r="AP194" s="26"/>
    </row>
    <row r="195" spans="28:42" ht="16.5" customHeight="1">
      <c r="AB195" s="26"/>
      <c r="AC195" s="27"/>
      <c r="AD195" s="27"/>
      <c r="AE195" s="27"/>
      <c r="AF195" s="27"/>
      <c r="AG195" s="27"/>
      <c r="AH195" s="27"/>
      <c r="AI195" s="27"/>
      <c r="AJ195" s="27"/>
      <c r="AK195" s="27"/>
      <c r="AL195" s="27"/>
      <c r="AM195" s="27"/>
      <c r="AN195" s="27"/>
      <c r="AO195" s="27"/>
      <c r="AP195" s="26"/>
    </row>
    <row r="196" spans="28:42" ht="16.5" customHeight="1">
      <c r="AB196" s="26"/>
      <c r="AC196" s="27"/>
      <c r="AD196" s="27"/>
      <c r="AE196" s="27"/>
      <c r="AF196" s="27"/>
      <c r="AG196" s="27"/>
      <c r="AH196" s="27"/>
      <c r="AI196" s="27"/>
      <c r="AJ196" s="27"/>
      <c r="AK196" s="27"/>
      <c r="AL196" s="27"/>
      <c r="AM196" s="27"/>
      <c r="AN196" s="27"/>
      <c r="AO196" s="27"/>
      <c r="AP196" s="26"/>
    </row>
    <row r="197" spans="28:42" ht="16.5" customHeight="1">
      <c r="AB197" s="26"/>
      <c r="AC197" s="27"/>
      <c r="AD197" s="27"/>
      <c r="AE197" s="27"/>
      <c r="AF197" s="27"/>
      <c r="AG197" s="27"/>
      <c r="AH197" s="27"/>
      <c r="AI197" s="27"/>
      <c r="AJ197" s="27"/>
      <c r="AK197" s="27"/>
      <c r="AL197" s="27"/>
      <c r="AM197" s="27"/>
      <c r="AN197" s="27"/>
      <c r="AO197" s="27"/>
      <c r="AP197" s="26"/>
    </row>
    <row r="198" spans="28:42" ht="16.5" customHeight="1">
      <c r="AB198" s="26"/>
      <c r="AC198" s="27"/>
      <c r="AD198" s="27"/>
      <c r="AE198" s="27"/>
      <c r="AF198" s="27"/>
      <c r="AG198" s="27"/>
      <c r="AH198" s="27"/>
      <c r="AI198" s="27"/>
      <c r="AJ198" s="27"/>
      <c r="AK198" s="27"/>
      <c r="AL198" s="27"/>
      <c r="AM198" s="27"/>
      <c r="AN198" s="27"/>
      <c r="AO198" s="27"/>
      <c r="AP198" s="26"/>
    </row>
    <row r="199" spans="28:42" ht="16.5" customHeight="1">
      <c r="AB199" s="26"/>
      <c r="AC199" s="27"/>
      <c r="AD199" s="27"/>
      <c r="AE199" s="27"/>
      <c r="AF199" s="27"/>
      <c r="AG199" s="27"/>
      <c r="AH199" s="27"/>
      <c r="AI199" s="27"/>
      <c r="AJ199" s="27"/>
      <c r="AK199" s="27"/>
      <c r="AL199" s="27"/>
      <c r="AM199" s="27"/>
      <c r="AN199" s="27"/>
      <c r="AO199" s="27"/>
      <c r="AP199" s="26"/>
    </row>
    <row r="200" spans="28:42" ht="16.5" customHeight="1">
      <c r="AB200" s="26"/>
      <c r="AC200" s="27"/>
      <c r="AD200" s="27"/>
      <c r="AE200" s="27"/>
      <c r="AF200" s="27"/>
      <c r="AG200" s="27"/>
      <c r="AH200" s="27"/>
      <c r="AI200" s="27"/>
      <c r="AJ200" s="27"/>
      <c r="AK200" s="27"/>
      <c r="AL200" s="27"/>
      <c r="AM200" s="27"/>
      <c r="AN200" s="27"/>
      <c r="AO200" s="27"/>
      <c r="AP200" s="26"/>
    </row>
    <row r="201" spans="28:42" ht="16.5" customHeight="1">
      <c r="AB201" s="26"/>
      <c r="AC201" s="27"/>
      <c r="AD201" s="27"/>
      <c r="AE201" s="27"/>
      <c r="AF201" s="27"/>
      <c r="AG201" s="27"/>
      <c r="AH201" s="27"/>
      <c r="AI201" s="27"/>
      <c r="AJ201" s="27"/>
      <c r="AK201" s="27"/>
      <c r="AL201" s="27"/>
      <c r="AM201" s="27"/>
      <c r="AN201" s="27"/>
      <c r="AO201" s="27"/>
      <c r="AP201" s="26"/>
    </row>
    <row r="202" spans="28:42" ht="16.5" customHeight="1">
      <c r="AB202" s="26"/>
      <c r="AC202" s="27"/>
      <c r="AD202" s="27"/>
      <c r="AE202" s="27"/>
      <c r="AF202" s="27"/>
      <c r="AG202" s="27"/>
      <c r="AH202" s="27"/>
      <c r="AI202" s="27"/>
      <c r="AJ202" s="27"/>
      <c r="AK202" s="27"/>
      <c r="AL202" s="27"/>
      <c r="AM202" s="27"/>
      <c r="AN202" s="27"/>
      <c r="AO202" s="27"/>
      <c r="AP202" s="26"/>
    </row>
    <row r="203" spans="28:42" ht="16.5" customHeight="1">
      <c r="AB203" s="26"/>
      <c r="AC203" s="27"/>
      <c r="AD203" s="27"/>
      <c r="AE203" s="27"/>
      <c r="AF203" s="27"/>
      <c r="AG203" s="27"/>
      <c r="AH203" s="27"/>
      <c r="AI203" s="27"/>
      <c r="AJ203" s="27"/>
      <c r="AK203" s="27"/>
      <c r="AL203" s="27"/>
      <c r="AM203" s="27"/>
      <c r="AN203" s="27"/>
      <c r="AO203" s="27"/>
      <c r="AP203" s="26"/>
    </row>
    <row r="204" spans="28:42" ht="16.5" customHeight="1">
      <c r="AB204" s="26"/>
      <c r="AC204" s="27"/>
      <c r="AD204" s="27"/>
      <c r="AE204" s="27"/>
      <c r="AF204" s="27"/>
      <c r="AG204" s="27"/>
      <c r="AH204" s="27"/>
      <c r="AI204" s="27"/>
      <c r="AJ204" s="27"/>
      <c r="AK204" s="27"/>
      <c r="AL204" s="27"/>
      <c r="AM204" s="27"/>
      <c r="AN204" s="27"/>
      <c r="AO204" s="27"/>
      <c r="AP204" s="26"/>
    </row>
    <row r="205" spans="28:42" ht="16.5" customHeight="1">
      <c r="AB205" s="26"/>
      <c r="AC205" s="27"/>
      <c r="AD205" s="27"/>
      <c r="AE205" s="27"/>
      <c r="AF205" s="27"/>
      <c r="AG205" s="27"/>
      <c r="AH205" s="27"/>
      <c r="AI205" s="27"/>
      <c r="AJ205" s="27"/>
      <c r="AK205" s="27"/>
      <c r="AL205" s="27"/>
      <c r="AM205" s="27"/>
      <c r="AN205" s="27"/>
      <c r="AO205" s="27"/>
      <c r="AP205" s="26"/>
    </row>
    <row r="206" spans="28:42" ht="16.5" customHeight="1">
      <c r="AB206" s="26"/>
      <c r="AC206" s="27"/>
      <c r="AD206" s="27"/>
      <c r="AE206" s="27"/>
      <c r="AF206" s="27"/>
      <c r="AG206" s="27"/>
      <c r="AH206" s="27"/>
      <c r="AI206" s="27"/>
      <c r="AJ206" s="27"/>
      <c r="AK206" s="27"/>
      <c r="AL206" s="27"/>
      <c r="AM206" s="27"/>
      <c r="AN206" s="27"/>
      <c r="AO206" s="27"/>
      <c r="AP206" s="26"/>
    </row>
    <row r="207" spans="28:42" ht="16.5" customHeight="1">
      <c r="AB207" s="26"/>
      <c r="AC207" s="27"/>
      <c r="AD207" s="27"/>
      <c r="AE207" s="27"/>
      <c r="AF207" s="27"/>
      <c r="AG207" s="27"/>
      <c r="AH207" s="27"/>
      <c r="AI207" s="27"/>
      <c r="AJ207" s="27"/>
      <c r="AK207" s="27"/>
      <c r="AL207" s="27"/>
      <c r="AM207" s="27"/>
      <c r="AN207" s="27"/>
      <c r="AO207" s="27"/>
      <c r="AP207" s="26"/>
    </row>
    <row r="208" spans="28:42" ht="16.5" customHeight="1">
      <c r="AB208" s="26"/>
      <c r="AC208" s="27"/>
      <c r="AD208" s="27"/>
      <c r="AE208" s="27"/>
      <c r="AF208" s="27"/>
      <c r="AG208" s="27"/>
      <c r="AH208" s="27"/>
      <c r="AI208" s="27"/>
      <c r="AJ208" s="27"/>
      <c r="AK208" s="27"/>
      <c r="AL208" s="27"/>
      <c r="AM208" s="27"/>
      <c r="AN208" s="27"/>
      <c r="AO208" s="27"/>
      <c r="AP208" s="26"/>
    </row>
    <row r="209" spans="28:42" ht="16.5" customHeight="1">
      <c r="AB209" s="26"/>
      <c r="AC209" s="27"/>
      <c r="AD209" s="27"/>
      <c r="AE209" s="27"/>
      <c r="AF209" s="27"/>
      <c r="AG209" s="27"/>
      <c r="AH209" s="27"/>
      <c r="AI209" s="27"/>
      <c r="AJ209" s="27"/>
      <c r="AK209" s="27"/>
      <c r="AL209" s="27"/>
      <c r="AM209" s="27"/>
      <c r="AN209" s="27"/>
      <c r="AO209" s="27"/>
      <c r="AP209" s="26"/>
    </row>
    <row r="210" spans="28:42" ht="16.5" customHeight="1">
      <c r="AB210" s="26"/>
      <c r="AC210" s="27"/>
      <c r="AD210" s="27"/>
      <c r="AE210" s="27"/>
      <c r="AF210" s="27"/>
      <c r="AG210" s="27"/>
      <c r="AH210" s="27"/>
      <c r="AI210" s="27"/>
      <c r="AJ210" s="27"/>
      <c r="AK210" s="27"/>
      <c r="AL210" s="27"/>
      <c r="AM210" s="27"/>
      <c r="AN210" s="27"/>
      <c r="AO210" s="27"/>
      <c r="AP210" s="26"/>
    </row>
    <row r="211" spans="28:42" ht="16.5" customHeight="1">
      <c r="AB211" s="26"/>
      <c r="AC211" s="27"/>
      <c r="AD211" s="27"/>
      <c r="AE211" s="27"/>
      <c r="AF211" s="27"/>
      <c r="AG211" s="27"/>
      <c r="AH211" s="27"/>
      <c r="AI211" s="27"/>
      <c r="AJ211" s="27"/>
      <c r="AK211" s="27"/>
      <c r="AL211" s="27"/>
      <c r="AM211" s="27"/>
      <c r="AN211" s="27"/>
      <c r="AO211" s="27"/>
      <c r="AP211" s="26"/>
    </row>
    <row r="212" spans="28:42" ht="16.5" customHeight="1">
      <c r="AB212" s="26"/>
      <c r="AC212" s="27"/>
      <c r="AD212" s="27"/>
      <c r="AE212" s="27"/>
      <c r="AF212" s="27"/>
      <c r="AG212" s="27"/>
      <c r="AH212" s="27"/>
      <c r="AI212" s="27"/>
      <c r="AJ212" s="27"/>
      <c r="AK212" s="27"/>
      <c r="AL212" s="27"/>
      <c r="AM212" s="27"/>
      <c r="AN212" s="27"/>
      <c r="AO212" s="27"/>
      <c r="AP212" s="26"/>
    </row>
    <row r="213" spans="28:42" ht="16.5" customHeight="1">
      <c r="AB213" s="26"/>
      <c r="AC213" s="27"/>
      <c r="AD213" s="27"/>
      <c r="AE213" s="27"/>
      <c r="AF213" s="27"/>
      <c r="AG213" s="27"/>
      <c r="AH213" s="27"/>
      <c r="AI213" s="27"/>
      <c r="AJ213" s="27"/>
      <c r="AK213" s="27"/>
      <c r="AL213" s="27"/>
      <c r="AM213" s="27"/>
      <c r="AN213" s="27"/>
      <c r="AO213" s="27"/>
      <c r="AP213" s="26"/>
    </row>
    <row r="214" spans="28:42" ht="16.5" customHeight="1">
      <c r="AB214" s="26"/>
      <c r="AC214" s="27"/>
      <c r="AD214" s="27"/>
      <c r="AE214" s="27"/>
      <c r="AF214" s="27"/>
      <c r="AG214" s="27"/>
      <c r="AH214" s="27"/>
      <c r="AI214" s="27"/>
      <c r="AJ214" s="27"/>
      <c r="AK214" s="27"/>
      <c r="AL214" s="27"/>
      <c r="AM214" s="27"/>
      <c r="AN214" s="27"/>
      <c r="AO214" s="27"/>
      <c r="AP214" s="26"/>
    </row>
    <row r="215" spans="28:42" ht="16.5" customHeight="1">
      <c r="AB215" s="26"/>
      <c r="AC215" s="27"/>
      <c r="AD215" s="27"/>
      <c r="AE215" s="27"/>
      <c r="AF215" s="27"/>
      <c r="AG215" s="27"/>
      <c r="AH215" s="27"/>
      <c r="AI215" s="27"/>
      <c r="AJ215" s="27"/>
      <c r="AK215" s="27"/>
      <c r="AL215" s="27"/>
      <c r="AM215" s="27"/>
      <c r="AN215" s="27"/>
      <c r="AO215" s="27"/>
      <c r="AP215" s="26"/>
    </row>
    <row r="216" spans="28:42" ht="16.5" customHeight="1">
      <c r="AB216" s="26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7"/>
      <c r="AN216" s="27"/>
      <c r="AO216" s="27"/>
      <c r="AP216" s="26"/>
    </row>
    <row r="217" spans="28:42" ht="16.5" customHeight="1">
      <c r="AB217" s="26"/>
      <c r="AC217" s="27"/>
      <c r="AD217" s="27"/>
      <c r="AE217" s="27"/>
      <c r="AF217" s="27"/>
      <c r="AG217" s="27"/>
      <c r="AH217" s="27"/>
      <c r="AI217" s="27"/>
      <c r="AJ217" s="27"/>
      <c r="AK217" s="27"/>
      <c r="AL217" s="27"/>
      <c r="AM217" s="27"/>
      <c r="AN217" s="27"/>
      <c r="AO217" s="27"/>
      <c r="AP217" s="26"/>
    </row>
    <row r="218" spans="28:42" ht="16.5" customHeight="1">
      <c r="AB218" s="26"/>
      <c r="AC218" s="27"/>
      <c r="AD218" s="27"/>
      <c r="AE218" s="27"/>
      <c r="AF218" s="27"/>
      <c r="AG218" s="27"/>
      <c r="AH218" s="27"/>
      <c r="AI218" s="27"/>
      <c r="AJ218" s="27"/>
      <c r="AK218" s="27"/>
      <c r="AL218" s="27"/>
      <c r="AM218" s="27"/>
      <c r="AN218" s="27"/>
      <c r="AO218" s="27"/>
      <c r="AP218" s="26"/>
    </row>
    <row r="219" spans="28:42" ht="16.5" customHeight="1">
      <c r="AB219" s="26"/>
      <c r="AC219" s="27"/>
      <c r="AD219" s="27"/>
      <c r="AE219" s="27"/>
      <c r="AF219" s="27"/>
      <c r="AG219" s="27"/>
      <c r="AH219" s="27"/>
      <c r="AI219" s="27"/>
      <c r="AJ219" s="27"/>
      <c r="AK219" s="27"/>
      <c r="AL219" s="27"/>
      <c r="AM219" s="27"/>
      <c r="AN219" s="27"/>
      <c r="AO219" s="27"/>
      <c r="AP219" s="26"/>
    </row>
    <row r="220" spans="28:42" ht="16.5" customHeight="1">
      <c r="AB220" s="26"/>
      <c r="AC220" s="27"/>
      <c r="AD220" s="27"/>
      <c r="AE220" s="27"/>
      <c r="AF220" s="27"/>
      <c r="AG220" s="27"/>
      <c r="AH220" s="27"/>
      <c r="AI220" s="27"/>
      <c r="AJ220" s="27"/>
      <c r="AK220" s="27"/>
      <c r="AL220" s="27"/>
      <c r="AM220" s="27"/>
      <c r="AN220" s="27"/>
      <c r="AO220" s="27"/>
      <c r="AP220" s="26"/>
    </row>
    <row r="221" spans="28:42" ht="16.5" customHeight="1">
      <c r="AB221" s="26"/>
      <c r="AC221" s="27"/>
      <c r="AD221" s="27"/>
      <c r="AE221" s="27"/>
      <c r="AF221" s="27"/>
      <c r="AG221" s="27"/>
      <c r="AH221" s="27"/>
      <c r="AI221" s="27"/>
      <c r="AJ221" s="27"/>
      <c r="AK221" s="27"/>
      <c r="AL221" s="27"/>
      <c r="AM221" s="27"/>
      <c r="AN221" s="27"/>
      <c r="AO221" s="27"/>
      <c r="AP221" s="26"/>
    </row>
    <row r="222" spans="28:42" ht="16.5" customHeight="1">
      <c r="AB222" s="26"/>
      <c r="AC222" s="27"/>
      <c r="AD222" s="27"/>
      <c r="AE222" s="27"/>
      <c r="AF222" s="27"/>
      <c r="AG222" s="27"/>
      <c r="AH222" s="27"/>
      <c r="AI222" s="27"/>
      <c r="AJ222" s="27"/>
      <c r="AK222" s="27"/>
      <c r="AL222" s="27"/>
      <c r="AM222" s="27"/>
      <c r="AN222" s="27"/>
      <c r="AO222" s="27"/>
      <c r="AP222" s="26"/>
    </row>
    <row r="223" spans="28:42" ht="16.5" customHeight="1">
      <c r="AB223" s="26"/>
      <c r="AC223" s="27"/>
      <c r="AD223" s="27"/>
      <c r="AE223" s="27"/>
      <c r="AF223" s="27"/>
      <c r="AG223" s="27"/>
      <c r="AH223" s="27"/>
      <c r="AI223" s="27"/>
      <c r="AJ223" s="27"/>
      <c r="AK223" s="27"/>
      <c r="AL223" s="27"/>
      <c r="AM223" s="27"/>
      <c r="AN223" s="27"/>
      <c r="AO223" s="27"/>
      <c r="AP223" s="26"/>
    </row>
    <row r="224" spans="28:42" ht="16.5" customHeight="1">
      <c r="AB224" s="26"/>
      <c r="AC224" s="27"/>
      <c r="AD224" s="27"/>
      <c r="AE224" s="27"/>
      <c r="AF224" s="27"/>
      <c r="AG224" s="27"/>
      <c r="AH224" s="27"/>
      <c r="AI224" s="27"/>
      <c r="AJ224" s="27"/>
      <c r="AK224" s="27"/>
      <c r="AL224" s="27"/>
      <c r="AM224" s="27"/>
      <c r="AN224" s="27"/>
      <c r="AO224" s="27"/>
      <c r="AP224" s="26"/>
    </row>
    <row r="225" spans="28:42" ht="16.5" customHeight="1">
      <c r="AB225" s="26"/>
      <c r="AC225" s="27"/>
      <c r="AD225" s="27"/>
      <c r="AE225" s="27"/>
      <c r="AF225" s="27"/>
      <c r="AG225" s="27"/>
      <c r="AH225" s="27"/>
      <c r="AI225" s="27"/>
      <c r="AJ225" s="27"/>
      <c r="AK225" s="27"/>
      <c r="AL225" s="27"/>
      <c r="AM225" s="27"/>
      <c r="AN225" s="27"/>
      <c r="AO225" s="27"/>
      <c r="AP225" s="26"/>
    </row>
    <row r="226" spans="28:42" ht="16.5" customHeight="1">
      <c r="AB226" s="26"/>
      <c r="AC226" s="27"/>
      <c r="AD226" s="27"/>
      <c r="AE226" s="27"/>
      <c r="AF226" s="27"/>
      <c r="AG226" s="27"/>
      <c r="AH226" s="27"/>
      <c r="AI226" s="27"/>
      <c r="AJ226" s="27"/>
      <c r="AK226" s="27"/>
      <c r="AL226" s="27"/>
      <c r="AM226" s="27"/>
      <c r="AN226" s="27"/>
      <c r="AO226" s="27"/>
      <c r="AP226" s="26"/>
    </row>
    <row r="227" spans="28:42" ht="16.5" customHeight="1">
      <c r="AB227" s="26"/>
      <c r="AC227" s="27"/>
      <c r="AD227" s="27"/>
      <c r="AE227" s="27"/>
      <c r="AF227" s="27"/>
      <c r="AG227" s="27"/>
      <c r="AH227" s="27"/>
      <c r="AI227" s="27"/>
      <c r="AJ227" s="27"/>
      <c r="AK227" s="27"/>
      <c r="AL227" s="27"/>
      <c r="AM227" s="27"/>
      <c r="AN227" s="27"/>
      <c r="AO227" s="27"/>
      <c r="AP227" s="26"/>
    </row>
    <row r="228" spans="28:42" ht="16.5" customHeight="1">
      <c r="AB228" s="26"/>
      <c r="AC228" s="27"/>
      <c r="AD228" s="27"/>
      <c r="AE228" s="27"/>
      <c r="AF228" s="27"/>
      <c r="AG228" s="27"/>
      <c r="AH228" s="27"/>
      <c r="AI228" s="27"/>
      <c r="AJ228" s="27"/>
      <c r="AK228" s="27"/>
      <c r="AL228" s="27"/>
      <c r="AM228" s="27"/>
      <c r="AN228" s="27"/>
      <c r="AO228" s="27"/>
      <c r="AP228" s="26"/>
    </row>
    <row r="229" spans="28:42" ht="16.5" customHeight="1">
      <c r="AB229" s="26"/>
      <c r="AC229" s="27"/>
      <c r="AD229" s="27"/>
      <c r="AE229" s="27"/>
      <c r="AF229" s="27"/>
      <c r="AG229" s="27"/>
      <c r="AH229" s="27"/>
      <c r="AI229" s="27"/>
      <c r="AJ229" s="27"/>
      <c r="AK229" s="27"/>
      <c r="AL229" s="27"/>
      <c r="AM229" s="27"/>
      <c r="AN229" s="27"/>
      <c r="AO229" s="27"/>
      <c r="AP229" s="26"/>
    </row>
    <row r="230" spans="28:42" ht="16.5" customHeight="1">
      <c r="AB230" s="26"/>
      <c r="AC230" s="27"/>
      <c r="AD230" s="27"/>
      <c r="AE230" s="27"/>
      <c r="AF230" s="27"/>
      <c r="AG230" s="27"/>
      <c r="AH230" s="27"/>
      <c r="AI230" s="27"/>
      <c r="AJ230" s="27"/>
      <c r="AK230" s="27"/>
      <c r="AL230" s="27"/>
      <c r="AM230" s="27"/>
      <c r="AN230" s="27"/>
      <c r="AO230" s="27"/>
      <c r="AP230" s="26"/>
    </row>
    <row r="231" spans="28:42" ht="16.5" customHeight="1">
      <c r="AB231" s="26"/>
      <c r="AC231" s="27"/>
      <c r="AD231" s="27"/>
      <c r="AE231" s="27"/>
      <c r="AF231" s="27"/>
      <c r="AG231" s="27"/>
      <c r="AH231" s="27"/>
      <c r="AI231" s="27"/>
      <c r="AJ231" s="27"/>
      <c r="AK231" s="27"/>
      <c r="AL231" s="27"/>
      <c r="AM231" s="27"/>
      <c r="AN231" s="27"/>
      <c r="AO231" s="27"/>
      <c r="AP231" s="26"/>
    </row>
    <row r="232" spans="28:42" ht="16.5" customHeight="1">
      <c r="AB232" s="26"/>
      <c r="AC232" s="27"/>
      <c r="AD232" s="27"/>
      <c r="AE232" s="27"/>
      <c r="AF232" s="27"/>
      <c r="AG232" s="27"/>
      <c r="AH232" s="27"/>
      <c r="AI232" s="27"/>
      <c r="AJ232" s="27"/>
      <c r="AK232" s="27"/>
      <c r="AL232" s="27"/>
      <c r="AM232" s="27"/>
      <c r="AN232" s="27"/>
      <c r="AO232" s="27"/>
      <c r="AP232" s="26"/>
    </row>
    <row r="233" spans="28:42" ht="16.5" customHeight="1">
      <c r="AB233" s="26"/>
      <c r="AC233" s="27"/>
      <c r="AD233" s="27"/>
      <c r="AE233" s="27"/>
      <c r="AF233" s="27"/>
      <c r="AG233" s="27"/>
      <c r="AH233" s="27"/>
      <c r="AI233" s="27"/>
      <c r="AJ233" s="27"/>
      <c r="AK233" s="27"/>
      <c r="AL233" s="27"/>
      <c r="AM233" s="27"/>
      <c r="AN233" s="27"/>
      <c r="AO233" s="27"/>
      <c r="AP233" s="26"/>
    </row>
    <row r="234" spans="28:42" ht="16.5" customHeight="1">
      <c r="AB234" s="26"/>
      <c r="AC234" s="27"/>
      <c r="AD234" s="27"/>
      <c r="AE234" s="27"/>
      <c r="AF234" s="27"/>
      <c r="AG234" s="27"/>
      <c r="AH234" s="27"/>
      <c r="AI234" s="27"/>
      <c r="AJ234" s="27"/>
      <c r="AK234" s="27"/>
      <c r="AL234" s="27"/>
      <c r="AM234" s="27"/>
      <c r="AN234" s="27"/>
      <c r="AO234" s="27"/>
      <c r="AP234" s="26"/>
    </row>
    <row r="235" spans="28:42" ht="16.5" customHeight="1">
      <c r="AB235" s="26"/>
      <c r="AC235" s="27"/>
      <c r="AD235" s="27"/>
      <c r="AE235" s="27"/>
      <c r="AF235" s="27"/>
      <c r="AG235" s="27"/>
      <c r="AH235" s="27"/>
      <c r="AI235" s="27"/>
      <c r="AJ235" s="27"/>
      <c r="AK235" s="27"/>
      <c r="AL235" s="27"/>
      <c r="AM235" s="27"/>
      <c r="AN235" s="27"/>
      <c r="AO235" s="27"/>
      <c r="AP235" s="26"/>
    </row>
    <row r="236" spans="28:42" ht="16.5" customHeight="1">
      <c r="AB236" s="26"/>
      <c r="AC236" s="27"/>
      <c r="AD236" s="27"/>
      <c r="AE236" s="27"/>
      <c r="AF236" s="27"/>
      <c r="AG236" s="27"/>
      <c r="AH236" s="27"/>
      <c r="AI236" s="27"/>
      <c r="AJ236" s="27"/>
      <c r="AK236" s="27"/>
      <c r="AL236" s="27"/>
      <c r="AM236" s="27"/>
      <c r="AN236" s="27"/>
      <c r="AO236" s="27"/>
      <c r="AP236" s="26"/>
    </row>
    <row r="237" spans="28:42" ht="16.5" customHeight="1">
      <c r="AB237" s="26"/>
      <c r="AC237" s="27"/>
      <c r="AD237" s="27"/>
      <c r="AE237" s="27"/>
      <c r="AF237" s="27"/>
      <c r="AG237" s="27"/>
      <c r="AH237" s="27"/>
      <c r="AI237" s="27"/>
      <c r="AJ237" s="27"/>
      <c r="AK237" s="27"/>
      <c r="AL237" s="27"/>
      <c r="AM237" s="27"/>
      <c r="AN237" s="27"/>
      <c r="AO237" s="27"/>
      <c r="AP237" s="26"/>
    </row>
    <row r="238" spans="28:42" ht="16.5" customHeight="1">
      <c r="AB238" s="26"/>
      <c r="AC238" s="27"/>
      <c r="AD238" s="27"/>
      <c r="AE238" s="27"/>
      <c r="AF238" s="27"/>
      <c r="AG238" s="27"/>
      <c r="AH238" s="27"/>
      <c r="AI238" s="27"/>
      <c r="AJ238" s="27"/>
      <c r="AK238" s="27"/>
      <c r="AL238" s="27"/>
      <c r="AM238" s="27"/>
      <c r="AN238" s="27"/>
      <c r="AO238" s="27"/>
      <c r="AP238" s="26"/>
    </row>
    <row r="239" spans="28:42" ht="16.5" customHeight="1">
      <c r="AB239" s="26"/>
      <c r="AC239" s="27"/>
      <c r="AD239" s="27"/>
      <c r="AE239" s="27"/>
      <c r="AF239" s="27"/>
      <c r="AG239" s="27"/>
      <c r="AH239" s="27"/>
      <c r="AI239" s="27"/>
      <c r="AJ239" s="27"/>
      <c r="AK239" s="27"/>
      <c r="AL239" s="27"/>
      <c r="AM239" s="27"/>
      <c r="AN239" s="27"/>
      <c r="AO239" s="27"/>
      <c r="AP239" s="26"/>
    </row>
    <row r="240" spans="28:42" ht="16.5" customHeight="1">
      <c r="AB240" s="26"/>
      <c r="AC240" s="27"/>
      <c r="AD240" s="27"/>
      <c r="AE240" s="27"/>
      <c r="AF240" s="27"/>
      <c r="AG240" s="27"/>
      <c r="AH240" s="27"/>
      <c r="AI240" s="27"/>
      <c r="AJ240" s="27"/>
      <c r="AK240" s="27"/>
      <c r="AL240" s="27"/>
      <c r="AM240" s="27"/>
      <c r="AN240" s="27"/>
      <c r="AO240" s="27"/>
      <c r="AP240" s="26"/>
    </row>
    <row r="241" spans="28:42" ht="16.5" customHeight="1">
      <c r="AB241" s="26"/>
      <c r="AC241" s="27"/>
      <c r="AD241" s="27"/>
      <c r="AE241" s="27"/>
      <c r="AF241" s="27"/>
      <c r="AG241" s="27"/>
      <c r="AH241" s="27"/>
      <c r="AI241" s="27"/>
      <c r="AJ241" s="27"/>
      <c r="AK241" s="27"/>
      <c r="AL241" s="27"/>
      <c r="AM241" s="27"/>
      <c r="AN241" s="27"/>
      <c r="AO241" s="27"/>
      <c r="AP241" s="26"/>
    </row>
    <row r="242" spans="28:42" ht="16.5" customHeight="1">
      <c r="AB242" s="26"/>
      <c r="AC242" s="27"/>
      <c r="AD242" s="27"/>
      <c r="AE242" s="27"/>
      <c r="AF242" s="27"/>
      <c r="AG242" s="27"/>
      <c r="AH242" s="27"/>
      <c r="AI242" s="27"/>
      <c r="AJ242" s="27"/>
      <c r="AK242" s="27"/>
      <c r="AL242" s="27"/>
      <c r="AM242" s="27"/>
      <c r="AN242" s="27"/>
      <c r="AO242" s="27"/>
      <c r="AP242" s="26"/>
    </row>
    <row r="243" spans="28:42" ht="16.5" customHeight="1">
      <c r="AB243" s="26"/>
      <c r="AC243" s="27"/>
      <c r="AD243" s="27"/>
      <c r="AE243" s="27"/>
      <c r="AF243" s="27"/>
      <c r="AG243" s="27"/>
      <c r="AH243" s="27"/>
      <c r="AI243" s="27"/>
      <c r="AJ243" s="27"/>
      <c r="AK243" s="27"/>
      <c r="AL243" s="27"/>
      <c r="AM243" s="27"/>
      <c r="AN243" s="27"/>
      <c r="AO243" s="27"/>
      <c r="AP243" s="26"/>
    </row>
    <row r="244" spans="28:42" ht="16.5" customHeight="1">
      <c r="AB244" s="26"/>
      <c r="AC244" s="27"/>
      <c r="AD244" s="27"/>
      <c r="AE244" s="27"/>
      <c r="AF244" s="27"/>
      <c r="AG244" s="27"/>
      <c r="AH244" s="27"/>
      <c r="AI244" s="27"/>
      <c r="AJ244" s="27"/>
      <c r="AK244" s="27"/>
      <c r="AL244" s="27"/>
      <c r="AM244" s="27"/>
      <c r="AN244" s="27"/>
      <c r="AO244" s="27"/>
      <c r="AP244" s="26"/>
    </row>
    <row r="245" spans="28:42" ht="16.5" customHeight="1">
      <c r="AB245" s="26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6"/>
    </row>
    <row r="246" spans="28:42" ht="16.5" customHeight="1">
      <c r="AB246" s="26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  <c r="AP246" s="26"/>
    </row>
    <row r="247" spans="28:42" ht="16.5" customHeight="1">
      <c r="AB247" s="26"/>
      <c r="AC247" s="27"/>
      <c r="AD247" s="27"/>
      <c r="AE247" s="27"/>
      <c r="AF247" s="27"/>
      <c r="AG247" s="27"/>
      <c r="AH247" s="27"/>
      <c r="AI247" s="27"/>
      <c r="AJ247" s="27"/>
      <c r="AK247" s="27"/>
      <c r="AL247" s="27"/>
      <c r="AM247" s="27"/>
      <c r="AN247" s="27"/>
      <c r="AO247" s="27"/>
      <c r="AP247" s="26"/>
    </row>
    <row r="248" spans="28:42" ht="16.5" customHeight="1">
      <c r="AB248" s="26"/>
      <c r="AC248" s="27"/>
      <c r="AD248" s="27"/>
      <c r="AE248" s="27"/>
      <c r="AF248" s="27"/>
      <c r="AG248" s="27"/>
      <c r="AH248" s="27"/>
      <c r="AI248" s="27"/>
      <c r="AJ248" s="27"/>
      <c r="AK248" s="27"/>
      <c r="AL248" s="27"/>
      <c r="AM248" s="27"/>
      <c r="AN248" s="27"/>
      <c r="AO248" s="27"/>
      <c r="AP248" s="26"/>
    </row>
    <row r="249" spans="28:42" ht="16.5" customHeight="1">
      <c r="AB249" s="26"/>
      <c r="AC249" s="27"/>
      <c r="AD249" s="27"/>
      <c r="AE249" s="27"/>
      <c r="AF249" s="27"/>
      <c r="AG249" s="27"/>
      <c r="AH249" s="27"/>
      <c r="AI249" s="27"/>
      <c r="AJ249" s="27"/>
      <c r="AK249" s="27"/>
      <c r="AL249" s="27"/>
      <c r="AM249" s="27"/>
      <c r="AN249" s="27"/>
      <c r="AO249" s="27"/>
      <c r="AP249" s="26"/>
    </row>
    <row r="250" spans="28:42" ht="16.5" customHeight="1">
      <c r="AB250" s="26"/>
      <c r="AC250" s="27"/>
      <c r="AD250" s="27"/>
      <c r="AE250" s="27"/>
      <c r="AF250" s="27"/>
      <c r="AG250" s="27"/>
      <c r="AH250" s="27"/>
      <c r="AI250" s="27"/>
      <c r="AJ250" s="27"/>
      <c r="AK250" s="27"/>
      <c r="AL250" s="27"/>
      <c r="AM250" s="27"/>
      <c r="AN250" s="27"/>
      <c r="AO250" s="27"/>
      <c r="AP250" s="26"/>
    </row>
    <row r="251" spans="28:42" ht="16.5" customHeight="1">
      <c r="AB251" s="26"/>
      <c r="AC251" s="27"/>
      <c r="AD251" s="27"/>
      <c r="AE251" s="27"/>
      <c r="AF251" s="27"/>
      <c r="AG251" s="27"/>
      <c r="AH251" s="27"/>
      <c r="AI251" s="27"/>
      <c r="AJ251" s="27"/>
      <c r="AK251" s="27"/>
      <c r="AL251" s="27"/>
      <c r="AM251" s="27"/>
      <c r="AN251" s="27"/>
      <c r="AO251" s="27"/>
      <c r="AP251" s="26"/>
    </row>
    <row r="252" spans="28:42" ht="16.5" customHeight="1">
      <c r="AB252" s="26"/>
      <c r="AC252" s="27"/>
      <c r="AD252" s="27"/>
      <c r="AE252" s="27"/>
      <c r="AF252" s="27"/>
      <c r="AG252" s="27"/>
      <c r="AH252" s="27"/>
      <c r="AI252" s="27"/>
      <c r="AJ252" s="27"/>
      <c r="AK252" s="27"/>
      <c r="AL252" s="27"/>
      <c r="AM252" s="27"/>
      <c r="AN252" s="27"/>
      <c r="AO252" s="27"/>
      <c r="AP252" s="26"/>
    </row>
    <row r="253" spans="28:42" ht="16.5" customHeight="1">
      <c r="AB253" s="26"/>
      <c r="AC253" s="27"/>
      <c r="AD253" s="27"/>
      <c r="AE253" s="27"/>
      <c r="AF253" s="27"/>
      <c r="AG253" s="27"/>
      <c r="AH253" s="27"/>
      <c r="AI253" s="27"/>
      <c r="AJ253" s="27"/>
      <c r="AK253" s="27"/>
      <c r="AL253" s="27"/>
      <c r="AM253" s="27"/>
      <c r="AN253" s="27"/>
      <c r="AO253" s="27"/>
      <c r="AP253" s="26"/>
    </row>
    <row r="254" spans="28:42" ht="16.5" customHeight="1">
      <c r="AB254" s="26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7"/>
      <c r="AN254" s="27"/>
      <c r="AO254" s="27"/>
      <c r="AP254" s="26"/>
    </row>
    <row r="255" spans="28:42" ht="16.5" customHeight="1">
      <c r="AB255" s="26"/>
      <c r="AC255" s="27"/>
      <c r="AD255" s="27"/>
      <c r="AE255" s="27"/>
      <c r="AF255" s="27"/>
      <c r="AG255" s="27"/>
      <c r="AH255" s="27"/>
      <c r="AI255" s="27"/>
      <c r="AJ255" s="27"/>
      <c r="AK255" s="27"/>
      <c r="AL255" s="27"/>
      <c r="AM255" s="27"/>
      <c r="AN255" s="27"/>
      <c r="AO255" s="27"/>
      <c r="AP255" s="26"/>
    </row>
    <row r="256" spans="28:42" ht="16.5" customHeight="1">
      <c r="AB256" s="26"/>
      <c r="AC256" s="27"/>
      <c r="AD256" s="27"/>
      <c r="AE256" s="27"/>
      <c r="AF256" s="27"/>
      <c r="AG256" s="27"/>
      <c r="AH256" s="27"/>
      <c r="AI256" s="27"/>
      <c r="AJ256" s="27"/>
      <c r="AK256" s="27"/>
      <c r="AL256" s="27"/>
      <c r="AM256" s="27"/>
      <c r="AN256" s="27"/>
      <c r="AO256" s="27"/>
      <c r="AP256" s="26"/>
    </row>
    <row r="257" spans="28:42" ht="16.5" customHeight="1">
      <c r="AB257" s="26"/>
      <c r="AC257" s="27"/>
      <c r="AD257" s="27"/>
      <c r="AE257" s="27"/>
      <c r="AF257" s="27"/>
      <c r="AG257" s="27"/>
      <c r="AH257" s="27"/>
      <c r="AI257" s="27"/>
      <c r="AJ257" s="27"/>
      <c r="AK257" s="27"/>
      <c r="AL257" s="27"/>
      <c r="AM257" s="27"/>
      <c r="AN257" s="27"/>
      <c r="AO257" s="27"/>
      <c r="AP257" s="26"/>
    </row>
    <row r="258" spans="28:42" ht="16.5" customHeight="1">
      <c r="AB258" s="26"/>
      <c r="AC258" s="27"/>
      <c r="AD258" s="27"/>
      <c r="AE258" s="27"/>
      <c r="AF258" s="27"/>
      <c r="AG258" s="27"/>
      <c r="AH258" s="27"/>
      <c r="AI258" s="27"/>
      <c r="AJ258" s="27"/>
      <c r="AK258" s="27"/>
      <c r="AL258" s="27"/>
      <c r="AM258" s="27"/>
      <c r="AN258" s="27"/>
      <c r="AO258" s="27"/>
      <c r="AP258" s="26"/>
    </row>
    <row r="259" spans="28:42" ht="16.5" customHeight="1">
      <c r="AB259" s="26"/>
      <c r="AC259" s="27"/>
      <c r="AD259" s="27"/>
      <c r="AE259" s="27"/>
      <c r="AF259" s="27"/>
      <c r="AG259" s="27"/>
      <c r="AH259" s="27"/>
      <c r="AI259" s="27"/>
      <c r="AJ259" s="27"/>
      <c r="AK259" s="27"/>
      <c r="AL259" s="27"/>
      <c r="AM259" s="27"/>
      <c r="AN259" s="27"/>
      <c r="AO259" s="27"/>
      <c r="AP259" s="26"/>
    </row>
    <row r="260" spans="28:42" ht="16.5" customHeight="1">
      <c r="AB260" s="26"/>
      <c r="AC260" s="27"/>
      <c r="AD260" s="27"/>
      <c r="AE260" s="27"/>
      <c r="AF260" s="27"/>
      <c r="AG260" s="27"/>
      <c r="AH260" s="27"/>
      <c r="AI260" s="27"/>
      <c r="AJ260" s="27"/>
      <c r="AK260" s="27"/>
      <c r="AL260" s="27"/>
      <c r="AM260" s="27"/>
      <c r="AN260" s="27"/>
      <c r="AO260" s="27"/>
      <c r="AP260" s="26"/>
    </row>
    <row r="261" spans="28:42" ht="16.5" customHeight="1">
      <c r="AB261" s="26"/>
      <c r="AC261" s="27"/>
      <c r="AD261" s="27"/>
      <c r="AE261" s="27"/>
      <c r="AF261" s="27"/>
      <c r="AG261" s="27"/>
      <c r="AH261" s="27"/>
      <c r="AI261" s="27"/>
      <c r="AJ261" s="27"/>
      <c r="AK261" s="27"/>
      <c r="AL261" s="27"/>
      <c r="AM261" s="27"/>
      <c r="AN261" s="27"/>
      <c r="AO261" s="27"/>
      <c r="AP261" s="26"/>
    </row>
    <row r="262" spans="28:42" ht="16.5" customHeight="1">
      <c r="AB262" s="26"/>
      <c r="AC262" s="27"/>
      <c r="AD262" s="27"/>
      <c r="AE262" s="27"/>
      <c r="AF262" s="27"/>
      <c r="AG262" s="27"/>
      <c r="AH262" s="27"/>
      <c r="AI262" s="27"/>
      <c r="AJ262" s="27"/>
      <c r="AK262" s="27"/>
      <c r="AL262" s="27"/>
      <c r="AM262" s="27"/>
      <c r="AN262" s="27"/>
      <c r="AO262" s="27"/>
      <c r="AP262" s="26"/>
    </row>
    <row r="263" spans="28:42" ht="16.5" customHeight="1">
      <c r="AB263" s="26"/>
      <c r="AC263" s="27"/>
      <c r="AD263" s="27"/>
      <c r="AE263" s="27"/>
      <c r="AF263" s="27"/>
      <c r="AG263" s="27"/>
      <c r="AH263" s="27"/>
      <c r="AI263" s="27"/>
      <c r="AJ263" s="27"/>
      <c r="AK263" s="27"/>
      <c r="AL263" s="27"/>
      <c r="AM263" s="27"/>
      <c r="AN263" s="27"/>
      <c r="AO263" s="27"/>
      <c r="AP263" s="26"/>
    </row>
    <row r="264" spans="28:42" ht="16.5" customHeight="1">
      <c r="AB264" s="26"/>
      <c r="AC264" s="27"/>
      <c r="AD264" s="27"/>
      <c r="AE264" s="27"/>
      <c r="AF264" s="27"/>
      <c r="AG264" s="27"/>
      <c r="AH264" s="27"/>
      <c r="AI264" s="27"/>
      <c r="AJ264" s="27"/>
      <c r="AK264" s="27"/>
      <c r="AL264" s="27"/>
      <c r="AM264" s="27"/>
      <c r="AN264" s="27"/>
      <c r="AO264" s="27"/>
      <c r="AP264" s="26"/>
    </row>
    <row r="265" spans="28:42" ht="16.5" customHeight="1">
      <c r="AB265" s="26"/>
      <c r="AC265" s="27"/>
      <c r="AD265" s="27"/>
      <c r="AE265" s="27"/>
      <c r="AF265" s="27"/>
      <c r="AG265" s="27"/>
      <c r="AH265" s="27"/>
      <c r="AI265" s="27"/>
      <c r="AJ265" s="27"/>
      <c r="AK265" s="27"/>
      <c r="AL265" s="27"/>
      <c r="AM265" s="27"/>
      <c r="AN265" s="27"/>
      <c r="AO265" s="27"/>
      <c r="AP265" s="26"/>
    </row>
    <row r="266" spans="28:42" ht="16.5" customHeight="1">
      <c r="AB266" s="26"/>
      <c r="AC266" s="27"/>
      <c r="AD266" s="27"/>
      <c r="AE266" s="27"/>
      <c r="AF266" s="27"/>
      <c r="AG266" s="27"/>
      <c r="AH266" s="27"/>
      <c r="AI266" s="27"/>
      <c r="AJ266" s="27"/>
      <c r="AK266" s="27"/>
      <c r="AL266" s="27"/>
      <c r="AM266" s="27"/>
      <c r="AN266" s="27"/>
      <c r="AO266" s="27"/>
      <c r="AP266" s="26"/>
    </row>
    <row r="267" spans="28:42" ht="16.5" customHeight="1">
      <c r="AB267" s="26"/>
      <c r="AC267" s="27"/>
      <c r="AD267" s="27"/>
      <c r="AE267" s="27"/>
      <c r="AF267" s="27"/>
      <c r="AG267" s="27"/>
      <c r="AH267" s="27"/>
      <c r="AI267" s="27"/>
      <c r="AJ267" s="27"/>
      <c r="AK267" s="27"/>
      <c r="AL267" s="27"/>
      <c r="AM267" s="27"/>
      <c r="AN267" s="27"/>
      <c r="AO267" s="27"/>
      <c r="AP267" s="26"/>
    </row>
    <row r="268" spans="28:42" ht="16.5" customHeight="1">
      <c r="AB268" s="26"/>
      <c r="AC268" s="27"/>
      <c r="AD268" s="27"/>
      <c r="AE268" s="27"/>
      <c r="AF268" s="27"/>
      <c r="AG268" s="27"/>
      <c r="AH268" s="27"/>
      <c r="AI268" s="27"/>
      <c r="AJ268" s="27"/>
      <c r="AK268" s="27"/>
      <c r="AL268" s="27"/>
      <c r="AM268" s="27"/>
      <c r="AN268" s="27"/>
      <c r="AO268" s="27"/>
      <c r="AP268" s="26"/>
    </row>
    <row r="269" spans="28:42" ht="16.5" customHeight="1">
      <c r="AB269" s="26"/>
      <c r="AC269" s="27"/>
      <c r="AD269" s="27"/>
      <c r="AE269" s="27"/>
      <c r="AF269" s="27"/>
      <c r="AG269" s="27"/>
      <c r="AH269" s="27"/>
      <c r="AI269" s="27"/>
      <c r="AJ269" s="27"/>
      <c r="AK269" s="27"/>
      <c r="AL269" s="27"/>
      <c r="AM269" s="27"/>
      <c r="AN269" s="27"/>
      <c r="AO269" s="27"/>
      <c r="AP269" s="26"/>
    </row>
    <row r="270" spans="28:42" ht="16.5" customHeight="1">
      <c r="AB270" s="26"/>
      <c r="AC270" s="27"/>
      <c r="AD270" s="27"/>
      <c r="AE270" s="27"/>
      <c r="AF270" s="27"/>
      <c r="AG270" s="27"/>
      <c r="AH270" s="27"/>
      <c r="AI270" s="27"/>
      <c r="AJ270" s="27"/>
      <c r="AK270" s="27"/>
      <c r="AL270" s="27"/>
      <c r="AM270" s="27"/>
      <c r="AN270" s="27"/>
      <c r="AO270" s="27"/>
      <c r="AP270" s="26"/>
    </row>
    <row r="271" spans="28:42" ht="16.5" customHeight="1">
      <c r="AB271" s="26"/>
      <c r="AC271" s="27"/>
      <c r="AD271" s="27"/>
      <c r="AE271" s="27"/>
      <c r="AF271" s="27"/>
      <c r="AG271" s="27"/>
      <c r="AH271" s="27"/>
      <c r="AI271" s="27"/>
      <c r="AJ271" s="27"/>
      <c r="AK271" s="27"/>
      <c r="AL271" s="27"/>
      <c r="AM271" s="27"/>
      <c r="AN271" s="27"/>
      <c r="AO271" s="27"/>
      <c r="AP271" s="26"/>
    </row>
    <row r="272" spans="28:42" ht="16.5" customHeight="1">
      <c r="AB272" s="26"/>
      <c r="AC272" s="27"/>
      <c r="AD272" s="27"/>
      <c r="AE272" s="27"/>
      <c r="AF272" s="27"/>
      <c r="AG272" s="27"/>
      <c r="AH272" s="27"/>
      <c r="AI272" s="27"/>
      <c r="AJ272" s="27"/>
      <c r="AK272" s="27"/>
      <c r="AL272" s="27"/>
      <c r="AM272" s="27"/>
      <c r="AN272" s="27"/>
      <c r="AO272" s="27"/>
      <c r="AP272" s="26"/>
    </row>
    <row r="273" spans="28:42" ht="16.5" customHeight="1">
      <c r="AB273" s="26"/>
      <c r="AC273" s="27"/>
      <c r="AD273" s="27"/>
      <c r="AE273" s="27"/>
      <c r="AF273" s="27"/>
      <c r="AG273" s="27"/>
      <c r="AH273" s="27"/>
      <c r="AI273" s="27"/>
      <c r="AJ273" s="27"/>
      <c r="AK273" s="27"/>
      <c r="AL273" s="27"/>
      <c r="AM273" s="27"/>
      <c r="AN273" s="27"/>
      <c r="AO273" s="27"/>
      <c r="AP273" s="26"/>
    </row>
    <row r="274" spans="28:42" ht="16.5" customHeight="1">
      <c r="AB274" s="26"/>
      <c r="AC274" s="27"/>
      <c r="AD274" s="27"/>
      <c r="AE274" s="27"/>
      <c r="AF274" s="27"/>
      <c r="AG274" s="27"/>
      <c r="AH274" s="27"/>
      <c r="AI274" s="27"/>
      <c r="AJ274" s="27"/>
      <c r="AK274" s="27"/>
      <c r="AL274" s="27"/>
      <c r="AM274" s="27"/>
      <c r="AN274" s="27"/>
      <c r="AO274" s="27"/>
      <c r="AP274" s="26"/>
    </row>
    <row r="275" spans="28:42" ht="16.5" customHeight="1">
      <c r="AB275" s="26"/>
      <c r="AC275" s="27"/>
      <c r="AD275" s="27"/>
      <c r="AE275" s="27"/>
      <c r="AF275" s="27"/>
      <c r="AG275" s="27"/>
      <c r="AH275" s="27"/>
      <c r="AI275" s="27"/>
      <c r="AJ275" s="27"/>
      <c r="AK275" s="27"/>
      <c r="AL275" s="27"/>
      <c r="AM275" s="27"/>
      <c r="AN275" s="27"/>
      <c r="AO275" s="27"/>
      <c r="AP275" s="26"/>
    </row>
    <row r="276" spans="28:42" ht="16.5" customHeight="1">
      <c r="AB276" s="26"/>
      <c r="AC276" s="27"/>
      <c r="AD276" s="27"/>
      <c r="AE276" s="27"/>
      <c r="AF276" s="27"/>
      <c r="AG276" s="27"/>
      <c r="AH276" s="27"/>
      <c r="AI276" s="27"/>
      <c r="AJ276" s="27"/>
      <c r="AK276" s="27"/>
      <c r="AL276" s="27"/>
      <c r="AM276" s="27"/>
      <c r="AN276" s="27"/>
      <c r="AO276" s="27"/>
      <c r="AP276" s="26"/>
    </row>
    <row r="277" spans="28:42" ht="16.5" customHeight="1">
      <c r="AB277" s="26"/>
      <c r="AC277" s="27"/>
      <c r="AD277" s="27"/>
      <c r="AE277" s="27"/>
      <c r="AF277" s="27"/>
      <c r="AG277" s="27"/>
      <c r="AH277" s="27"/>
      <c r="AI277" s="27"/>
      <c r="AJ277" s="27"/>
      <c r="AK277" s="27"/>
      <c r="AL277" s="27"/>
      <c r="AM277" s="27"/>
      <c r="AN277" s="27"/>
      <c r="AO277" s="27"/>
      <c r="AP277" s="26"/>
    </row>
    <row r="278" spans="28:42" ht="16.5" customHeight="1">
      <c r="AB278" s="26"/>
      <c r="AC278" s="27"/>
      <c r="AD278" s="27"/>
      <c r="AE278" s="27"/>
      <c r="AF278" s="27"/>
      <c r="AG278" s="27"/>
      <c r="AH278" s="27"/>
      <c r="AI278" s="27"/>
      <c r="AJ278" s="27"/>
      <c r="AK278" s="27"/>
      <c r="AL278" s="27"/>
      <c r="AM278" s="27"/>
      <c r="AN278" s="27"/>
      <c r="AO278" s="27"/>
      <c r="AP278" s="26"/>
    </row>
    <row r="279" spans="28:42" ht="16.5" customHeight="1">
      <c r="AB279" s="26"/>
      <c r="AC279" s="27"/>
      <c r="AD279" s="27"/>
      <c r="AE279" s="27"/>
      <c r="AF279" s="27"/>
      <c r="AG279" s="27"/>
      <c r="AH279" s="27"/>
      <c r="AI279" s="27"/>
      <c r="AJ279" s="27"/>
      <c r="AK279" s="27"/>
      <c r="AL279" s="27"/>
      <c r="AM279" s="27"/>
      <c r="AN279" s="27"/>
      <c r="AO279" s="27"/>
      <c r="AP279" s="26"/>
    </row>
    <row r="280" spans="28:42" ht="16.5" customHeight="1">
      <c r="AB280" s="26"/>
      <c r="AC280" s="27"/>
      <c r="AD280" s="27"/>
      <c r="AE280" s="27"/>
      <c r="AF280" s="27"/>
      <c r="AG280" s="27"/>
      <c r="AH280" s="27"/>
      <c r="AI280" s="27"/>
      <c r="AJ280" s="27"/>
      <c r="AK280" s="27"/>
      <c r="AL280" s="27"/>
      <c r="AM280" s="27"/>
      <c r="AN280" s="27"/>
      <c r="AO280" s="27"/>
      <c r="AP280" s="26"/>
    </row>
    <row r="281" spans="28:42" ht="16.5" customHeight="1">
      <c r="AB281" s="26"/>
      <c r="AC281" s="27"/>
      <c r="AD281" s="27"/>
      <c r="AE281" s="27"/>
      <c r="AF281" s="27"/>
      <c r="AG281" s="27"/>
      <c r="AH281" s="27"/>
      <c r="AI281" s="27"/>
      <c r="AJ281" s="27"/>
      <c r="AK281" s="27"/>
      <c r="AL281" s="27"/>
      <c r="AM281" s="27"/>
      <c r="AN281" s="27"/>
      <c r="AO281" s="27"/>
      <c r="AP281" s="26"/>
    </row>
    <row r="282" spans="28:42" ht="16.5" customHeight="1">
      <c r="AB282" s="26"/>
      <c r="AC282" s="27"/>
      <c r="AD282" s="27"/>
      <c r="AE282" s="27"/>
      <c r="AF282" s="27"/>
      <c r="AG282" s="27"/>
      <c r="AH282" s="27"/>
      <c r="AI282" s="27"/>
      <c r="AJ282" s="27"/>
      <c r="AK282" s="27"/>
      <c r="AL282" s="27"/>
      <c r="AM282" s="27"/>
      <c r="AN282" s="27"/>
      <c r="AO282" s="27"/>
      <c r="AP282" s="26"/>
    </row>
    <row r="283" spans="28:42" ht="16.5" customHeight="1">
      <c r="AB283" s="26"/>
      <c r="AC283" s="27"/>
      <c r="AD283" s="27"/>
      <c r="AE283" s="27"/>
      <c r="AF283" s="27"/>
      <c r="AG283" s="27"/>
      <c r="AH283" s="27"/>
      <c r="AI283" s="27"/>
      <c r="AJ283" s="27"/>
      <c r="AK283" s="27"/>
      <c r="AL283" s="27"/>
      <c r="AM283" s="27"/>
      <c r="AN283" s="27"/>
      <c r="AO283" s="27"/>
      <c r="AP283" s="26"/>
    </row>
    <row r="284" spans="28:42" ht="16.5" customHeight="1">
      <c r="AB284" s="26"/>
      <c r="AC284" s="27"/>
      <c r="AD284" s="27"/>
      <c r="AE284" s="27"/>
      <c r="AF284" s="27"/>
      <c r="AG284" s="27"/>
      <c r="AH284" s="27"/>
      <c r="AI284" s="27"/>
      <c r="AJ284" s="27"/>
      <c r="AK284" s="27"/>
      <c r="AL284" s="27"/>
      <c r="AM284" s="27"/>
      <c r="AN284" s="27"/>
      <c r="AO284" s="27"/>
      <c r="AP284" s="26"/>
    </row>
    <row r="285" spans="28:42" ht="16.5" customHeight="1">
      <c r="AB285" s="26"/>
      <c r="AC285" s="27"/>
      <c r="AD285" s="27"/>
      <c r="AE285" s="27"/>
      <c r="AF285" s="27"/>
      <c r="AG285" s="27"/>
      <c r="AH285" s="27"/>
      <c r="AI285" s="27"/>
      <c r="AJ285" s="27"/>
      <c r="AK285" s="27"/>
      <c r="AL285" s="27"/>
      <c r="AM285" s="27"/>
      <c r="AN285" s="27"/>
      <c r="AO285" s="27"/>
      <c r="AP285" s="26"/>
    </row>
    <row r="286" spans="28:42" ht="16.5" customHeight="1">
      <c r="AB286" s="26"/>
      <c r="AC286" s="27"/>
      <c r="AD286" s="27"/>
      <c r="AE286" s="27"/>
      <c r="AF286" s="27"/>
      <c r="AG286" s="27"/>
      <c r="AH286" s="27"/>
      <c r="AI286" s="27"/>
      <c r="AJ286" s="27"/>
      <c r="AK286" s="27"/>
      <c r="AL286" s="27"/>
      <c r="AM286" s="27"/>
      <c r="AN286" s="27"/>
      <c r="AO286" s="27"/>
      <c r="AP286" s="26"/>
    </row>
    <row r="287" spans="28:42" ht="16.5" customHeight="1">
      <c r="AB287" s="26"/>
      <c r="AC287" s="27"/>
      <c r="AD287" s="27"/>
      <c r="AE287" s="27"/>
      <c r="AF287" s="27"/>
      <c r="AG287" s="27"/>
      <c r="AH287" s="27"/>
      <c r="AI287" s="27"/>
      <c r="AJ287" s="27"/>
      <c r="AK287" s="27"/>
      <c r="AL287" s="27"/>
      <c r="AM287" s="27"/>
      <c r="AN287" s="27"/>
      <c r="AO287" s="27"/>
      <c r="AP287" s="26"/>
    </row>
    <row r="288" spans="28:42" ht="16.5" customHeight="1">
      <c r="AB288" s="26"/>
      <c r="AC288" s="27"/>
      <c r="AD288" s="27"/>
      <c r="AE288" s="27"/>
      <c r="AF288" s="27"/>
      <c r="AG288" s="27"/>
      <c r="AH288" s="27"/>
      <c r="AI288" s="27"/>
      <c r="AJ288" s="27"/>
      <c r="AK288" s="27"/>
      <c r="AL288" s="27"/>
      <c r="AM288" s="27"/>
      <c r="AN288" s="27"/>
      <c r="AO288" s="27"/>
      <c r="AP288" s="26"/>
    </row>
    <row r="289" spans="28:42" ht="16.5" customHeight="1">
      <c r="AB289" s="26"/>
      <c r="AC289" s="27"/>
      <c r="AD289" s="27"/>
      <c r="AE289" s="27"/>
      <c r="AF289" s="27"/>
      <c r="AG289" s="27"/>
      <c r="AH289" s="27"/>
      <c r="AI289" s="27"/>
      <c r="AJ289" s="27"/>
      <c r="AK289" s="27"/>
      <c r="AL289" s="27"/>
      <c r="AM289" s="27"/>
      <c r="AN289" s="27"/>
      <c r="AO289" s="27"/>
      <c r="AP289" s="26"/>
    </row>
    <row r="290" spans="28:42" ht="16.5" customHeight="1">
      <c r="AB290" s="26"/>
      <c r="AC290" s="27"/>
      <c r="AD290" s="27"/>
      <c r="AE290" s="27"/>
      <c r="AF290" s="27"/>
      <c r="AG290" s="27"/>
      <c r="AH290" s="27"/>
      <c r="AI290" s="27"/>
      <c r="AJ290" s="27"/>
      <c r="AK290" s="27"/>
      <c r="AL290" s="27"/>
      <c r="AM290" s="27"/>
      <c r="AN290" s="27"/>
      <c r="AO290" s="27"/>
      <c r="AP290" s="26"/>
    </row>
    <row r="291" spans="28:42" ht="16.5" customHeight="1">
      <c r="AB291" s="26"/>
      <c r="AC291" s="27"/>
      <c r="AD291" s="27"/>
      <c r="AE291" s="27"/>
      <c r="AF291" s="27"/>
      <c r="AG291" s="27"/>
      <c r="AH291" s="27"/>
      <c r="AI291" s="27"/>
      <c r="AJ291" s="27"/>
      <c r="AK291" s="27"/>
      <c r="AL291" s="27"/>
      <c r="AM291" s="27"/>
      <c r="AN291" s="27"/>
      <c r="AO291" s="27"/>
      <c r="AP291" s="26"/>
    </row>
    <row r="292" spans="28:42" ht="16.5" customHeight="1">
      <c r="AB292" s="26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  <c r="AM292" s="27"/>
      <c r="AN292" s="27"/>
      <c r="AO292" s="27"/>
      <c r="AP292" s="26"/>
    </row>
    <row r="293" spans="28:42" ht="16.5" customHeight="1">
      <c r="AB293" s="26"/>
      <c r="AC293" s="27"/>
      <c r="AD293" s="27"/>
      <c r="AE293" s="27"/>
      <c r="AF293" s="27"/>
      <c r="AG293" s="27"/>
      <c r="AH293" s="27"/>
      <c r="AI293" s="27"/>
      <c r="AJ293" s="27"/>
      <c r="AK293" s="27"/>
      <c r="AL293" s="27"/>
      <c r="AM293" s="27"/>
      <c r="AN293" s="27"/>
      <c r="AO293" s="27"/>
      <c r="AP293" s="26"/>
    </row>
    <row r="294" spans="28:42" ht="16.5" customHeight="1">
      <c r="AB294" s="26"/>
      <c r="AC294" s="27"/>
      <c r="AD294" s="27"/>
      <c r="AE294" s="27"/>
      <c r="AF294" s="27"/>
      <c r="AG294" s="27"/>
      <c r="AH294" s="27"/>
      <c r="AI294" s="27"/>
      <c r="AJ294" s="27"/>
      <c r="AK294" s="27"/>
      <c r="AL294" s="27"/>
      <c r="AM294" s="27"/>
      <c r="AN294" s="27"/>
      <c r="AO294" s="27"/>
      <c r="AP294" s="26"/>
    </row>
    <row r="295" spans="28:42" ht="16.5" customHeight="1">
      <c r="AB295" s="26"/>
      <c r="AC295" s="27"/>
      <c r="AD295" s="27"/>
      <c r="AE295" s="27"/>
      <c r="AF295" s="27"/>
      <c r="AG295" s="27"/>
      <c r="AH295" s="27"/>
      <c r="AI295" s="27"/>
      <c r="AJ295" s="27"/>
      <c r="AK295" s="27"/>
      <c r="AL295" s="27"/>
      <c r="AM295" s="27"/>
      <c r="AN295" s="27"/>
      <c r="AO295" s="27"/>
      <c r="AP295" s="26"/>
    </row>
    <row r="296" spans="28:42" ht="16.5" customHeight="1">
      <c r="AB296" s="26"/>
      <c r="AC296" s="27"/>
      <c r="AD296" s="27"/>
      <c r="AE296" s="27"/>
      <c r="AF296" s="27"/>
      <c r="AG296" s="27"/>
      <c r="AH296" s="27"/>
      <c r="AI296" s="27"/>
      <c r="AJ296" s="27"/>
      <c r="AK296" s="27"/>
      <c r="AL296" s="27"/>
      <c r="AM296" s="27"/>
      <c r="AN296" s="27"/>
      <c r="AO296" s="27"/>
      <c r="AP296" s="26"/>
    </row>
    <row r="297" spans="28:42" ht="16.5" customHeight="1">
      <c r="AB297" s="26"/>
      <c r="AC297" s="27"/>
      <c r="AD297" s="27"/>
      <c r="AE297" s="27"/>
      <c r="AF297" s="27"/>
      <c r="AG297" s="27"/>
      <c r="AH297" s="27"/>
      <c r="AI297" s="27"/>
      <c r="AJ297" s="27"/>
      <c r="AK297" s="27"/>
      <c r="AL297" s="27"/>
      <c r="AM297" s="27"/>
      <c r="AN297" s="27"/>
      <c r="AO297" s="27"/>
      <c r="AP297" s="26"/>
    </row>
    <row r="298" spans="28:42" ht="16.5" customHeight="1">
      <c r="AB298" s="26"/>
      <c r="AC298" s="27"/>
      <c r="AD298" s="27"/>
      <c r="AE298" s="27"/>
      <c r="AF298" s="27"/>
      <c r="AG298" s="27"/>
      <c r="AH298" s="27"/>
      <c r="AI298" s="27"/>
      <c r="AJ298" s="27"/>
      <c r="AK298" s="27"/>
      <c r="AL298" s="27"/>
      <c r="AM298" s="27"/>
      <c r="AN298" s="27"/>
      <c r="AO298" s="27"/>
      <c r="AP298" s="26"/>
    </row>
    <row r="299" spans="28:42" ht="16.5" customHeight="1">
      <c r="AB299" s="26"/>
      <c r="AC299" s="27"/>
      <c r="AD299" s="27"/>
      <c r="AE299" s="27"/>
      <c r="AF299" s="27"/>
      <c r="AG299" s="27"/>
      <c r="AH299" s="27"/>
      <c r="AI299" s="27"/>
      <c r="AJ299" s="27"/>
      <c r="AK299" s="27"/>
      <c r="AL299" s="27"/>
      <c r="AM299" s="27"/>
      <c r="AN299" s="27"/>
      <c r="AO299" s="27"/>
      <c r="AP299" s="26"/>
    </row>
    <row r="300" spans="28:42" ht="16.5" customHeight="1">
      <c r="AB300" s="26"/>
      <c r="AC300" s="27"/>
      <c r="AD300" s="27"/>
      <c r="AE300" s="27"/>
      <c r="AF300" s="27"/>
      <c r="AG300" s="27"/>
      <c r="AH300" s="27"/>
      <c r="AI300" s="27"/>
      <c r="AJ300" s="27"/>
      <c r="AK300" s="27"/>
      <c r="AL300" s="27"/>
      <c r="AM300" s="27"/>
      <c r="AN300" s="27"/>
      <c r="AO300" s="27"/>
      <c r="AP300" s="26"/>
    </row>
    <row r="301" spans="28:42" ht="16.5" customHeight="1">
      <c r="AB301" s="26"/>
      <c r="AC301" s="27"/>
      <c r="AD301" s="27"/>
      <c r="AE301" s="27"/>
      <c r="AF301" s="27"/>
      <c r="AG301" s="27"/>
      <c r="AH301" s="27"/>
      <c r="AI301" s="27"/>
      <c r="AJ301" s="27"/>
      <c r="AK301" s="27"/>
      <c r="AL301" s="27"/>
      <c r="AM301" s="27"/>
      <c r="AN301" s="27"/>
      <c r="AO301" s="27"/>
      <c r="AP301" s="26"/>
    </row>
    <row r="302" spans="28:42" ht="16.5" customHeight="1">
      <c r="AB302" s="26"/>
      <c r="AC302" s="27"/>
      <c r="AD302" s="27"/>
      <c r="AE302" s="27"/>
      <c r="AF302" s="27"/>
      <c r="AG302" s="27"/>
      <c r="AH302" s="27"/>
      <c r="AI302" s="27"/>
      <c r="AJ302" s="27"/>
      <c r="AK302" s="27"/>
      <c r="AL302" s="27"/>
      <c r="AM302" s="27"/>
      <c r="AN302" s="27"/>
      <c r="AO302" s="27"/>
      <c r="AP302" s="26"/>
    </row>
    <row r="303" spans="28:42" ht="16.5" customHeight="1">
      <c r="AB303" s="26"/>
      <c r="AC303" s="27"/>
      <c r="AD303" s="27"/>
      <c r="AE303" s="27"/>
      <c r="AF303" s="27"/>
      <c r="AG303" s="27"/>
      <c r="AH303" s="27"/>
      <c r="AI303" s="27"/>
      <c r="AJ303" s="27"/>
      <c r="AK303" s="27"/>
      <c r="AL303" s="27"/>
      <c r="AM303" s="27"/>
      <c r="AN303" s="27"/>
      <c r="AO303" s="27"/>
      <c r="AP303" s="26"/>
    </row>
    <row r="304" spans="28:42" ht="16.5" customHeight="1">
      <c r="AB304" s="26"/>
      <c r="AC304" s="27"/>
      <c r="AD304" s="27"/>
      <c r="AE304" s="27"/>
      <c r="AF304" s="27"/>
      <c r="AG304" s="27"/>
      <c r="AH304" s="27"/>
      <c r="AI304" s="27"/>
      <c r="AJ304" s="27"/>
      <c r="AK304" s="27"/>
      <c r="AL304" s="27"/>
      <c r="AM304" s="27"/>
      <c r="AN304" s="27"/>
      <c r="AO304" s="27"/>
      <c r="AP304" s="26"/>
    </row>
    <row r="305" spans="28:42" ht="16.5" customHeight="1">
      <c r="AB305" s="26"/>
      <c r="AC305" s="27"/>
      <c r="AD305" s="27"/>
      <c r="AE305" s="27"/>
      <c r="AF305" s="27"/>
      <c r="AG305" s="27"/>
      <c r="AH305" s="27"/>
      <c r="AI305" s="27"/>
      <c r="AJ305" s="27"/>
      <c r="AK305" s="27"/>
      <c r="AL305" s="27"/>
      <c r="AM305" s="27"/>
      <c r="AN305" s="27"/>
      <c r="AO305" s="27"/>
      <c r="AP305" s="26"/>
    </row>
    <row r="306" spans="28:42" ht="16.5" customHeight="1">
      <c r="AB306" s="26"/>
      <c r="AC306" s="27"/>
      <c r="AD306" s="27"/>
      <c r="AE306" s="27"/>
      <c r="AF306" s="27"/>
      <c r="AG306" s="27"/>
      <c r="AH306" s="27"/>
      <c r="AI306" s="27"/>
      <c r="AJ306" s="27"/>
      <c r="AK306" s="27"/>
      <c r="AL306" s="27"/>
      <c r="AM306" s="27"/>
      <c r="AN306" s="27"/>
      <c r="AO306" s="27"/>
      <c r="AP306" s="26"/>
    </row>
    <row r="307" spans="28:42" ht="16.5" customHeight="1">
      <c r="AB307" s="26"/>
      <c r="AC307" s="27"/>
      <c r="AD307" s="27"/>
      <c r="AE307" s="27"/>
      <c r="AF307" s="27"/>
      <c r="AG307" s="27"/>
      <c r="AH307" s="27"/>
      <c r="AI307" s="27"/>
      <c r="AJ307" s="27"/>
      <c r="AK307" s="27"/>
      <c r="AL307" s="27"/>
      <c r="AM307" s="27"/>
      <c r="AN307" s="27"/>
      <c r="AO307" s="27"/>
      <c r="AP307" s="26"/>
    </row>
    <row r="308" spans="28:42" ht="16.5" customHeight="1">
      <c r="AB308" s="26"/>
      <c r="AC308" s="27"/>
      <c r="AD308" s="27"/>
      <c r="AE308" s="27"/>
      <c r="AF308" s="27"/>
      <c r="AG308" s="27"/>
      <c r="AH308" s="27"/>
      <c r="AI308" s="27"/>
      <c r="AJ308" s="27"/>
      <c r="AK308" s="27"/>
      <c r="AL308" s="27"/>
      <c r="AM308" s="27"/>
      <c r="AN308" s="27"/>
      <c r="AO308" s="27"/>
      <c r="AP308" s="26"/>
    </row>
    <row r="309" spans="28:42" ht="16.5" customHeight="1">
      <c r="AB309" s="26"/>
      <c r="AC309" s="27"/>
      <c r="AD309" s="27"/>
      <c r="AE309" s="27"/>
      <c r="AF309" s="27"/>
      <c r="AG309" s="27"/>
      <c r="AH309" s="27"/>
      <c r="AI309" s="27"/>
      <c r="AJ309" s="27"/>
      <c r="AK309" s="27"/>
      <c r="AL309" s="27"/>
      <c r="AM309" s="27"/>
      <c r="AN309" s="27"/>
      <c r="AO309" s="27"/>
      <c r="AP309" s="26"/>
    </row>
    <row r="310" spans="28:42" ht="16.5" customHeight="1">
      <c r="AB310" s="26"/>
      <c r="AC310" s="27"/>
      <c r="AD310" s="27"/>
      <c r="AE310" s="27"/>
      <c r="AF310" s="27"/>
      <c r="AG310" s="27"/>
      <c r="AH310" s="27"/>
      <c r="AI310" s="27"/>
      <c r="AJ310" s="27"/>
      <c r="AK310" s="27"/>
      <c r="AL310" s="27"/>
      <c r="AM310" s="27"/>
      <c r="AN310" s="27"/>
      <c r="AO310" s="27"/>
      <c r="AP310" s="26"/>
    </row>
    <row r="311" spans="28:42" ht="16.5" customHeight="1">
      <c r="AB311" s="26"/>
      <c r="AC311" s="27"/>
      <c r="AD311" s="27"/>
      <c r="AE311" s="27"/>
      <c r="AF311" s="27"/>
      <c r="AG311" s="27"/>
      <c r="AH311" s="27"/>
      <c r="AI311" s="27"/>
      <c r="AJ311" s="27"/>
      <c r="AK311" s="27"/>
      <c r="AL311" s="27"/>
      <c r="AM311" s="27"/>
      <c r="AN311" s="27"/>
      <c r="AO311" s="27"/>
      <c r="AP311" s="26"/>
    </row>
    <row r="312" spans="28:42" ht="16.5" customHeight="1">
      <c r="AB312" s="26"/>
      <c r="AC312" s="27"/>
      <c r="AD312" s="27"/>
      <c r="AE312" s="27"/>
      <c r="AF312" s="27"/>
      <c r="AG312" s="27"/>
      <c r="AH312" s="27"/>
      <c r="AI312" s="27"/>
      <c r="AJ312" s="27"/>
      <c r="AK312" s="27"/>
      <c r="AL312" s="27"/>
      <c r="AM312" s="27"/>
      <c r="AN312" s="27"/>
      <c r="AO312" s="27"/>
      <c r="AP312" s="26"/>
    </row>
    <row r="313" spans="28:42" ht="16.5" customHeight="1">
      <c r="AB313" s="26"/>
      <c r="AC313" s="27"/>
      <c r="AD313" s="27"/>
      <c r="AE313" s="27"/>
      <c r="AF313" s="27"/>
      <c r="AG313" s="27"/>
      <c r="AH313" s="27"/>
      <c r="AI313" s="27"/>
      <c r="AJ313" s="27"/>
      <c r="AK313" s="27"/>
      <c r="AL313" s="27"/>
      <c r="AM313" s="27"/>
      <c r="AN313" s="27"/>
      <c r="AO313" s="27"/>
      <c r="AP313" s="26"/>
    </row>
    <row r="314" spans="28:42" ht="16.5" customHeight="1">
      <c r="AB314" s="26"/>
      <c r="AC314" s="27"/>
      <c r="AD314" s="27"/>
      <c r="AE314" s="27"/>
      <c r="AF314" s="27"/>
      <c r="AG314" s="27"/>
      <c r="AH314" s="27"/>
      <c r="AI314" s="27"/>
      <c r="AJ314" s="27"/>
      <c r="AK314" s="27"/>
      <c r="AL314" s="27"/>
      <c r="AM314" s="27"/>
      <c r="AN314" s="27"/>
      <c r="AO314" s="27"/>
      <c r="AP314" s="26"/>
    </row>
    <row r="315" spans="28:42" ht="16.5" customHeight="1">
      <c r="AB315" s="26"/>
      <c r="AC315" s="27"/>
      <c r="AD315" s="27"/>
      <c r="AE315" s="27"/>
      <c r="AF315" s="27"/>
      <c r="AG315" s="27"/>
      <c r="AH315" s="27"/>
      <c r="AI315" s="27"/>
      <c r="AJ315" s="27"/>
      <c r="AK315" s="27"/>
      <c r="AL315" s="27"/>
      <c r="AM315" s="27"/>
      <c r="AN315" s="27"/>
      <c r="AO315" s="27"/>
      <c r="AP315" s="26"/>
    </row>
    <row r="316" spans="28:42" ht="16.5" customHeight="1">
      <c r="AB316" s="26"/>
      <c r="AC316" s="27"/>
      <c r="AD316" s="27"/>
      <c r="AE316" s="27"/>
      <c r="AF316" s="27"/>
      <c r="AG316" s="27"/>
      <c r="AH316" s="27"/>
      <c r="AI316" s="27"/>
      <c r="AJ316" s="27"/>
      <c r="AK316" s="27"/>
      <c r="AL316" s="27"/>
      <c r="AM316" s="27"/>
      <c r="AN316" s="27"/>
      <c r="AO316" s="27"/>
      <c r="AP316" s="26"/>
    </row>
    <row r="317" spans="28:42" ht="16.5" customHeight="1">
      <c r="AB317" s="26"/>
      <c r="AC317" s="27"/>
      <c r="AD317" s="27"/>
      <c r="AE317" s="27"/>
      <c r="AF317" s="27"/>
      <c r="AG317" s="27"/>
      <c r="AH317" s="27"/>
      <c r="AI317" s="27"/>
      <c r="AJ317" s="27"/>
      <c r="AK317" s="27"/>
      <c r="AL317" s="27"/>
      <c r="AM317" s="27"/>
      <c r="AN317" s="27"/>
      <c r="AO317" s="27"/>
      <c r="AP317" s="26"/>
    </row>
    <row r="318" spans="28:42" ht="16.5" customHeight="1">
      <c r="AB318" s="26"/>
      <c r="AC318" s="27"/>
      <c r="AD318" s="27"/>
      <c r="AE318" s="27"/>
      <c r="AF318" s="27"/>
      <c r="AG318" s="27"/>
      <c r="AH318" s="27"/>
      <c r="AI318" s="27"/>
      <c r="AJ318" s="27"/>
      <c r="AK318" s="27"/>
      <c r="AL318" s="27"/>
      <c r="AM318" s="27"/>
      <c r="AN318" s="27"/>
      <c r="AO318" s="27"/>
      <c r="AP318" s="26"/>
    </row>
    <row r="319" spans="28:42" ht="16.5" customHeight="1">
      <c r="AB319" s="26"/>
      <c r="AC319" s="27"/>
      <c r="AD319" s="27"/>
      <c r="AE319" s="27"/>
      <c r="AF319" s="27"/>
      <c r="AG319" s="27"/>
      <c r="AH319" s="27"/>
      <c r="AI319" s="27"/>
      <c r="AJ319" s="27"/>
      <c r="AK319" s="27"/>
      <c r="AL319" s="27"/>
      <c r="AM319" s="27"/>
      <c r="AN319" s="27"/>
      <c r="AO319" s="27"/>
      <c r="AP319" s="26"/>
    </row>
    <row r="320" spans="28:42" ht="16.5" customHeight="1">
      <c r="AB320" s="26"/>
      <c r="AC320" s="27"/>
      <c r="AD320" s="27"/>
      <c r="AE320" s="27"/>
      <c r="AF320" s="27"/>
      <c r="AG320" s="27"/>
      <c r="AH320" s="27"/>
      <c r="AI320" s="27"/>
      <c r="AJ320" s="27"/>
      <c r="AK320" s="27"/>
      <c r="AL320" s="27"/>
      <c r="AM320" s="27"/>
      <c r="AN320" s="27"/>
      <c r="AO320" s="27"/>
      <c r="AP320" s="26"/>
    </row>
    <row r="321" spans="28:42" ht="16.5" customHeight="1">
      <c r="AB321" s="26"/>
      <c r="AC321" s="27"/>
      <c r="AD321" s="27"/>
      <c r="AE321" s="27"/>
      <c r="AF321" s="27"/>
      <c r="AG321" s="27"/>
      <c r="AH321" s="27"/>
      <c r="AI321" s="27"/>
      <c r="AJ321" s="27"/>
      <c r="AK321" s="27"/>
      <c r="AL321" s="27"/>
      <c r="AM321" s="27"/>
      <c r="AN321" s="27"/>
      <c r="AO321" s="27"/>
      <c r="AP321" s="26"/>
    </row>
    <row r="322" spans="28:42" ht="16.5" customHeight="1">
      <c r="AB322" s="26"/>
      <c r="AC322" s="27"/>
      <c r="AD322" s="27"/>
      <c r="AE322" s="27"/>
      <c r="AF322" s="27"/>
      <c r="AG322" s="27"/>
      <c r="AH322" s="27"/>
      <c r="AI322" s="27"/>
      <c r="AJ322" s="27"/>
      <c r="AK322" s="27"/>
      <c r="AL322" s="27"/>
      <c r="AM322" s="27"/>
      <c r="AN322" s="27"/>
      <c r="AO322" s="27"/>
      <c r="AP322" s="26"/>
    </row>
    <row r="323" spans="28:42" ht="16.5" customHeight="1">
      <c r="AB323" s="26"/>
      <c r="AC323" s="27"/>
      <c r="AD323" s="27"/>
      <c r="AE323" s="27"/>
      <c r="AF323" s="27"/>
      <c r="AG323" s="27"/>
      <c r="AH323" s="27"/>
      <c r="AI323" s="27"/>
      <c r="AJ323" s="27"/>
      <c r="AK323" s="27"/>
      <c r="AL323" s="27"/>
      <c r="AM323" s="27"/>
      <c r="AN323" s="27"/>
      <c r="AO323" s="27"/>
      <c r="AP323" s="26"/>
    </row>
    <row r="324" spans="28:42" ht="16.5" customHeight="1">
      <c r="AB324" s="26"/>
      <c r="AC324" s="27"/>
      <c r="AD324" s="27"/>
      <c r="AE324" s="27"/>
      <c r="AF324" s="27"/>
      <c r="AG324" s="27"/>
      <c r="AH324" s="27"/>
      <c r="AI324" s="27"/>
      <c r="AJ324" s="27"/>
      <c r="AK324" s="27"/>
      <c r="AL324" s="27"/>
      <c r="AM324" s="27"/>
      <c r="AN324" s="27"/>
      <c r="AO324" s="27"/>
      <c r="AP324" s="26"/>
    </row>
    <row r="325" spans="28:42" ht="16.5" customHeight="1">
      <c r="AB325" s="26"/>
      <c r="AC325" s="27"/>
      <c r="AD325" s="27"/>
      <c r="AE325" s="27"/>
      <c r="AF325" s="27"/>
      <c r="AG325" s="27"/>
      <c r="AH325" s="27"/>
      <c r="AI325" s="27"/>
      <c r="AJ325" s="27"/>
      <c r="AK325" s="27"/>
      <c r="AL325" s="27"/>
      <c r="AM325" s="27"/>
      <c r="AN325" s="27"/>
      <c r="AO325" s="27"/>
      <c r="AP325" s="26"/>
    </row>
    <row r="326" spans="28:42" ht="16.5" customHeight="1">
      <c r="AB326" s="26"/>
      <c r="AC326" s="27"/>
      <c r="AD326" s="27"/>
      <c r="AE326" s="27"/>
      <c r="AF326" s="27"/>
      <c r="AG326" s="27"/>
      <c r="AH326" s="27"/>
      <c r="AI326" s="27"/>
      <c r="AJ326" s="27"/>
      <c r="AK326" s="27"/>
      <c r="AL326" s="27"/>
      <c r="AM326" s="27"/>
      <c r="AN326" s="27"/>
      <c r="AO326" s="27"/>
      <c r="AP326" s="26"/>
    </row>
    <row r="327" spans="28:42" ht="16.5" customHeight="1">
      <c r="AB327" s="26"/>
      <c r="AC327" s="27"/>
      <c r="AD327" s="27"/>
      <c r="AE327" s="27"/>
      <c r="AF327" s="27"/>
      <c r="AG327" s="27"/>
      <c r="AH327" s="27"/>
      <c r="AI327" s="27"/>
      <c r="AJ327" s="27"/>
      <c r="AK327" s="27"/>
      <c r="AL327" s="27"/>
      <c r="AM327" s="27"/>
      <c r="AN327" s="27"/>
      <c r="AO327" s="27"/>
      <c r="AP327" s="26"/>
    </row>
    <row r="328" spans="28:42" ht="16.5" customHeight="1">
      <c r="AB328" s="26"/>
      <c r="AC328" s="27"/>
      <c r="AD328" s="27"/>
      <c r="AE328" s="27"/>
      <c r="AF328" s="27"/>
      <c r="AG328" s="27"/>
      <c r="AH328" s="27"/>
      <c r="AI328" s="27"/>
      <c r="AJ328" s="27"/>
      <c r="AK328" s="27"/>
      <c r="AL328" s="27"/>
      <c r="AM328" s="27"/>
      <c r="AN328" s="27"/>
      <c r="AO328" s="27"/>
      <c r="AP328" s="26"/>
    </row>
    <row r="329" spans="28:42" ht="16.5" customHeight="1">
      <c r="AB329" s="26"/>
      <c r="AC329" s="27"/>
      <c r="AD329" s="27"/>
      <c r="AE329" s="27"/>
      <c r="AF329" s="27"/>
      <c r="AG329" s="27"/>
      <c r="AH329" s="27"/>
      <c r="AI329" s="27"/>
      <c r="AJ329" s="27"/>
      <c r="AK329" s="27"/>
      <c r="AL329" s="27"/>
      <c r="AM329" s="27"/>
      <c r="AN329" s="27"/>
      <c r="AO329" s="27"/>
      <c r="AP329" s="26"/>
    </row>
    <row r="330" spans="28:42" ht="16.5" customHeight="1">
      <c r="AB330" s="26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  <c r="AM330" s="27"/>
      <c r="AN330" s="27"/>
      <c r="AO330" s="27"/>
      <c r="AP330" s="26"/>
    </row>
    <row r="331" spans="28:42" ht="16.5" customHeight="1">
      <c r="AB331" s="26"/>
      <c r="AC331" s="27"/>
      <c r="AD331" s="27"/>
      <c r="AE331" s="27"/>
      <c r="AF331" s="27"/>
      <c r="AG331" s="27"/>
      <c r="AH331" s="27"/>
      <c r="AI331" s="27"/>
      <c r="AJ331" s="27"/>
      <c r="AK331" s="27"/>
      <c r="AL331" s="27"/>
      <c r="AM331" s="27"/>
      <c r="AN331" s="27"/>
      <c r="AO331" s="27"/>
      <c r="AP331" s="26"/>
    </row>
    <row r="332" spans="28:42" ht="16.5" customHeight="1">
      <c r="AB332" s="26"/>
      <c r="AC332" s="27"/>
      <c r="AD332" s="27"/>
      <c r="AE332" s="27"/>
      <c r="AF332" s="27"/>
      <c r="AG332" s="27"/>
      <c r="AH332" s="27"/>
      <c r="AI332" s="27"/>
      <c r="AJ332" s="27"/>
      <c r="AK332" s="27"/>
      <c r="AL332" s="27"/>
      <c r="AM332" s="27"/>
      <c r="AN332" s="27"/>
      <c r="AO332" s="27"/>
      <c r="AP332" s="26"/>
    </row>
    <row r="333" spans="28:42" ht="16.5" customHeight="1">
      <c r="AB333" s="26"/>
      <c r="AC333" s="27"/>
      <c r="AD333" s="27"/>
      <c r="AE333" s="27"/>
      <c r="AF333" s="27"/>
      <c r="AG333" s="27"/>
      <c r="AH333" s="27"/>
      <c r="AI333" s="27"/>
      <c r="AJ333" s="27"/>
      <c r="AK333" s="27"/>
      <c r="AL333" s="27"/>
      <c r="AM333" s="27"/>
      <c r="AN333" s="27"/>
      <c r="AO333" s="27"/>
      <c r="AP333" s="26"/>
    </row>
    <row r="334" spans="28:42" ht="16.5" customHeight="1">
      <c r="AB334" s="26"/>
      <c r="AC334" s="27"/>
      <c r="AD334" s="27"/>
      <c r="AE334" s="27"/>
      <c r="AF334" s="27"/>
      <c r="AG334" s="27"/>
      <c r="AH334" s="27"/>
      <c r="AI334" s="27"/>
      <c r="AJ334" s="27"/>
      <c r="AK334" s="27"/>
      <c r="AL334" s="27"/>
      <c r="AM334" s="27"/>
      <c r="AN334" s="27"/>
      <c r="AO334" s="27"/>
      <c r="AP334" s="26"/>
    </row>
    <row r="335" spans="28:42" ht="16.5" customHeight="1">
      <c r="AB335" s="26"/>
      <c r="AC335" s="27"/>
      <c r="AD335" s="27"/>
      <c r="AE335" s="27"/>
      <c r="AF335" s="27"/>
      <c r="AG335" s="27"/>
      <c r="AH335" s="27"/>
      <c r="AI335" s="27"/>
      <c r="AJ335" s="27"/>
      <c r="AK335" s="27"/>
      <c r="AL335" s="27"/>
      <c r="AM335" s="27"/>
      <c r="AN335" s="27"/>
      <c r="AO335" s="27"/>
      <c r="AP335" s="26"/>
    </row>
    <row r="336" spans="28:42" ht="16.5" customHeight="1">
      <c r="AB336" s="26"/>
      <c r="AC336" s="27"/>
      <c r="AD336" s="27"/>
      <c r="AE336" s="27"/>
      <c r="AF336" s="27"/>
      <c r="AG336" s="27"/>
      <c r="AH336" s="27"/>
      <c r="AI336" s="27"/>
      <c r="AJ336" s="27"/>
      <c r="AK336" s="27"/>
      <c r="AL336" s="27"/>
      <c r="AM336" s="27"/>
      <c r="AN336" s="27"/>
      <c r="AO336" s="27"/>
      <c r="AP336" s="26"/>
    </row>
    <row r="337" spans="28:42" ht="16.5" customHeight="1">
      <c r="AB337" s="26"/>
      <c r="AC337" s="27"/>
      <c r="AD337" s="27"/>
      <c r="AE337" s="27"/>
      <c r="AF337" s="27"/>
      <c r="AG337" s="27"/>
      <c r="AH337" s="27"/>
      <c r="AI337" s="27"/>
      <c r="AJ337" s="27"/>
      <c r="AK337" s="27"/>
      <c r="AL337" s="27"/>
      <c r="AM337" s="27"/>
      <c r="AN337" s="27"/>
      <c r="AO337" s="27"/>
      <c r="AP337" s="26"/>
    </row>
    <row r="338" spans="28:42" ht="16.5" customHeight="1">
      <c r="AB338" s="26"/>
      <c r="AC338" s="27"/>
      <c r="AD338" s="27"/>
      <c r="AE338" s="27"/>
      <c r="AF338" s="27"/>
      <c r="AG338" s="27"/>
      <c r="AH338" s="27"/>
      <c r="AI338" s="27"/>
      <c r="AJ338" s="27"/>
      <c r="AK338" s="27"/>
      <c r="AL338" s="27"/>
      <c r="AM338" s="27"/>
      <c r="AN338" s="27"/>
      <c r="AO338" s="27"/>
      <c r="AP338" s="26"/>
    </row>
    <row r="339" spans="28:42" ht="16.5" customHeight="1">
      <c r="AB339" s="26"/>
      <c r="AC339" s="27"/>
      <c r="AD339" s="27"/>
      <c r="AE339" s="27"/>
      <c r="AF339" s="27"/>
      <c r="AG339" s="27"/>
      <c r="AH339" s="27"/>
      <c r="AI339" s="27"/>
      <c r="AJ339" s="27"/>
      <c r="AK339" s="27"/>
      <c r="AL339" s="27"/>
      <c r="AM339" s="27"/>
      <c r="AN339" s="27"/>
      <c r="AO339" s="27"/>
      <c r="AP339" s="26"/>
    </row>
    <row r="340" spans="28:42" ht="16.5" customHeight="1">
      <c r="AB340" s="26"/>
      <c r="AC340" s="27"/>
      <c r="AD340" s="27"/>
      <c r="AE340" s="27"/>
      <c r="AF340" s="27"/>
      <c r="AG340" s="27"/>
      <c r="AH340" s="27"/>
      <c r="AI340" s="27"/>
      <c r="AJ340" s="27"/>
      <c r="AK340" s="27"/>
      <c r="AL340" s="27"/>
      <c r="AM340" s="27"/>
      <c r="AN340" s="27"/>
      <c r="AO340" s="27"/>
      <c r="AP340" s="26"/>
    </row>
    <row r="341" spans="28:42" ht="16.5" customHeight="1">
      <c r="AB341" s="26"/>
      <c r="AC341" s="27"/>
      <c r="AD341" s="27"/>
      <c r="AE341" s="27"/>
      <c r="AF341" s="27"/>
      <c r="AG341" s="27"/>
      <c r="AH341" s="27"/>
      <c r="AI341" s="27"/>
      <c r="AJ341" s="27"/>
      <c r="AK341" s="27"/>
      <c r="AL341" s="27"/>
      <c r="AM341" s="27"/>
      <c r="AN341" s="27"/>
      <c r="AO341" s="27"/>
      <c r="AP341" s="26"/>
    </row>
    <row r="342" spans="28:42" ht="16.5" customHeight="1">
      <c r="AB342" s="26"/>
      <c r="AC342" s="27"/>
      <c r="AD342" s="27"/>
      <c r="AE342" s="27"/>
      <c r="AF342" s="27"/>
      <c r="AG342" s="27"/>
      <c r="AH342" s="27"/>
      <c r="AI342" s="27"/>
      <c r="AJ342" s="27"/>
      <c r="AK342" s="27"/>
      <c r="AL342" s="27"/>
      <c r="AM342" s="27"/>
      <c r="AN342" s="27"/>
      <c r="AO342" s="27"/>
      <c r="AP342" s="26"/>
    </row>
    <row r="343" spans="28:42" ht="16.5" customHeight="1">
      <c r="AB343" s="26"/>
      <c r="AC343" s="27"/>
      <c r="AD343" s="27"/>
      <c r="AE343" s="27"/>
      <c r="AF343" s="27"/>
      <c r="AG343" s="27"/>
      <c r="AH343" s="27"/>
      <c r="AI343" s="27"/>
      <c r="AJ343" s="27"/>
      <c r="AK343" s="27"/>
      <c r="AL343" s="27"/>
      <c r="AM343" s="27"/>
      <c r="AN343" s="27"/>
      <c r="AO343" s="27"/>
      <c r="AP343" s="26"/>
    </row>
    <row r="344" spans="28:42" ht="16.5" customHeight="1">
      <c r="AB344" s="26"/>
      <c r="AC344" s="27"/>
      <c r="AD344" s="27"/>
      <c r="AE344" s="27"/>
      <c r="AF344" s="27"/>
      <c r="AG344" s="27"/>
      <c r="AH344" s="27"/>
      <c r="AI344" s="27"/>
      <c r="AJ344" s="27"/>
      <c r="AK344" s="27"/>
      <c r="AL344" s="27"/>
      <c r="AM344" s="27"/>
      <c r="AN344" s="27"/>
      <c r="AO344" s="27"/>
      <c r="AP344" s="26"/>
    </row>
    <row r="345" spans="28:42" ht="16.5" customHeight="1">
      <c r="AB345" s="26"/>
      <c r="AC345" s="27"/>
      <c r="AD345" s="27"/>
      <c r="AE345" s="27"/>
      <c r="AF345" s="27"/>
      <c r="AG345" s="27"/>
      <c r="AH345" s="27"/>
      <c r="AI345" s="27"/>
      <c r="AJ345" s="27"/>
      <c r="AK345" s="27"/>
      <c r="AL345" s="27"/>
      <c r="AM345" s="27"/>
      <c r="AN345" s="27"/>
      <c r="AO345" s="27"/>
      <c r="AP345" s="26"/>
    </row>
    <row r="346" spans="28:42" ht="16.5" customHeight="1">
      <c r="AB346" s="26"/>
      <c r="AC346" s="27"/>
      <c r="AD346" s="27"/>
      <c r="AE346" s="27"/>
      <c r="AF346" s="27"/>
      <c r="AG346" s="27"/>
      <c r="AH346" s="27"/>
      <c r="AI346" s="27"/>
      <c r="AJ346" s="27"/>
      <c r="AK346" s="27"/>
      <c r="AL346" s="27"/>
      <c r="AM346" s="27"/>
      <c r="AN346" s="27"/>
      <c r="AO346" s="27"/>
      <c r="AP346" s="26"/>
    </row>
    <row r="347" spans="28:42" ht="16.5" customHeight="1">
      <c r="AB347" s="26"/>
      <c r="AC347" s="27"/>
      <c r="AD347" s="27"/>
      <c r="AE347" s="27"/>
      <c r="AF347" s="27"/>
      <c r="AG347" s="27"/>
      <c r="AH347" s="27"/>
      <c r="AI347" s="27"/>
      <c r="AJ347" s="27"/>
      <c r="AK347" s="27"/>
      <c r="AL347" s="27"/>
      <c r="AM347" s="27"/>
      <c r="AN347" s="27"/>
      <c r="AO347" s="27"/>
      <c r="AP347" s="26"/>
    </row>
    <row r="348" spans="28:42" ht="16.5" customHeight="1">
      <c r="AB348" s="26"/>
      <c r="AC348" s="27"/>
      <c r="AD348" s="27"/>
      <c r="AE348" s="27"/>
      <c r="AF348" s="27"/>
      <c r="AG348" s="27"/>
      <c r="AH348" s="27"/>
      <c r="AI348" s="27"/>
      <c r="AJ348" s="27"/>
      <c r="AK348" s="27"/>
      <c r="AL348" s="27"/>
      <c r="AM348" s="27"/>
      <c r="AN348" s="27"/>
      <c r="AO348" s="27"/>
      <c r="AP348" s="26"/>
    </row>
    <row r="349" spans="28:42" ht="16.5" customHeight="1">
      <c r="AB349" s="26"/>
      <c r="AC349" s="27"/>
      <c r="AD349" s="27"/>
      <c r="AE349" s="27"/>
      <c r="AF349" s="27"/>
      <c r="AG349" s="27"/>
      <c r="AH349" s="27"/>
      <c r="AI349" s="27"/>
      <c r="AJ349" s="27"/>
      <c r="AK349" s="27"/>
      <c r="AL349" s="27"/>
      <c r="AM349" s="27"/>
      <c r="AN349" s="27"/>
      <c r="AO349" s="27"/>
      <c r="AP349" s="26"/>
    </row>
    <row r="350" spans="28:42" ht="16.5" customHeight="1">
      <c r="AC350" s="24"/>
      <c r="AD350" s="24"/>
      <c r="AE350" s="24"/>
      <c r="AF350" s="24"/>
      <c r="AG350" s="24"/>
      <c r="AH350" s="24"/>
      <c r="AI350" s="24"/>
      <c r="AJ350" s="24"/>
      <c r="AK350" s="24"/>
      <c r="AL350" s="24"/>
      <c r="AM350" s="24"/>
      <c r="AN350" s="24"/>
      <c r="AO350" s="24"/>
    </row>
    <row r="351" spans="28:42" ht="16.5" customHeight="1">
      <c r="AC351" s="24"/>
      <c r="AD351" s="24"/>
      <c r="AE351" s="24"/>
      <c r="AF351" s="24"/>
      <c r="AG351" s="24"/>
      <c r="AH351" s="24"/>
      <c r="AI351" s="24"/>
      <c r="AJ351" s="24"/>
      <c r="AK351" s="24"/>
      <c r="AL351" s="24"/>
      <c r="AM351" s="24"/>
      <c r="AN351" s="24"/>
      <c r="AO351" s="24"/>
    </row>
    <row r="352" spans="28:42" ht="16.5" customHeight="1">
      <c r="AC352" s="24"/>
      <c r="AD352" s="24"/>
      <c r="AE352" s="24"/>
      <c r="AF352" s="24"/>
      <c r="AG352" s="24"/>
      <c r="AH352" s="24"/>
      <c r="AI352" s="24"/>
      <c r="AJ352" s="24"/>
      <c r="AK352" s="24"/>
      <c r="AL352" s="24"/>
      <c r="AM352" s="24"/>
      <c r="AN352" s="24"/>
      <c r="AO352" s="24"/>
    </row>
    <row r="353" spans="29:41" ht="16.5" customHeight="1">
      <c r="AC353" s="24"/>
      <c r="AD353" s="24"/>
      <c r="AE353" s="24"/>
      <c r="AF353" s="24"/>
      <c r="AG353" s="24"/>
      <c r="AH353" s="24"/>
      <c r="AI353" s="24"/>
      <c r="AJ353" s="24"/>
      <c r="AK353" s="24"/>
      <c r="AL353" s="24"/>
      <c r="AM353" s="24"/>
      <c r="AN353" s="24"/>
      <c r="AO353" s="24"/>
    </row>
    <row r="354" spans="29:41" ht="16.5" customHeight="1">
      <c r="AC354" s="24"/>
      <c r="AD354" s="24"/>
      <c r="AE354" s="24"/>
      <c r="AF354" s="24"/>
      <c r="AG354" s="24"/>
      <c r="AH354" s="24"/>
      <c r="AI354" s="24"/>
      <c r="AJ354" s="24"/>
      <c r="AK354" s="24"/>
      <c r="AL354" s="24"/>
      <c r="AM354" s="24"/>
      <c r="AN354" s="24"/>
      <c r="AO354" s="24"/>
    </row>
    <row r="355" spans="29:41" ht="16.5" customHeight="1">
      <c r="AC355" s="24"/>
      <c r="AD355" s="24"/>
      <c r="AE355" s="24"/>
      <c r="AF355" s="24"/>
      <c r="AG355" s="24"/>
      <c r="AH355" s="24"/>
      <c r="AI355" s="24"/>
      <c r="AJ355" s="24"/>
      <c r="AK355" s="24"/>
      <c r="AL355" s="24"/>
      <c r="AM355" s="24"/>
      <c r="AN355" s="24"/>
      <c r="AO355" s="24"/>
    </row>
    <row r="356" spans="29:41" ht="16.5" customHeight="1">
      <c r="AC356" s="24"/>
      <c r="AD356" s="24"/>
      <c r="AE356" s="24"/>
      <c r="AF356" s="24"/>
      <c r="AG356" s="24"/>
      <c r="AH356" s="24"/>
      <c r="AI356" s="24"/>
      <c r="AJ356" s="24"/>
      <c r="AK356" s="24"/>
      <c r="AL356" s="24"/>
      <c r="AM356" s="24"/>
      <c r="AN356" s="24"/>
      <c r="AO356" s="24"/>
    </row>
    <row r="357" spans="29:41" ht="16.5" customHeight="1">
      <c r="AC357" s="24"/>
      <c r="AD357" s="24"/>
      <c r="AE357" s="24"/>
      <c r="AF357" s="24"/>
      <c r="AG357" s="24"/>
      <c r="AH357" s="24"/>
      <c r="AI357" s="24"/>
      <c r="AJ357" s="24"/>
      <c r="AK357" s="24"/>
      <c r="AL357" s="24"/>
      <c r="AM357" s="24"/>
      <c r="AN357" s="24"/>
      <c r="AO357" s="24"/>
    </row>
    <row r="358" spans="29:41" ht="16.5" customHeight="1">
      <c r="AC358" s="24"/>
      <c r="AD358" s="24"/>
      <c r="AE358" s="24"/>
      <c r="AF358" s="24"/>
      <c r="AG358" s="24"/>
      <c r="AH358" s="24"/>
      <c r="AI358" s="24"/>
      <c r="AJ358" s="24"/>
      <c r="AK358" s="24"/>
      <c r="AL358" s="24"/>
      <c r="AM358" s="24"/>
      <c r="AN358" s="24"/>
      <c r="AO358" s="24"/>
    </row>
    <row r="359" spans="29:41" ht="16.5" customHeight="1">
      <c r="AC359" s="24"/>
      <c r="AD359" s="24"/>
      <c r="AE359" s="24"/>
      <c r="AF359" s="24"/>
      <c r="AG359" s="24"/>
      <c r="AH359" s="24"/>
      <c r="AI359" s="24"/>
      <c r="AJ359" s="24"/>
      <c r="AK359" s="24"/>
      <c r="AL359" s="24"/>
      <c r="AM359" s="24"/>
      <c r="AN359" s="24"/>
      <c r="AO359" s="24"/>
    </row>
    <row r="360" spans="29:41" ht="16.5" customHeight="1">
      <c r="AC360" s="24"/>
      <c r="AD360" s="24"/>
      <c r="AE360" s="24"/>
      <c r="AF360" s="24"/>
      <c r="AG360" s="24"/>
      <c r="AH360" s="24"/>
      <c r="AI360" s="24"/>
      <c r="AJ360" s="24"/>
      <c r="AK360" s="24"/>
      <c r="AL360" s="24"/>
      <c r="AM360" s="24"/>
      <c r="AN360" s="24"/>
      <c r="AO360" s="24"/>
    </row>
    <row r="361" spans="29:41" ht="16.5" customHeight="1">
      <c r="AC361" s="24"/>
      <c r="AD361" s="24"/>
      <c r="AE361" s="24"/>
      <c r="AF361" s="24"/>
      <c r="AG361" s="24"/>
      <c r="AH361" s="24"/>
      <c r="AI361" s="24"/>
      <c r="AJ361" s="24"/>
      <c r="AK361" s="24"/>
      <c r="AL361" s="24"/>
      <c r="AM361" s="24"/>
      <c r="AN361" s="24"/>
      <c r="AO361" s="24"/>
    </row>
    <row r="362" spans="29:41" ht="16.5" customHeight="1">
      <c r="AC362" s="24"/>
      <c r="AD362" s="24"/>
      <c r="AE362" s="24"/>
      <c r="AF362" s="24"/>
      <c r="AG362" s="24"/>
      <c r="AH362" s="24"/>
      <c r="AI362" s="24"/>
      <c r="AJ362" s="24"/>
      <c r="AK362" s="24"/>
      <c r="AL362" s="24"/>
      <c r="AM362" s="24"/>
      <c r="AN362" s="24"/>
      <c r="AO362" s="24"/>
    </row>
    <row r="363" spans="29:41" ht="16.5" customHeight="1">
      <c r="AC363" s="24"/>
      <c r="AD363" s="24"/>
      <c r="AE363" s="24"/>
      <c r="AF363" s="24"/>
      <c r="AG363" s="24"/>
      <c r="AH363" s="24"/>
      <c r="AI363" s="24"/>
      <c r="AJ363" s="24"/>
      <c r="AK363" s="24"/>
      <c r="AL363" s="24"/>
      <c r="AM363" s="24"/>
      <c r="AN363" s="24"/>
      <c r="AO363" s="24"/>
    </row>
    <row r="364" spans="29:41" ht="16.5" customHeight="1">
      <c r="AC364" s="24"/>
      <c r="AD364" s="24"/>
      <c r="AE364" s="24"/>
      <c r="AF364" s="24"/>
      <c r="AG364" s="24"/>
      <c r="AH364" s="24"/>
      <c r="AI364" s="24"/>
      <c r="AJ364" s="24"/>
      <c r="AK364" s="24"/>
      <c r="AL364" s="24"/>
      <c r="AM364" s="24"/>
      <c r="AN364" s="24"/>
      <c r="AO364" s="24"/>
    </row>
    <row r="365" spans="29:41" ht="16.5" customHeight="1">
      <c r="AC365" s="24"/>
      <c r="AD365" s="24"/>
      <c r="AE365" s="24"/>
      <c r="AF365" s="24"/>
      <c r="AG365" s="24"/>
      <c r="AH365" s="24"/>
      <c r="AI365" s="24"/>
      <c r="AJ365" s="24"/>
      <c r="AK365" s="24"/>
      <c r="AL365" s="24"/>
      <c r="AM365" s="24"/>
      <c r="AN365" s="24"/>
      <c r="AO365" s="24"/>
    </row>
    <row r="366" spans="29:41" ht="16.5" customHeight="1">
      <c r="AC366" s="24"/>
      <c r="AD366" s="24"/>
      <c r="AE366" s="24"/>
      <c r="AF366" s="24"/>
      <c r="AG366" s="24"/>
      <c r="AH366" s="24"/>
      <c r="AI366" s="24"/>
      <c r="AJ366" s="24"/>
      <c r="AK366" s="24"/>
      <c r="AL366" s="24"/>
      <c r="AM366" s="24"/>
      <c r="AN366" s="24"/>
      <c r="AO366" s="24"/>
    </row>
    <row r="367" spans="29:41" ht="16.5" customHeight="1">
      <c r="AC367" s="24"/>
      <c r="AD367" s="24"/>
      <c r="AE367" s="24"/>
      <c r="AF367" s="24"/>
      <c r="AG367" s="24"/>
      <c r="AH367" s="24"/>
      <c r="AI367" s="24"/>
      <c r="AJ367" s="24"/>
      <c r="AK367" s="24"/>
      <c r="AL367" s="24"/>
      <c r="AM367" s="24"/>
      <c r="AN367" s="24"/>
      <c r="AO367" s="24"/>
    </row>
    <row r="368" spans="29:41" ht="16.5" customHeight="1">
      <c r="AC368" s="24"/>
      <c r="AD368" s="24"/>
      <c r="AE368" s="24"/>
      <c r="AF368" s="24"/>
      <c r="AG368" s="24"/>
      <c r="AH368" s="24"/>
      <c r="AI368" s="24"/>
      <c r="AJ368" s="24"/>
      <c r="AK368" s="24"/>
      <c r="AL368" s="24"/>
      <c r="AM368" s="24"/>
      <c r="AN368" s="24"/>
      <c r="AO368" s="24"/>
    </row>
    <row r="369" spans="29:41" ht="16.5" customHeight="1">
      <c r="AC369" s="24"/>
      <c r="AD369" s="24"/>
      <c r="AE369" s="24"/>
      <c r="AF369" s="24"/>
      <c r="AG369" s="24"/>
      <c r="AH369" s="24"/>
      <c r="AI369" s="24"/>
      <c r="AJ369" s="24"/>
      <c r="AK369" s="24"/>
      <c r="AL369" s="24"/>
      <c r="AM369" s="24"/>
      <c r="AN369" s="24"/>
      <c r="AO369" s="24"/>
    </row>
    <row r="370" spans="29:41" ht="16.5" customHeight="1">
      <c r="AC370" s="24"/>
      <c r="AD370" s="24"/>
      <c r="AE370" s="24"/>
      <c r="AF370" s="24"/>
      <c r="AG370" s="24"/>
      <c r="AH370" s="24"/>
      <c r="AI370" s="24"/>
      <c r="AJ370" s="24"/>
      <c r="AK370" s="24"/>
      <c r="AL370" s="24"/>
      <c r="AM370" s="24"/>
      <c r="AN370" s="24"/>
      <c r="AO370" s="24"/>
    </row>
    <row r="371" spans="29:41" ht="16.5" customHeight="1">
      <c r="AC371" s="24"/>
      <c r="AD371" s="24"/>
      <c r="AE371" s="24"/>
      <c r="AF371" s="24"/>
      <c r="AG371" s="24"/>
      <c r="AH371" s="24"/>
      <c r="AI371" s="24"/>
      <c r="AJ371" s="24"/>
      <c r="AK371" s="24"/>
      <c r="AL371" s="24"/>
      <c r="AM371" s="24"/>
      <c r="AN371" s="24"/>
      <c r="AO371" s="24"/>
    </row>
    <row r="372" spans="29:41" ht="16.5" customHeight="1">
      <c r="AC372" s="24"/>
      <c r="AD372" s="24"/>
      <c r="AE372" s="24"/>
      <c r="AF372" s="24"/>
      <c r="AG372" s="24"/>
      <c r="AH372" s="24"/>
      <c r="AI372" s="24"/>
      <c r="AJ372" s="24"/>
      <c r="AK372" s="24"/>
      <c r="AL372" s="24"/>
      <c r="AM372" s="24"/>
      <c r="AN372" s="24"/>
      <c r="AO372" s="24"/>
    </row>
    <row r="373" spans="29:41" ht="16.5" customHeight="1">
      <c r="AC373" s="24"/>
      <c r="AD373" s="24"/>
      <c r="AE373" s="24"/>
      <c r="AF373" s="24"/>
      <c r="AG373" s="24"/>
      <c r="AH373" s="24"/>
      <c r="AI373" s="24"/>
      <c r="AJ373" s="24"/>
      <c r="AK373" s="24"/>
      <c r="AL373" s="24"/>
      <c r="AM373" s="24"/>
      <c r="AN373" s="24"/>
      <c r="AO373" s="24"/>
    </row>
    <row r="374" spans="29:41" ht="16.5" customHeight="1">
      <c r="AC374" s="24"/>
      <c r="AD374" s="24"/>
      <c r="AE374" s="24"/>
      <c r="AF374" s="24"/>
      <c r="AG374" s="24"/>
      <c r="AH374" s="24"/>
      <c r="AI374" s="24"/>
      <c r="AJ374" s="24"/>
      <c r="AK374" s="24"/>
      <c r="AL374" s="24"/>
      <c r="AM374" s="24"/>
      <c r="AN374" s="24"/>
      <c r="AO374" s="24"/>
    </row>
    <row r="375" spans="29:41" ht="16.5" customHeight="1">
      <c r="AC375" s="24"/>
      <c r="AD375" s="24"/>
      <c r="AE375" s="24"/>
      <c r="AF375" s="24"/>
      <c r="AG375" s="24"/>
      <c r="AH375" s="24"/>
      <c r="AI375" s="24"/>
      <c r="AJ375" s="24"/>
      <c r="AK375" s="24"/>
      <c r="AL375" s="24"/>
      <c r="AM375" s="24"/>
      <c r="AN375" s="24"/>
      <c r="AO375" s="24"/>
    </row>
    <row r="376" spans="29:41" ht="16.5" customHeight="1">
      <c r="AC376" s="24"/>
      <c r="AD376" s="24"/>
      <c r="AE376" s="24"/>
      <c r="AF376" s="24"/>
      <c r="AG376" s="24"/>
      <c r="AH376" s="24"/>
      <c r="AI376" s="24"/>
      <c r="AJ376" s="24"/>
      <c r="AK376" s="24"/>
      <c r="AL376" s="24"/>
      <c r="AM376" s="24"/>
      <c r="AN376" s="24"/>
      <c r="AO376" s="24"/>
    </row>
    <row r="377" spans="29:41" ht="16.5" customHeight="1">
      <c r="AC377" s="24"/>
      <c r="AD377" s="24"/>
      <c r="AE377" s="24"/>
      <c r="AF377" s="24"/>
      <c r="AG377" s="24"/>
      <c r="AH377" s="24"/>
      <c r="AI377" s="24"/>
      <c r="AJ377" s="24"/>
      <c r="AK377" s="24"/>
      <c r="AL377" s="24"/>
      <c r="AM377" s="24"/>
      <c r="AN377" s="24"/>
      <c r="AO377" s="24"/>
    </row>
    <row r="378" spans="29:41" ht="16.5" customHeight="1">
      <c r="AC378" s="24"/>
      <c r="AD378" s="24"/>
      <c r="AE378" s="24"/>
      <c r="AF378" s="24"/>
      <c r="AG378" s="24"/>
      <c r="AH378" s="24"/>
      <c r="AI378" s="24"/>
      <c r="AJ378" s="24"/>
      <c r="AK378" s="24"/>
      <c r="AL378" s="24"/>
      <c r="AM378" s="24"/>
      <c r="AN378" s="24"/>
      <c r="AO378" s="24"/>
    </row>
    <row r="379" spans="29:41" ht="16.5" customHeight="1">
      <c r="AC379" s="24"/>
      <c r="AD379" s="24"/>
      <c r="AE379" s="24"/>
      <c r="AF379" s="24"/>
      <c r="AG379" s="24"/>
      <c r="AH379" s="24"/>
      <c r="AI379" s="24"/>
      <c r="AJ379" s="24"/>
      <c r="AK379" s="24"/>
      <c r="AL379" s="24"/>
      <c r="AM379" s="24"/>
      <c r="AN379" s="24"/>
      <c r="AO379" s="24"/>
    </row>
    <row r="380" spans="29:41" ht="16.5" customHeight="1">
      <c r="AC380" s="24"/>
      <c r="AD380" s="24"/>
      <c r="AE380" s="24"/>
      <c r="AF380" s="24"/>
      <c r="AG380" s="24"/>
      <c r="AH380" s="24"/>
      <c r="AI380" s="24"/>
      <c r="AJ380" s="24"/>
      <c r="AK380" s="24"/>
      <c r="AL380" s="24"/>
      <c r="AM380" s="24"/>
      <c r="AN380" s="24"/>
      <c r="AO380" s="24"/>
    </row>
    <row r="381" spans="29:41" ht="16.5" customHeight="1">
      <c r="AC381" s="24"/>
      <c r="AD381" s="24"/>
      <c r="AE381" s="24"/>
      <c r="AF381" s="24"/>
      <c r="AG381" s="24"/>
      <c r="AH381" s="24"/>
      <c r="AI381" s="24"/>
      <c r="AJ381" s="24"/>
      <c r="AK381" s="24"/>
      <c r="AL381" s="24"/>
      <c r="AM381" s="24"/>
      <c r="AN381" s="24"/>
      <c r="AO381" s="24"/>
    </row>
    <row r="382" spans="29:41" ht="16.5" customHeight="1">
      <c r="AC382" s="24"/>
      <c r="AD382" s="24"/>
      <c r="AE382" s="24"/>
      <c r="AF382" s="24"/>
      <c r="AG382" s="24"/>
      <c r="AH382" s="24"/>
      <c r="AI382" s="24"/>
      <c r="AJ382" s="24"/>
      <c r="AK382" s="24"/>
      <c r="AL382" s="24"/>
      <c r="AM382" s="24"/>
      <c r="AN382" s="24"/>
      <c r="AO382" s="24"/>
    </row>
    <row r="383" spans="29:41" ht="16.5" customHeight="1">
      <c r="AC383" s="24"/>
      <c r="AD383" s="24"/>
      <c r="AE383" s="24"/>
      <c r="AF383" s="24"/>
      <c r="AG383" s="24"/>
      <c r="AH383" s="24"/>
      <c r="AI383" s="24"/>
      <c r="AJ383" s="24"/>
      <c r="AK383" s="24"/>
      <c r="AL383" s="24"/>
      <c r="AM383" s="24"/>
      <c r="AN383" s="24"/>
      <c r="AO383" s="24"/>
    </row>
    <row r="384" spans="29:41" ht="16.5" customHeight="1">
      <c r="AC384" s="24"/>
      <c r="AD384" s="24"/>
      <c r="AE384" s="24"/>
      <c r="AF384" s="24"/>
      <c r="AG384" s="24"/>
      <c r="AH384" s="24"/>
      <c r="AI384" s="24"/>
      <c r="AJ384" s="24"/>
      <c r="AK384" s="24"/>
      <c r="AL384" s="24"/>
      <c r="AM384" s="24"/>
      <c r="AN384" s="24"/>
      <c r="AO384" s="24"/>
    </row>
    <row r="385" spans="29:41" ht="16.5" customHeight="1">
      <c r="AC385" s="24"/>
      <c r="AD385" s="24"/>
      <c r="AE385" s="24"/>
      <c r="AF385" s="24"/>
      <c r="AG385" s="24"/>
      <c r="AH385" s="24"/>
      <c r="AI385" s="24"/>
      <c r="AJ385" s="24"/>
      <c r="AK385" s="24"/>
      <c r="AL385" s="24"/>
      <c r="AM385" s="24"/>
      <c r="AN385" s="24"/>
      <c r="AO385" s="24"/>
    </row>
    <row r="386" spans="29:41" ht="16.5" customHeight="1">
      <c r="AC386" s="24"/>
      <c r="AD386" s="24"/>
      <c r="AE386" s="24"/>
      <c r="AF386" s="24"/>
      <c r="AG386" s="24"/>
      <c r="AH386" s="24"/>
      <c r="AI386" s="24"/>
      <c r="AJ386" s="24"/>
      <c r="AK386" s="24"/>
      <c r="AL386" s="24"/>
      <c r="AM386" s="24"/>
      <c r="AN386" s="24"/>
      <c r="AO386" s="24"/>
    </row>
    <row r="387" spans="29:41" ht="16.5" customHeight="1">
      <c r="AC387" s="24"/>
      <c r="AD387" s="24"/>
      <c r="AE387" s="24"/>
      <c r="AF387" s="24"/>
      <c r="AG387" s="24"/>
      <c r="AH387" s="24"/>
      <c r="AI387" s="24"/>
      <c r="AJ387" s="24"/>
      <c r="AK387" s="24"/>
      <c r="AL387" s="24"/>
      <c r="AM387" s="24"/>
      <c r="AN387" s="24"/>
      <c r="AO387" s="24"/>
    </row>
    <row r="388" spans="29:41" ht="16.5" customHeight="1">
      <c r="AC388" s="24"/>
      <c r="AD388" s="24"/>
      <c r="AE388" s="24"/>
      <c r="AF388" s="24"/>
      <c r="AG388" s="24"/>
      <c r="AH388" s="24"/>
      <c r="AI388" s="24"/>
      <c r="AJ388" s="24"/>
      <c r="AK388" s="24"/>
      <c r="AL388" s="24"/>
      <c r="AM388" s="24"/>
      <c r="AN388" s="24"/>
      <c r="AO388" s="24"/>
    </row>
    <row r="389" spans="29:41" ht="16.5" customHeight="1">
      <c r="AC389" s="24"/>
      <c r="AD389" s="24"/>
      <c r="AE389" s="24"/>
      <c r="AF389" s="24"/>
      <c r="AG389" s="24"/>
      <c r="AH389" s="24"/>
      <c r="AI389" s="24"/>
      <c r="AJ389" s="24"/>
      <c r="AK389" s="24"/>
      <c r="AL389" s="24"/>
      <c r="AM389" s="24"/>
      <c r="AN389" s="24"/>
      <c r="AO389" s="24"/>
    </row>
    <row r="390" spans="29:41" ht="16.5" customHeight="1">
      <c r="AC390" s="24"/>
      <c r="AD390" s="24"/>
      <c r="AE390" s="24"/>
      <c r="AF390" s="24"/>
      <c r="AG390" s="24"/>
      <c r="AH390" s="24"/>
      <c r="AI390" s="24"/>
      <c r="AJ390" s="24"/>
      <c r="AK390" s="24"/>
      <c r="AL390" s="24"/>
      <c r="AM390" s="24"/>
      <c r="AN390" s="24"/>
      <c r="AO390" s="24"/>
    </row>
    <row r="391" spans="29:41" ht="16.5" customHeight="1">
      <c r="AC391" s="24"/>
      <c r="AD391" s="24"/>
      <c r="AE391" s="24"/>
      <c r="AF391" s="24"/>
      <c r="AG391" s="24"/>
      <c r="AH391" s="24"/>
      <c r="AI391" s="24"/>
      <c r="AJ391" s="24"/>
      <c r="AK391" s="24"/>
      <c r="AL391" s="24"/>
      <c r="AM391" s="24"/>
      <c r="AN391" s="24"/>
      <c r="AO391" s="24"/>
    </row>
    <row r="392" spans="29:41" ht="16.5" customHeight="1">
      <c r="AC392" s="24"/>
      <c r="AD392" s="24"/>
      <c r="AE392" s="24"/>
      <c r="AF392" s="24"/>
      <c r="AG392" s="24"/>
      <c r="AH392" s="24"/>
      <c r="AI392" s="24"/>
      <c r="AJ392" s="24"/>
      <c r="AK392" s="24"/>
      <c r="AL392" s="24"/>
      <c r="AM392" s="24"/>
      <c r="AN392" s="24"/>
      <c r="AO392" s="24"/>
    </row>
    <row r="393" spans="29:41" ht="16.5" customHeight="1">
      <c r="AC393" s="24"/>
      <c r="AD393" s="24"/>
      <c r="AE393" s="24"/>
      <c r="AF393" s="24"/>
      <c r="AG393" s="24"/>
      <c r="AH393" s="24"/>
      <c r="AI393" s="24"/>
      <c r="AJ393" s="24"/>
      <c r="AK393" s="24"/>
      <c r="AL393" s="24"/>
      <c r="AM393" s="24"/>
      <c r="AN393" s="24"/>
      <c r="AO393" s="24"/>
    </row>
    <row r="394" spans="29:41" ht="16.5" customHeight="1">
      <c r="AC394" s="24"/>
      <c r="AD394" s="24"/>
      <c r="AE394" s="24"/>
      <c r="AF394" s="24"/>
      <c r="AG394" s="24"/>
      <c r="AH394" s="24"/>
      <c r="AI394" s="24"/>
      <c r="AJ394" s="24"/>
      <c r="AK394" s="24"/>
      <c r="AL394" s="24"/>
      <c r="AM394" s="24"/>
      <c r="AN394" s="24"/>
      <c r="AO394" s="24"/>
    </row>
    <row r="395" spans="29:41" ht="16.5" customHeight="1">
      <c r="AC395" s="24"/>
      <c r="AD395" s="24"/>
      <c r="AE395" s="24"/>
      <c r="AF395" s="24"/>
      <c r="AG395" s="24"/>
      <c r="AH395" s="24"/>
      <c r="AI395" s="24"/>
      <c r="AJ395" s="24"/>
      <c r="AK395" s="24"/>
      <c r="AL395" s="24"/>
      <c r="AM395" s="24"/>
      <c r="AN395" s="24"/>
      <c r="AO395" s="24"/>
    </row>
    <row r="396" spans="29:41" ht="16.5" customHeight="1">
      <c r="AC396" s="24"/>
      <c r="AD396" s="24"/>
      <c r="AE396" s="24"/>
      <c r="AF396" s="24"/>
      <c r="AG396" s="24"/>
      <c r="AH396" s="24"/>
      <c r="AI396" s="24"/>
      <c r="AJ396" s="24"/>
      <c r="AK396" s="24"/>
      <c r="AL396" s="24"/>
      <c r="AM396" s="24"/>
      <c r="AN396" s="24"/>
      <c r="AO396" s="24"/>
    </row>
    <row r="397" spans="29:41" ht="16.5" customHeight="1">
      <c r="AC397" s="24"/>
      <c r="AD397" s="24"/>
      <c r="AE397" s="24"/>
      <c r="AF397" s="24"/>
      <c r="AG397" s="24"/>
      <c r="AH397" s="24"/>
      <c r="AI397" s="24"/>
      <c r="AJ397" s="24"/>
      <c r="AK397" s="24"/>
      <c r="AL397" s="24"/>
      <c r="AM397" s="24"/>
      <c r="AN397" s="24"/>
      <c r="AO397" s="24"/>
    </row>
    <row r="398" spans="29:41" ht="16.5" customHeight="1">
      <c r="AC398" s="24"/>
      <c r="AD398" s="24"/>
      <c r="AE398" s="24"/>
      <c r="AF398" s="24"/>
      <c r="AG398" s="24"/>
      <c r="AH398" s="24"/>
      <c r="AI398" s="24"/>
      <c r="AJ398" s="24"/>
      <c r="AK398" s="24"/>
      <c r="AL398" s="24"/>
      <c r="AM398" s="24"/>
      <c r="AN398" s="24"/>
      <c r="AO398" s="24"/>
    </row>
    <row r="399" spans="29:41" ht="16.5" customHeight="1">
      <c r="AC399" s="24"/>
      <c r="AD399" s="24"/>
      <c r="AE399" s="24"/>
      <c r="AF399" s="24"/>
      <c r="AG399" s="24"/>
      <c r="AH399" s="24"/>
      <c r="AI399" s="24"/>
      <c r="AJ399" s="24"/>
      <c r="AK399" s="24"/>
      <c r="AL399" s="24"/>
      <c r="AM399" s="24"/>
      <c r="AN399" s="24"/>
      <c r="AO399" s="24"/>
    </row>
    <row r="400" spans="29:41" ht="16.5" customHeight="1">
      <c r="AC400" s="24"/>
      <c r="AD400" s="24"/>
      <c r="AE400" s="24"/>
      <c r="AF400" s="24"/>
      <c r="AG400" s="24"/>
      <c r="AH400" s="24"/>
      <c r="AI400" s="24"/>
      <c r="AJ400" s="24"/>
      <c r="AK400" s="24"/>
      <c r="AL400" s="24"/>
      <c r="AM400" s="24"/>
      <c r="AN400" s="24"/>
      <c r="AO400" s="24"/>
    </row>
    <row r="401" spans="29:41" ht="16.5" customHeight="1">
      <c r="AC401" s="24"/>
      <c r="AD401" s="24"/>
      <c r="AE401" s="24"/>
      <c r="AF401" s="24"/>
      <c r="AG401" s="24"/>
      <c r="AH401" s="24"/>
      <c r="AI401" s="24"/>
      <c r="AJ401" s="24"/>
      <c r="AK401" s="24"/>
      <c r="AL401" s="24"/>
      <c r="AM401" s="24"/>
      <c r="AN401" s="24"/>
      <c r="AO401" s="24"/>
    </row>
    <row r="402" spans="29:41" ht="16.5" customHeight="1">
      <c r="AC402" s="24"/>
      <c r="AD402" s="24"/>
      <c r="AE402" s="24"/>
      <c r="AF402" s="24"/>
      <c r="AG402" s="24"/>
      <c r="AH402" s="24"/>
      <c r="AI402" s="24"/>
      <c r="AJ402" s="24"/>
      <c r="AK402" s="24"/>
      <c r="AL402" s="24"/>
      <c r="AM402" s="24"/>
      <c r="AN402" s="24"/>
      <c r="AO402" s="24"/>
    </row>
    <row r="403" spans="29:41" ht="16.5" customHeight="1">
      <c r="AC403" s="24"/>
      <c r="AD403" s="24"/>
      <c r="AE403" s="24"/>
      <c r="AF403" s="24"/>
      <c r="AG403" s="24"/>
      <c r="AH403" s="24"/>
      <c r="AI403" s="24"/>
      <c r="AJ403" s="24"/>
      <c r="AK403" s="24"/>
      <c r="AL403" s="24"/>
      <c r="AM403" s="24"/>
      <c r="AN403" s="24"/>
      <c r="AO403" s="24"/>
    </row>
    <row r="404" spans="29:41" ht="16.5" customHeight="1">
      <c r="AC404" s="24"/>
      <c r="AD404" s="24"/>
      <c r="AE404" s="24"/>
      <c r="AF404" s="24"/>
      <c r="AG404" s="24"/>
      <c r="AH404" s="24"/>
      <c r="AI404" s="24"/>
      <c r="AJ404" s="24"/>
      <c r="AK404" s="24"/>
      <c r="AL404" s="24"/>
      <c r="AM404" s="24"/>
      <c r="AN404" s="24"/>
      <c r="AO404" s="24"/>
    </row>
    <row r="405" spans="29:41" ht="16.5" customHeight="1">
      <c r="AC405" s="24"/>
      <c r="AD405" s="24"/>
      <c r="AE405" s="24"/>
      <c r="AF405" s="24"/>
      <c r="AG405" s="24"/>
      <c r="AH405" s="24"/>
      <c r="AI405" s="24"/>
      <c r="AJ405" s="24"/>
      <c r="AK405" s="24"/>
      <c r="AL405" s="24"/>
      <c r="AM405" s="24"/>
      <c r="AN405" s="24"/>
      <c r="AO405" s="24"/>
    </row>
    <row r="406" spans="29:41" ht="16.5" customHeight="1">
      <c r="AC406" s="24"/>
      <c r="AD406" s="24"/>
      <c r="AE406" s="24"/>
      <c r="AF406" s="24"/>
      <c r="AG406" s="24"/>
      <c r="AH406" s="24"/>
      <c r="AI406" s="24"/>
      <c r="AJ406" s="24"/>
      <c r="AK406" s="24"/>
      <c r="AL406" s="24"/>
      <c r="AM406" s="24"/>
      <c r="AN406" s="24"/>
      <c r="AO406" s="24"/>
    </row>
    <row r="407" spans="29:41" ht="16.5" customHeight="1">
      <c r="AC407" s="24"/>
      <c r="AD407" s="24"/>
      <c r="AE407" s="24"/>
      <c r="AF407" s="24"/>
      <c r="AG407" s="24"/>
      <c r="AH407" s="24"/>
      <c r="AI407" s="24"/>
      <c r="AJ407" s="24"/>
      <c r="AK407" s="24"/>
      <c r="AL407" s="24"/>
      <c r="AM407" s="24"/>
      <c r="AN407" s="24"/>
      <c r="AO407" s="24"/>
    </row>
    <row r="408" spans="29:41" ht="16.5" customHeight="1">
      <c r="AC408" s="24"/>
      <c r="AD408" s="24"/>
      <c r="AE408" s="24"/>
      <c r="AF408" s="24"/>
      <c r="AG408" s="24"/>
      <c r="AH408" s="24"/>
      <c r="AI408" s="24"/>
      <c r="AJ408" s="24"/>
      <c r="AK408" s="24"/>
      <c r="AL408" s="24"/>
      <c r="AM408" s="24"/>
      <c r="AN408" s="24"/>
      <c r="AO408" s="24"/>
    </row>
    <row r="409" spans="29:41" ht="16.5" customHeight="1">
      <c r="AC409" s="24"/>
      <c r="AD409" s="24"/>
      <c r="AE409" s="24"/>
      <c r="AF409" s="24"/>
      <c r="AG409" s="24"/>
      <c r="AH409" s="24"/>
      <c r="AI409" s="24"/>
      <c r="AJ409" s="24"/>
      <c r="AK409" s="24"/>
      <c r="AL409" s="24"/>
      <c r="AM409" s="24"/>
      <c r="AN409" s="24"/>
      <c r="AO409" s="24"/>
    </row>
    <row r="410" spans="29:41" ht="16.5" customHeight="1">
      <c r="AC410" s="24"/>
      <c r="AD410" s="24"/>
      <c r="AE410" s="24"/>
      <c r="AF410" s="24"/>
      <c r="AG410" s="24"/>
      <c r="AH410" s="24"/>
      <c r="AI410" s="24"/>
      <c r="AJ410" s="24"/>
      <c r="AK410" s="24"/>
      <c r="AL410" s="24"/>
      <c r="AM410" s="24"/>
      <c r="AN410" s="24"/>
      <c r="AO410" s="24"/>
    </row>
    <row r="411" spans="29:41" ht="16.5" customHeight="1">
      <c r="AC411" s="24"/>
      <c r="AD411" s="24"/>
      <c r="AE411" s="24"/>
      <c r="AF411" s="24"/>
      <c r="AG411" s="24"/>
      <c r="AH411" s="24"/>
      <c r="AI411" s="24"/>
      <c r="AJ411" s="24"/>
      <c r="AK411" s="24"/>
      <c r="AL411" s="24"/>
      <c r="AM411" s="24"/>
      <c r="AN411" s="24"/>
      <c r="AO411" s="24"/>
    </row>
    <row r="412" spans="29:41" ht="16.5" customHeight="1">
      <c r="AC412" s="24"/>
      <c r="AD412" s="24"/>
      <c r="AE412" s="24"/>
      <c r="AF412" s="24"/>
      <c r="AG412" s="24"/>
      <c r="AH412" s="24"/>
      <c r="AI412" s="24"/>
      <c r="AJ412" s="24"/>
      <c r="AK412" s="24"/>
      <c r="AL412" s="24"/>
      <c r="AM412" s="24"/>
      <c r="AN412" s="24"/>
      <c r="AO412" s="24"/>
    </row>
    <row r="413" spans="29:41" ht="16.5" customHeight="1">
      <c r="AC413" s="24"/>
      <c r="AD413" s="24"/>
      <c r="AE413" s="24"/>
      <c r="AF413" s="24"/>
      <c r="AG413" s="24"/>
      <c r="AH413" s="24"/>
      <c r="AI413" s="24"/>
      <c r="AJ413" s="24"/>
      <c r="AK413" s="24"/>
      <c r="AL413" s="24"/>
      <c r="AM413" s="24"/>
      <c r="AN413" s="24"/>
      <c r="AO413" s="24"/>
    </row>
    <row r="414" spans="29:41" ht="16.5" customHeight="1">
      <c r="AC414" s="24"/>
      <c r="AD414" s="24"/>
      <c r="AE414" s="24"/>
      <c r="AF414" s="24"/>
      <c r="AG414" s="24"/>
      <c r="AH414" s="24"/>
      <c r="AI414" s="24"/>
      <c r="AJ414" s="24"/>
      <c r="AK414" s="24"/>
      <c r="AL414" s="24"/>
      <c r="AM414" s="24"/>
      <c r="AN414" s="24"/>
      <c r="AO414" s="24"/>
    </row>
    <row r="415" spans="29:41" ht="16.5" customHeight="1">
      <c r="AC415" s="24"/>
      <c r="AD415" s="24"/>
      <c r="AE415" s="24"/>
      <c r="AF415" s="24"/>
      <c r="AG415" s="24"/>
      <c r="AH415" s="24"/>
      <c r="AI415" s="24"/>
      <c r="AJ415" s="24"/>
      <c r="AK415" s="24"/>
      <c r="AL415" s="24"/>
      <c r="AM415" s="24"/>
      <c r="AN415" s="24"/>
      <c r="AO415" s="24"/>
    </row>
    <row r="416" spans="29:41" ht="16.5" customHeight="1">
      <c r="AC416" s="24"/>
      <c r="AD416" s="24"/>
      <c r="AE416" s="24"/>
      <c r="AF416" s="24"/>
      <c r="AG416" s="24"/>
      <c r="AH416" s="24"/>
      <c r="AI416" s="24"/>
      <c r="AJ416" s="24"/>
      <c r="AK416" s="24"/>
      <c r="AL416" s="24"/>
      <c r="AM416" s="24"/>
      <c r="AN416" s="24"/>
      <c r="AO416" s="24"/>
    </row>
    <row r="417" spans="29:41" ht="16.5" customHeight="1">
      <c r="AC417" s="24"/>
      <c r="AD417" s="24"/>
      <c r="AE417" s="24"/>
      <c r="AF417" s="24"/>
      <c r="AG417" s="24"/>
      <c r="AH417" s="24"/>
      <c r="AI417" s="24"/>
      <c r="AJ417" s="24"/>
      <c r="AK417" s="24"/>
      <c r="AL417" s="24"/>
      <c r="AM417" s="24"/>
      <c r="AN417" s="24"/>
      <c r="AO417" s="24"/>
    </row>
    <row r="418" spans="29:41" ht="16.5" customHeight="1">
      <c r="AC418" s="24"/>
      <c r="AD418" s="24"/>
      <c r="AE418" s="24"/>
      <c r="AF418" s="24"/>
      <c r="AG418" s="24"/>
      <c r="AH418" s="24"/>
      <c r="AI418" s="24"/>
      <c r="AJ418" s="24"/>
      <c r="AK418" s="24"/>
      <c r="AL418" s="24"/>
      <c r="AM418" s="24"/>
      <c r="AN418" s="24"/>
      <c r="AO418" s="24"/>
    </row>
    <row r="419" spans="29:41" ht="16.5" customHeight="1">
      <c r="AC419" s="24"/>
      <c r="AD419" s="24"/>
      <c r="AE419" s="24"/>
      <c r="AF419" s="24"/>
      <c r="AG419" s="24"/>
      <c r="AH419" s="24"/>
      <c r="AI419" s="24"/>
      <c r="AJ419" s="24"/>
      <c r="AK419" s="24"/>
      <c r="AL419" s="24"/>
      <c r="AM419" s="24"/>
      <c r="AN419" s="24"/>
      <c r="AO419" s="24"/>
    </row>
    <row r="420" spans="29:41" ht="16.5" customHeight="1">
      <c r="AC420" s="24"/>
      <c r="AD420" s="24"/>
      <c r="AE420" s="24"/>
      <c r="AF420" s="24"/>
      <c r="AG420" s="24"/>
      <c r="AH420" s="24"/>
      <c r="AI420" s="24"/>
      <c r="AJ420" s="24"/>
      <c r="AK420" s="24"/>
      <c r="AL420" s="24"/>
      <c r="AM420" s="24"/>
      <c r="AN420" s="24"/>
      <c r="AO420" s="24"/>
    </row>
    <row r="421" spans="29:41" ht="16.5" customHeight="1">
      <c r="AC421" s="24"/>
      <c r="AD421" s="24"/>
      <c r="AE421" s="24"/>
      <c r="AF421" s="24"/>
      <c r="AG421" s="24"/>
      <c r="AH421" s="24"/>
      <c r="AI421" s="24"/>
      <c r="AJ421" s="24"/>
      <c r="AK421" s="24"/>
      <c r="AL421" s="24"/>
      <c r="AM421" s="24"/>
      <c r="AN421" s="24"/>
      <c r="AO421" s="24"/>
    </row>
    <row r="422" spans="29:41" ht="16.5" customHeight="1">
      <c r="AC422" s="24"/>
      <c r="AD422" s="24"/>
      <c r="AE422" s="24"/>
      <c r="AF422" s="24"/>
      <c r="AG422" s="24"/>
      <c r="AH422" s="24"/>
      <c r="AI422" s="24"/>
      <c r="AJ422" s="24"/>
      <c r="AK422" s="24"/>
      <c r="AL422" s="24"/>
      <c r="AM422" s="24"/>
      <c r="AN422" s="24"/>
      <c r="AO422" s="24"/>
    </row>
    <row r="423" spans="29:41" ht="16.5" customHeight="1">
      <c r="AC423" s="24"/>
      <c r="AD423" s="24"/>
      <c r="AE423" s="24"/>
      <c r="AF423" s="24"/>
      <c r="AG423" s="24"/>
      <c r="AH423" s="24"/>
      <c r="AI423" s="24"/>
      <c r="AJ423" s="24"/>
      <c r="AK423" s="24"/>
      <c r="AL423" s="24"/>
      <c r="AM423" s="24"/>
      <c r="AN423" s="24"/>
      <c r="AO423" s="24"/>
    </row>
    <row r="424" spans="29:41" ht="16.5" customHeight="1">
      <c r="AC424" s="24"/>
      <c r="AD424" s="24"/>
      <c r="AE424" s="24"/>
      <c r="AF424" s="24"/>
      <c r="AG424" s="24"/>
      <c r="AH424" s="24"/>
      <c r="AI424" s="24"/>
      <c r="AJ424" s="24"/>
      <c r="AK424" s="24"/>
      <c r="AL424" s="24"/>
      <c r="AM424" s="24"/>
      <c r="AN424" s="24"/>
      <c r="AO424" s="24"/>
    </row>
    <row r="425" spans="29:41" ht="16.5" customHeight="1">
      <c r="AC425" s="24"/>
      <c r="AD425" s="24"/>
      <c r="AE425" s="24"/>
      <c r="AF425" s="24"/>
      <c r="AG425" s="24"/>
      <c r="AH425" s="24"/>
      <c r="AI425" s="24"/>
      <c r="AJ425" s="24"/>
      <c r="AK425" s="24"/>
      <c r="AL425" s="24"/>
      <c r="AM425" s="24"/>
      <c r="AN425" s="24"/>
      <c r="AO425" s="24"/>
    </row>
    <row r="426" spans="29:41" ht="16.5" customHeight="1">
      <c r="AC426" s="24"/>
      <c r="AD426" s="24"/>
      <c r="AE426" s="24"/>
      <c r="AF426" s="24"/>
      <c r="AG426" s="24"/>
      <c r="AH426" s="24"/>
      <c r="AI426" s="24"/>
      <c r="AJ426" s="24"/>
      <c r="AK426" s="24"/>
      <c r="AL426" s="24"/>
      <c r="AM426" s="24"/>
      <c r="AN426" s="24"/>
      <c r="AO426" s="24"/>
    </row>
    <row r="427" spans="29:41" ht="16.5" customHeight="1">
      <c r="AC427" s="24"/>
      <c r="AD427" s="24"/>
      <c r="AE427" s="24"/>
      <c r="AF427" s="24"/>
      <c r="AG427" s="24"/>
      <c r="AH427" s="24"/>
      <c r="AI427" s="24"/>
      <c r="AJ427" s="24"/>
      <c r="AK427" s="24"/>
      <c r="AL427" s="24"/>
      <c r="AM427" s="24"/>
      <c r="AN427" s="24"/>
      <c r="AO427" s="24"/>
    </row>
    <row r="428" spans="29:41" ht="16.5" customHeight="1">
      <c r="AC428" s="24"/>
      <c r="AD428" s="24"/>
      <c r="AE428" s="24"/>
      <c r="AF428" s="24"/>
      <c r="AG428" s="24"/>
      <c r="AH428" s="24"/>
      <c r="AI428" s="24"/>
      <c r="AJ428" s="24"/>
      <c r="AK428" s="24"/>
      <c r="AL428" s="24"/>
      <c r="AM428" s="24"/>
      <c r="AN428" s="24"/>
      <c r="AO428" s="24"/>
    </row>
    <row r="429" spans="29:41" ht="16.5" customHeight="1">
      <c r="AC429" s="24"/>
      <c r="AD429" s="24"/>
      <c r="AE429" s="24"/>
      <c r="AF429" s="24"/>
      <c r="AG429" s="24"/>
      <c r="AH429" s="24"/>
      <c r="AI429" s="24"/>
      <c r="AJ429" s="24"/>
      <c r="AK429" s="24"/>
      <c r="AL429" s="24"/>
      <c r="AM429" s="24"/>
      <c r="AN429" s="24"/>
      <c r="AO429" s="24"/>
    </row>
    <row r="430" spans="29:41" ht="16.5" customHeight="1">
      <c r="AC430" s="24"/>
      <c r="AD430" s="24"/>
      <c r="AE430" s="24"/>
      <c r="AF430" s="24"/>
      <c r="AG430" s="24"/>
      <c r="AH430" s="24"/>
      <c r="AI430" s="24"/>
      <c r="AJ430" s="24"/>
      <c r="AK430" s="24"/>
      <c r="AL430" s="24"/>
      <c r="AM430" s="24"/>
      <c r="AN430" s="24"/>
      <c r="AO430" s="24"/>
    </row>
    <row r="431" spans="29:41" ht="16.5" customHeight="1">
      <c r="AC431" s="24"/>
      <c r="AD431" s="24"/>
      <c r="AE431" s="24"/>
      <c r="AF431" s="24"/>
      <c r="AG431" s="24"/>
      <c r="AH431" s="24"/>
      <c r="AI431" s="24"/>
      <c r="AJ431" s="24"/>
      <c r="AK431" s="24"/>
      <c r="AL431" s="24"/>
      <c r="AM431" s="24"/>
      <c r="AN431" s="24"/>
      <c r="AO431" s="24"/>
    </row>
    <row r="432" spans="29:41" ht="16.5" customHeight="1">
      <c r="AC432" s="24"/>
      <c r="AD432" s="24"/>
      <c r="AE432" s="24"/>
      <c r="AF432" s="24"/>
      <c r="AG432" s="24"/>
      <c r="AH432" s="24"/>
      <c r="AI432" s="24"/>
      <c r="AJ432" s="24"/>
      <c r="AK432" s="24"/>
      <c r="AL432" s="24"/>
      <c r="AM432" s="24"/>
      <c r="AN432" s="24"/>
      <c r="AO432" s="24"/>
    </row>
    <row r="433" spans="29:41" ht="16.5" customHeight="1">
      <c r="AC433" s="24"/>
      <c r="AD433" s="24"/>
      <c r="AE433" s="24"/>
      <c r="AF433" s="24"/>
      <c r="AG433" s="24"/>
      <c r="AH433" s="24"/>
      <c r="AI433" s="24"/>
      <c r="AJ433" s="24"/>
      <c r="AK433" s="24"/>
      <c r="AL433" s="24"/>
      <c r="AM433" s="24"/>
      <c r="AN433" s="24"/>
      <c r="AO433" s="24"/>
    </row>
    <row r="434" spans="29:41" ht="16.5" customHeight="1">
      <c r="AC434" s="24"/>
      <c r="AD434" s="24"/>
      <c r="AE434" s="24"/>
      <c r="AF434" s="24"/>
      <c r="AG434" s="24"/>
      <c r="AH434" s="24"/>
      <c r="AI434" s="24"/>
      <c r="AJ434" s="24"/>
      <c r="AK434" s="24"/>
      <c r="AL434" s="24"/>
      <c r="AM434" s="24"/>
      <c r="AN434" s="24"/>
      <c r="AO434" s="24"/>
    </row>
    <row r="435" spans="29:41" ht="16.5" customHeight="1">
      <c r="AC435" s="24"/>
      <c r="AD435" s="24"/>
      <c r="AE435" s="24"/>
      <c r="AF435" s="24"/>
      <c r="AG435" s="24"/>
      <c r="AH435" s="24"/>
      <c r="AI435" s="24"/>
      <c r="AJ435" s="24"/>
      <c r="AK435" s="24"/>
      <c r="AL435" s="24"/>
      <c r="AM435" s="24"/>
      <c r="AN435" s="24"/>
      <c r="AO435" s="24"/>
    </row>
    <row r="436" spans="29:41" ht="16.5" customHeight="1">
      <c r="AC436" s="24"/>
      <c r="AD436" s="24"/>
      <c r="AE436" s="24"/>
      <c r="AF436" s="24"/>
      <c r="AG436" s="24"/>
      <c r="AH436" s="24"/>
      <c r="AI436" s="24"/>
      <c r="AJ436" s="24"/>
      <c r="AK436" s="24"/>
      <c r="AL436" s="24"/>
      <c r="AM436" s="24"/>
      <c r="AN436" s="24"/>
      <c r="AO436" s="24"/>
    </row>
    <row r="437" spans="29:41" ht="16.5" customHeight="1">
      <c r="AC437" s="24"/>
      <c r="AD437" s="24"/>
      <c r="AE437" s="24"/>
      <c r="AF437" s="24"/>
      <c r="AG437" s="24"/>
      <c r="AH437" s="24"/>
      <c r="AI437" s="24"/>
      <c r="AJ437" s="24"/>
      <c r="AK437" s="24"/>
      <c r="AL437" s="24"/>
      <c r="AM437" s="24"/>
      <c r="AN437" s="24"/>
      <c r="AO437" s="24"/>
    </row>
    <row r="438" spans="29:41" ht="16.5" customHeight="1">
      <c r="AC438" s="24"/>
      <c r="AD438" s="24"/>
      <c r="AE438" s="24"/>
      <c r="AF438" s="24"/>
      <c r="AG438" s="24"/>
      <c r="AH438" s="24"/>
      <c r="AI438" s="24"/>
      <c r="AJ438" s="24"/>
      <c r="AK438" s="24"/>
      <c r="AL438" s="24"/>
      <c r="AM438" s="24"/>
      <c r="AN438" s="24"/>
      <c r="AO438" s="24"/>
    </row>
    <row r="439" spans="29:41" ht="16.5" customHeight="1">
      <c r="AC439" s="24"/>
      <c r="AD439" s="24"/>
      <c r="AE439" s="24"/>
      <c r="AF439" s="24"/>
      <c r="AG439" s="24"/>
      <c r="AH439" s="24"/>
      <c r="AI439" s="24"/>
      <c r="AJ439" s="24"/>
      <c r="AK439" s="24"/>
      <c r="AL439" s="24"/>
      <c r="AM439" s="24"/>
      <c r="AN439" s="24"/>
      <c r="AO439" s="24"/>
    </row>
    <row r="440" spans="29:41" ht="16.5" customHeight="1">
      <c r="AC440" s="24"/>
      <c r="AD440" s="24"/>
      <c r="AE440" s="24"/>
      <c r="AF440" s="24"/>
      <c r="AG440" s="24"/>
      <c r="AH440" s="24"/>
      <c r="AI440" s="24"/>
      <c r="AJ440" s="24"/>
      <c r="AK440" s="24"/>
      <c r="AL440" s="24"/>
      <c r="AM440" s="24"/>
      <c r="AN440" s="24"/>
      <c r="AO440" s="24"/>
    </row>
    <row r="441" spans="29:41" ht="16.5" customHeight="1">
      <c r="AC441" s="24"/>
      <c r="AD441" s="24"/>
      <c r="AE441" s="24"/>
      <c r="AF441" s="24"/>
      <c r="AG441" s="24"/>
      <c r="AH441" s="24"/>
      <c r="AI441" s="24"/>
      <c r="AJ441" s="24"/>
      <c r="AK441" s="24"/>
      <c r="AL441" s="24"/>
      <c r="AM441" s="24"/>
      <c r="AN441" s="24"/>
      <c r="AO441" s="24"/>
    </row>
    <row r="442" spans="29:41" ht="16.5" customHeight="1">
      <c r="AC442" s="24"/>
      <c r="AD442" s="24"/>
      <c r="AE442" s="24"/>
      <c r="AF442" s="24"/>
      <c r="AG442" s="24"/>
      <c r="AH442" s="24"/>
      <c r="AI442" s="24"/>
      <c r="AJ442" s="24"/>
      <c r="AK442" s="24"/>
      <c r="AL442" s="24"/>
      <c r="AM442" s="24"/>
      <c r="AN442" s="24"/>
      <c r="AO442" s="24"/>
    </row>
    <row r="443" spans="29:41" ht="16.5" customHeight="1">
      <c r="AC443" s="24"/>
      <c r="AD443" s="24"/>
      <c r="AE443" s="24"/>
      <c r="AF443" s="24"/>
      <c r="AG443" s="24"/>
      <c r="AH443" s="24"/>
      <c r="AI443" s="24"/>
      <c r="AJ443" s="24"/>
      <c r="AK443" s="24"/>
      <c r="AL443" s="24"/>
      <c r="AM443" s="24"/>
      <c r="AN443" s="24"/>
      <c r="AO443" s="24"/>
    </row>
    <row r="444" spans="29:41" ht="16.5" customHeight="1">
      <c r="AC444" s="24"/>
      <c r="AD444" s="24"/>
      <c r="AE444" s="24"/>
      <c r="AF444" s="24"/>
      <c r="AG444" s="24"/>
      <c r="AH444" s="24"/>
      <c r="AI444" s="24"/>
      <c r="AJ444" s="24"/>
      <c r="AK444" s="24"/>
      <c r="AL444" s="24"/>
      <c r="AM444" s="24"/>
      <c r="AN444" s="24"/>
      <c r="AO444" s="24"/>
    </row>
    <row r="445" spans="29:41" ht="16.5" customHeight="1">
      <c r="AC445" s="24"/>
      <c r="AD445" s="24"/>
      <c r="AE445" s="24"/>
      <c r="AF445" s="24"/>
      <c r="AG445" s="24"/>
      <c r="AH445" s="24"/>
      <c r="AI445" s="24"/>
      <c r="AJ445" s="24"/>
      <c r="AK445" s="24"/>
      <c r="AL445" s="24"/>
      <c r="AM445" s="24"/>
      <c r="AN445" s="24"/>
      <c r="AO445" s="24"/>
    </row>
    <row r="446" spans="29:41" ht="16.5" customHeight="1">
      <c r="AC446" s="24"/>
      <c r="AD446" s="24"/>
      <c r="AE446" s="24"/>
      <c r="AF446" s="24"/>
      <c r="AG446" s="24"/>
      <c r="AH446" s="24"/>
      <c r="AI446" s="24"/>
      <c r="AJ446" s="24"/>
      <c r="AK446" s="24"/>
      <c r="AL446" s="24"/>
      <c r="AM446" s="24"/>
      <c r="AN446" s="24"/>
      <c r="AO446" s="24"/>
    </row>
    <row r="447" spans="29:41" ht="16.5" customHeight="1">
      <c r="AC447" s="24"/>
      <c r="AD447" s="24"/>
      <c r="AE447" s="24"/>
      <c r="AF447" s="24"/>
      <c r="AG447" s="24"/>
      <c r="AH447" s="24"/>
      <c r="AI447" s="24"/>
      <c r="AJ447" s="24"/>
      <c r="AK447" s="24"/>
      <c r="AL447" s="24"/>
      <c r="AM447" s="24"/>
      <c r="AN447" s="24"/>
      <c r="AO447" s="24"/>
    </row>
    <row r="448" spans="29:41" ht="16.5" customHeight="1">
      <c r="AC448" s="24"/>
      <c r="AD448" s="24"/>
      <c r="AE448" s="24"/>
      <c r="AF448" s="24"/>
      <c r="AG448" s="24"/>
      <c r="AH448" s="24"/>
      <c r="AI448" s="24"/>
      <c r="AJ448" s="24"/>
      <c r="AK448" s="24"/>
      <c r="AL448" s="24"/>
      <c r="AM448" s="24"/>
      <c r="AN448" s="24"/>
      <c r="AO448" s="24"/>
    </row>
    <row r="449" spans="29:41" ht="16.5" customHeight="1">
      <c r="AC449" s="24"/>
      <c r="AD449" s="24"/>
      <c r="AE449" s="24"/>
      <c r="AF449" s="24"/>
      <c r="AG449" s="24"/>
      <c r="AH449" s="24"/>
      <c r="AI449" s="24"/>
      <c r="AJ449" s="24"/>
      <c r="AK449" s="24"/>
      <c r="AL449" s="24"/>
      <c r="AM449" s="24"/>
      <c r="AN449" s="24"/>
      <c r="AO449" s="24"/>
    </row>
    <row r="450" spans="29:41" ht="16.5" customHeight="1">
      <c r="AC450" s="24"/>
      <c r="AD450" s="24"/>
      <c r="AE450" s="24"/>
      <c r="AF450" s="24"/>
      <c r="AG450" s="24"/>
      <c r="AH450" s="24"/>
      <c r="AI450" s="24"/>
      <c r="AJ450" s="24"/>
      <c r="AK450" s="24"/>
      <c r="AL450" s="24"/>
      <c r="AM450" s="24"/>
      <c r="AN450" s="24"/>
      <c r="AO450" s="24"/>
    </row>
    <row r="451" spans="29:41" ht="16.5" customHeight="1">
      <c r="AC451" s="24"/>
      <c r="AD451" s="24"/>
      <c r="AE451" s="24"/>
      <c r="AF451" s="24"/>
      <c r="AG451" s="24"/>
      <c r="AH451" s="24"/>
      <c r="AI451" s="24"/>
      <c r="AJ451" s="24"/>
      <c r="AK451" s="24"/>
      <c r="AL451" s="24"/>
      <c r="AM451" s="24"/>
      <c r="AN451" s="24"/>
      <c r="AO451" s="24"/>
    </row>
    <row r="452" spans="29:41" ht="16.5" customHeight="1">
      <c r="AC452" s="24"/>
      <c r="AD452" s="24"/>
      <c r="AE452" s="24"/>
      <c r="AF452" s="24"/>
      <c r="AG452" s="24"/>
      <c r="AH452" s="24"/>
      <c r="AI452" s="24"/>
      <c r="AJ452" s="24"/>
      <c r="AK452" s="24"/>
      <c r="AL452" s="24"/>
      <c r="AM452" s="24"/>
      <c r="AN452" s="24"/>
      <c r="AO452" s="24"/>
    </row>
    <row r="453" spans="29:41" ht="16.5" customHeight="1">
      <c r="AC453" s="24"/>
      <c r="AD453" s="24"/>
      <c r="AE453" s="24"/>
      <c r="AF453" s="24"/>
      <c r="AG453" s="24"/>
      <c r="AH453" s="24"/>
      <c r="AI453" s="24"/>
      <c r="AJ453" s="24"/>
      <c r="AK453" s="24"/>
      <c r="AL453" s="24"/>
      <c r="AM453" s="24"/>
      <c r="AN453" s="24"/>
      <c r="AO453" s="24"/>
    </row>
    <row r="454" spans="29:41" ht="16.5" customHeight="1">
      <c r="AC454" s="24"/>
      <c r="AD454" s="24"/>
      <c r="AE454" s="24"/>
      <c r="AF454" s="24"/>
      <c r="AG454" s="24"/>
      <c r="AH454" s="24"/>
      <c r="AI454" s="24"/>
      <c r="AJ454" s="24"/>
      <c r="AK454" s="24"/>
      <c r="AL454" s="24"/>
      <c r="AM454" s="24"/>
      <c r="AN454" s="24"/>
      <c r="AO454" s="24"/>
    </row>
    <row r="455" spans="29:41" ht="16.5" customHeight="1">
      <c r="AC455" s="24"/>
      <c r="AD455" s="24"/>
      <c r="AE455" s="24"/>
      <c r="AF455" s="24"/>
      <c r="AG455" s="24"/>
      <c r="AH455" s="24"/>
      <c r="AI455" s="24"/>
      <c r="AJ455" s="24"/>
      <c r="AK455" s="24"/>
      <c r="AL455" s="24"/>
      <c r="AM455" s="24"/>
      <c r="AN455" s="24"/>
      <c r="AO455" s="24"/>
    </row>
    <row r="456" spans="29:41" ht="16.5" customHeight="1">
      <c r="AC456" s="24"/>
      <c r="AD456" s="24"/>
      <c r="AE456" s="24"/>
      <c r="AF456" s="24"/>
      <c r="AG456" s="24"/>
      <c r="AH456" s="24"/>
      <c r="AI456" s="24"/>
      <c r="AJ456" s="24"/>
      <c r="AK456" s="24"/>
      <c r="AL456" s="24"/>
      <c r="AM456" s="24"/>
      <c r="AN456" s="24"/>
      <c r="AO456" s="24"/>
    </row>
    <row r="457" spans="29:41" ht="16.5" customHeight="1">
      <c r="AC457" s="24"/>
      <c r="AD457" s="24"/>
      <c r="AE457" s="24"/>
      <c r="AF457" s="24"/>
      <c r="AG457" s="24"/>
      <c r="AH457" s="24"/>
      <c r="AI457" s="24"/>
      <c r="AJ457" s="24"/>
      <c r="AK457" s="24"/>
      <c r="AL457" s="24"/>
      <c r="AM457" s="24"/>
      <c r="AN457" s="24"/>
      <c r="AO457" s="24"/>
    </row>
    <row r="458" spans="29:41" ht="16.5" customHeight="1">
      <c r="AC458" s="24"/>
      <c r="AD458" s="24"/>
      <c r="AE458" s="24"/>
      <c r="AF458" s="24"/>
      <c r="AG458" s="24"/>
      <c r="AH458" s="24"/>
      <c r="AI458" s="24"/>
      <c r="AJ458" s="24"/>
      <c r="AK458" s="24"/>
      <c r="AL458" s="24"/>
      <c r="AM458" s="24"/>
      <c r="AN458" s="24"/>
      <c r="AO458" s="24"/>
    </row>
    <row r="459" spans="29:41" ht="16.5" customHeight="1">
      <c r="AC459" s="24"/>
      <c r="AD459" s="24"/>
      <c r="AE459" s="24"/>
      <c r="AF459" s="24"/>
      <c r="AG459" s="24"/>
      <c r="AH459" s="24"/>
      <c r="AI459" s="24"/>
      <c r="AJ459" s="24"/>
      <c r="AK459" s="24"/>
      <c r="AL459" s="24"/>
      <c r="AM459" s="24"/>
      <c r="AN459" s="24"/>
      <c r="AO459" s="24"/>
    </row>
    <row r="460" spans="29:41" ht="16.5" customHeight="1">
      <c r="AC460" s="24"/>
      <c r="AD460" s="24"/>
      <c r="AE460" s="24"/>
      <c r="AF460" s="24"/>
      <c r="AG460" s="24"/>
      <c r="AH460" s="24"/>
      <c r="AI460" s="24"/>
      <c r="AJ460" s="24"/>
      <c r="AK460" s="24"/>
      <c r="AL460" s="24"/>
      <c r="AM460" s="24"/>
      <c r="AN460" s="24"/>
      <c r="AO460" s="24"/>
    </row>
    <row r="461" spans="29:41" ht="16.5" customHeight="1">
      <c r="AC461" s="24"/>
      <c r="AD461" s="24"/>
      <c r="AE461" s="24"/>
      <c r="AF461" s="24"/>
      <c r="AG461" s="24"/>
      <c r="AH461" s="24"/>
      <c r="AI461" s="24"/>
      <c r="AJ461" s="24"/>
      <c r="AK461" s="24"/>
      <c r="AL461" s="24"/>
      <c r="AM461" s="24"/>
      <c r="AN461" s="24"/>
      <c r="AO461" s="24"/>
    </row>
    <row r="462" spans="29:41" ht="16.5" customHeight="1">
      <c r="AC462" s="24"/>
      <c r="AD462" s="24"/>
      <c r="AE462" s="24"/>
      <c r="AF462" s="24"/>
      <c r="AG462" s="24"/>
      <c r="AH462" s="24"/>
      <c r="AI462" s="24"/>
      <c r="AJ462" s="24"/>
      <c r="AK462" s="24"/>
      <c r="AL462" s="24"/>
      <c r="AM462" s="24"/>
      <c r="AN462" s="24"/>
      <c r="AO462" s="24"/>
    </row>
    <row r="463" spans="29:41" ht="16.5" customHeight="1">
      <c r="AC463" s="24"/>
      <c r="AD463" s="24"/>
      <c r="AE463" s="24"/>
      <c r="AF463" s="24"/>
      <c r="AG463" s="24"/>
      <c r="AH463" s="24"/>
      <c r="AI463" s="24"/>
      <c r="AJ463" s="24"/>
      <c r="AK463" s="24"/>
      <c r="AL463" s="24"/>
      <c r="AM463" s="24"/>
      <c r="AN463" s="24"/>
      <c r="AO463" s="24"/>
    </row>
    <row r="464" spans="29:41" ht="16.5" customHeight="1">
      <c r="AC464" s="24"/>
      <c r="AD464" s="24"/>
      <c r="AE464" s="24"/>
      <c r="AF464" s="24"/>
      <c r="AG464" s="24"/>
      <c r="AH464" s="24"/>
      <c r="AI464" s="24"/>
      <c r="AJ464" s="24"/>
      <c r="AK464" s="24"/>
      <c r="AL464" s="24"/>
      <c r="AM464" s="24"/>
      <c r="AN464" s="24"/>
      <c r="AO464" s="24"/>
    </row>
    <row r="465" spans="29:41" ht="16.5" customHeight="1">
      <c r="AC465" s="24"/>
      <c r="AD465" s="24"/>
      <c r="AE465" s="24"/>
      <c r="AF465" s="24"/>
      <c r="AG465" s="24"/>
      <c r="AH465" s="24"/>
      <c r="AI465" s="24"/>
      <c r="AJ465" s="24"/>
      <c r="AK465" s="24"/>
      <c r="AL465" s="24"/>
      <c r="AM465" s="24"/>
      <c r="AN465" s="24"/>
      <c r="AO465" s="24"/>
    </row>
    <row r="466" spans="29:41" ht="16.5" customHeight="1">
      <c r="AC466" s="24"/>
      <c r="AD466" s="24"/>
      <c r="AE466" s="24"/>
      <c r="AF466" s="24"/>
      <c r="AG466" s="24"/>
      <c r="AH466" s="24"/>
      <c r="AI466" s="24"/>
      <c r="AJ466" s="24"/>
      <c r="AK466" s="24"/>
      <c r="AL466" s="24"/>
      <c r="AM466" s="24"/>
      <c r="AN466" s="24"/>
      <c r="AO466" s="24"/>
    </row>
    <row r="467" spans="29:41" ht="16.5" customHeight="1">
      <c r="AC467" s="24"/>
      <c r="AD467" s="24"/>
      <c r="AE467" s="24"/>
      <c r="AF467" s="24"/>
      <c r="AG467" s="24"/>
      <c r="AH467" s="24"/>
      <c r="AI467" s="24"/>
      <c r="AJ467" s="24"/>
      <c r="AK467" s="24"/>
      <c r="AL467" s="24"/>
      <c r="AM467" s="24"/>
      <c r="AN467" s="24"/>
      <c r="AO467" s="24"/>
    </row>
    <row r="468" spans="29:41" ht="16.5" customHeight="1">
      <c r="AC468" s="24"/>
      <c r="AD468" s="24"/>
      <c r="AE468" s="24"/>
      <c r="AF468" s="24"/>
      <c r="AG468" s="24"/>
      <c r="AH468" s="24"/>
      <c r="AI468" s="24"/>
      <c r="AJ468" s="24"/>
      <c r="AK468" s="24"/>
      <c r="AL468" s="24"/>
      <c r="AM468" s="24"/>
      <c r="AN468" s="24"/>
      <c r="AO468" s="24"/>
    </row>
    <row r="469" spans="29:41" ht="16.5" customHeight="1">
      <c r="AC469" s="24"/>
      <c r="AD469" s="24"/>
      <c r="AE469" s="24"/>
      <c r="AF469" s="24"/>
      <c r="AG469" s="24"/>
      <c r="AH469" s="24"/>
      <c r="AI469" s="24"/>
      <c r="AJ469" s="24"/>
      <c r="AK469" s="24"/>
      <c r="AL469" s="24"/>
      <c r="AM469" s="24"/>
      <c r="AN469" s="24"/>
      <c r="AO469" s="24"/>
    </row>
    <row r="470" spans="29:41" ht="16.5" customHeight="1">
      <c r="AC470" s="24"/>
      <c r="AD470" s="24"/>
      <c r="AE470" s="24"/>
      <c r="AF470" s="24"/>
      <c r="AG470" s="24"/>
      <c r="AH470" s="24"/>
      <c r="AI470" s="24"/>
      <c r="AJ470" s="24"/>
      <c r="AK470" s="24"/>
      <c r="AL470" s="24"/>
      <c r="AM470" s="24"/>
      <c r="AN470" s="24"/>
      <c r="AO470" s="24"/>
    </row>
    <row r="471" spans="29:41" ht="16.5" customHeight="1">
      <c r="AC471" s="24"/>
      <c r="AD471" s="24"/>
      <c r="AE471" s="24"/>
      <c r="AF471" s="24"/>
      <c r="AG471" s="24"/>
      <c r="AH471" s="24"/>
      <c r="AI471" s="24"/>
      <c r="AJ471" s="24"/>
      <c r="AK471" s="24"/>
      <c r="AL471" s="24"/>
      <c r="AM471" s="24"/>
      <c r="AN471" s="24"/>
      <c r="AO471" s="24"/>
    </row>
    <row r="472" spans="29:41" ht="16.5" customHeight="1">
      <c r="AC472" s="24"/>
      <c r="AD472" s="24"/>
      <c r="AE472" s="24"/>
      <c r="AF472" s="24"/>
      <c r="AG472" s="24"/>
      <c r="AH472" s="24"/>
      <c r="AI472" s="24"/>
      <c r="AJ472" s="24"/>
      <c r="AK472" s="24"/>
      <c r="AL472" s="24"/>
      <c r="AM472" s="24"/>
      <c r="AN472" s="24"/>
      <c r="AO472" s="24"/>
    </row>
    <row r="473" spans="29:41" ht="16.5" customHeight="1">
      <c r="AC473" s="24"/>
      <c r="AD473" s="24"/>
      <c r="AE473" s="24"/>
      <c r="AF473" s="24"/>
      <c r="AG473" s="24"/>
      <c r="AH473" s="24"/>
      <c r="AI473" s="24"/>
      <c r="AJ473" s="24"/>
      <c r="AK473" s="24"/>
      <c r="AL473" s="24"/>
      <c r="AM473" s="24"/>
      <c r="AN473" s="24"/>
      <c r="AO473" s="24"/>
    </row>
    <row r="474" spans="29:41" ht="16.5" customHeight="1">
      <c r="AC474" s="24"/>
      <c r="AD474" s="24"/>
      <c r="AE474" s="24"/>
      <c r="AF474" s="24"/>
      <c r="AG474" s="24"/>
      <c r="AH474" s="24"/>
      <c r="AI474" s="24"/>
      <c r="AJ474" s="24"/>
      <c r="AK474" s="24"/>
      <c r="AL474" s="24"/>
      <c r="AM474" s="24"/>
      <c r="AN474" s="24"/>
      <c r="AO474" s="24"/>
    </row>
    <row r="475" spans="29:41" ht="16.5" customHeight="1">
      <c r="AC475" s="24"/>
      <c r="AD475" s="24"/>
      <c r="AE475" s="24"/>
      <c r="AF475" s="24"/>
      <c r="AG475" s="24"/>
      <c r="AH475" s="24"/>
      <c r="AI475" s="24"/>
      <c r="AJ475" s="24"/>
      <c r="AK475" s="24"/>
      <c r="AL475" s="24"/>
      <c r="AM475" s="24"/>
      <c r="AN475" s="24"/>
      <c r="AO475" s="24"/>
    </row>
    <row r="476" spans="29:41" ht="16.5" customHeight="1">
      <c r="AC476" s="24"/>
      <c r="AD476" s="24"/>
      <c r="AE476" s="24"/>
      <c r="AF476" s="24"/>
      <c r="AG476" s="24"/>
      <c r="AH476" s="24"/>
      <c r="AI476" s="24"/>
      <c r="AJ476" s="24"/>
      <c r="AK476" s="24"/>
      <c r="AL476" s="24"/>
      <c r="AM476" s="24"/>
      <c r="AN476" s="24"/>
      <c r="AO476" s="24"/>
    </row>
    <row r="477" spans="29:41" ht="16.5" customHeight="1">
      <c r="AC477" s="24"/>
      <c r="AD477" s="24"/>
      <c r="AE477" s="24"/>
      <c r="AF477" s="24"/>
      <c r="AG477" s="24"/>
      <c r="AH477" s="24"/>
      <c r="AI477" s="24"/>
      <c r="AJ477" s="24"/>
      <c r="AK477" s="24"/>
      <c r="AL477" s="24"/>
      <c r="AM477" s="24"/>
      <c r="AN477" s="24"/>
      <c r="AO477" s="24"/>
    </row>
    <row r="478" spans="29:41" ht="16.5" customHeight="1">
      <c r="AC478" s="24"/>
      <c r="AD478" s="24"/>
      <c r="AE478" s="24"/>
      <c r="AF478" s="24"/>
      <c r="AG478" s="24"/>
      <c r="AH478" s="24"/>
      <c r="AI478" s="24"/>
      <c r="AJ478" s="24"/>
      <c r="AK478" s="24"/>
      <c r="AL478" s="24"/>
      <c r="AM478" s="24"/>
      <c r="AN478" s="24"/>
      <c r="AO478" s="24"/>
    </row>
    <row r="479" spans="29:41" ht="16.5" customHeight="1">
      <c r="AC479" s="24"/>
      <c r="AD479" s="24"/>
      <c r="AE479" s="24"/>
      <c r="AF479" s="24"/>
      <c r="AG479" s="24"/>
      <c r="AH479" s="24"/>
      <c r="AI479" s="24"/>
      <c r="AJ479" s="24"/>
      <c r="AK479" s="24"/>
      <c r="AL479" s="24"/>
      <c r="AM479" s="24"/>
      <c r="AN479" s="24"/>
      <c r="AO479" s="24"/>
    </row>
    <row r="480" spans="29:41" ht="16.5" customHeight="1">
      <c r="AC480" s="24"/>
      <c r="AD480" s="24"/>
      <c r="AE480" s="24"/>
      <c r="AF480" s="24"/>
      <c r="AG480" s="24"/>
      <c r="AH480" s="24"/>
      <c r="AI480" s="24"/>
      <c r="AJ480" s="24"/>
      <c r="AK480" s="24"/>
      <c r="AL480" s="24"/>
      <c r="AM480" s="24"/>
      <c r="AN480" s="24"/>
      <c r="AO480" s="24"/>
    </row>
    <row r="481" spans="29:41" ht="16.5" customHeight="1">
      <c r="AC481" s="24"/>
      <c r="AD481" s="24"/>
      <c r="AE481" s="24"/>
      <c r="AF481" s="24"/>
      <c r="AG481" s="24"/>
      <c r="AH481" s="24"/>
      <c r="AI481" s="24"/>
      <c r="AJ481" s="24"/>
      <c r="AK481" s="24"/>
      <c r="AL481" s="24"/>
      <c r="AM481" s="24"/>
      <c r="AN481" s="24"/>
      <c r="AO481" s="24"/>
    </row>
    <row r="482" spans="29:41" ht="16.5" customHeight="1">
      <c r="AC482" s="24"/>
      <c r="AD482" s="24"/>
      <c r="AE482" s="24"/>
      <c r="AF482" s="24"/>
      <c r="AG482" s="24"/>
      <c r="AH482" s="24"/>
      <c r="AI482" s="24"/>
      <c r="AJ482" s="24"/>
      <c r="AK482" s="24"/>
      <c r="AL482" s="24"/>
      <c r="AM482" s="24"/>
      <c r="AN482" s="24"/>
      <c r="AO482" s="24"/>
    </row>
    <row r="483" spans="29:41" ht="16.5" customHeight="1">
      <c r="AC483" s="24"/>
      <c r="AD483" s="24"/>
      <c r="AE483" s="24"/>
      <c r="AF483" s="24"/>
      <c r="AG483" s="24"/>
      <c r="AH483" s="24"/>
      <c r="AI483" s="24"/>
      <c r="AJ483" s="24"/>
      <c r="AK483" s="24"/>
      <c r="AL483" s="24"/>
      <c r="AM483" s="24"/>
      <c r="AN483" s="24"/>
      <c r="AO483" s="24"/>
    </row>
    <row r="484" spans="29:41" ht="16.5" customHeight="1">
      <c r="AC484" s="24"/>
      <c r="AD484" s="24"/>
      <c r="AE484" s="24"/>
      <c r="AF484" s="24"/>
      <c r="AG484" s="24"/>
      <c r="AH484" s="24"/>
      <c r="AI484" s="24"/>
      <c r="AJ484" s="24"/>
      <c r="AK484" s="24"/>
      <c r="AL484" s="24"/>
      <c r="AM484" s="24"/>
      <c r="AN484" s="24"/>
      <c r="AO484" s="24"/>
    </row>
    <row r="485" spans="29:41" ht="16.5" customHeight="1">
      <c r="AC485" s="24"/>
      <c r="AD485" s="24"/>
      <c r="AE485" s="24"/>
      <c r="AF485" s="24"/>
      <c r="AG485" s="24"/>
      <c r="AH485" s="24"/>
      <c r="AI485" s="24"/>
      <c r="AJ485" s="24"/>
      <c r="AK485" s="24"/>
      <c r="AL485" s="24"/>
      <c r="AM485" s="24"/>
      <c r="AN485" s="24"/>
      <c r="AO485" s="24"/>
    </row>
    <row r="486" spans="29:41" ht="16.5" customHeight="1">
      <c r="AC486" s="24"/>
      <c r="AD486" s="24"/>
      <c r="AE486" s="24"/>
      <c r="AF486" s="24"/>
      <c r="AG486" s="24"/>
      <c r="AH486" s="24"/>
      <c r="AI486" s="24"/>
      <c r="AJ486" s="24"/>
      <c r="AK486" s="24"/>
      <c r="AL486" s="24"/>
      <c r="AM486" s="24"/>
      <c r="AN486" s="24"/>
      <c r="AO486" s="24"/>
    </row>
    <row r="487" spans="29:41" ht="16.5" customHeight="1">
      <c r="AC487" s="24"/>
      <c r="AD487" s="24"/>
      <c r="AE487" s="24"/>
      <c r="AF487" s="24"/>
      <c r="AG487" s="24"/>
      <c r="AH487" s="24"/>
      <c r="AI487" s="24"/>
      <c r="AJ487" s="24"/>
      <c r="AK487" s="24"/>
      <c r="AL487" s="24"/>
      <c r="AM487" s="24"/>
      <c r="AN487" s="24"/>
      <c r="AO487" s="24"/>
    </row>
    <row r="488" spans="29:41" ht="16.5" customHeight="1">
      <c r="AC488" s="24"/>
      <c r="AD488" s="24"/>
      <c r="AE488" s="24"/>
      <c r="AF488" s="24"/>
      <c r="AG488" s="24"/>
      <c r="AH488" s="24"/>
      <c r="AI488" s="24"/>
      <c r="AJ488" s="24"/>
      <c r="AK488" s="24"/>
      <c r="AL488" s="24"/>
      <c r="AM488" s="24"/>
      <c r="AN488" s="24"/>
      <c r="AO488" s="24"/>
    </row>
    <row r="489" spans="29:41" ht="16.5" customHeight="1">
      <c r="AC489" s="24"/>
      <c r="AD489" s="24"/>
      <c r="AE489" s="24"/>
      <c r="AF489" s="24"/>
      <c r="AG489" s="24"/>
      <c r="AH489" s="24"/>
      <c r="AI489" s="24"/>
      <c r="AJ489" s="24"/>
      <c r="AK489" s="24"/>
      <c r="AL489" s="24"/>
      <c r="AM489" s="24"/>
      <c r="AN489" s="24"/>
      <c r="AO489" s="24"/>
    </row>
    <row r="490" spans="29:41" ht="16.5" customHeight="1">
      <c r="AC490" s="24"/>
      <c r="AD490" s="24"/>
      <c r="AE490" s="24"/>
      <c r="AF490" s="24"/>
      <c r="AG490" s="24"/>
      <c r="AH490" s="24"/>
      <c r="AI490" s="24"/>
      <c r="AJ490" s="24"/>
      <c r="AK490" s="24"/>
      <c r="AL490" s="24"/>
      <c r="AM490" s="24"/>
      <c r="AN490" s="24"/>
      <c r="AO490" s="24"/>
    </row>
    <row r="491" spans="29:41" ht="16.5" customHeight="1">
      <c r="AC491" s="24"/>
      <c r="AD491" s="24"/>
      <c r="AE491" s="24"/>
      <c r="AF491" s="24"/>
      <c r="AG491" s="24"/>
      <c r="AH491" s="24"/>
      <c r="AI491" s="24"/>
      <c r="AJ491" s="24"/>
      <c r="AK491" s="24"/>
      <c r="AL491" s="24"/>
      <c r="AM491" s="24"/>
      <c r="AN491" s="24"/>
      <c r="AO491" s="24"/>
    </row>
    <row r="492" spans="29:41" ht="16.5" customHeight="1">
      <c r="AC492" s="24"/>
      <c r="AD492" s="24"/>
      <c r="AE492" s="24"/>
      <c r="AF492" s="24"/>
      <c r="AG492" s="24"/>
      <c r="AH492" s="24"/>
      <c r="AI492" s="24"/>
      <c r="AJ492" s="24"/>
      <c r="AK492" s="24"/>
      <c r="AL492" s="24"/>
      <c r="AM492" s="24"/>
      <c r="AN492" s="24"/>
      <c r="AO492" s="24"/>
    </row>
    <row r="493" spans="29:41" ht="16.5" customHeight="1">
      <c r="AC493" s="24"/>
      <c r="AD493" s="24"/>
      <c r="AE493" s="24"/>
      <c r="AF493" s="24"/>
      <c r="AG493" s="24"/>
      <c r="AH493" s="24"/>
      <c r="AI493" s="24"/>
      <c r="AJ493" s="24"/>
      <c r="AK493" s="24"/>
      <c r="AL493" s="24"/>
      <c r="AM493" s="24"/>
      <c r="AN493" s="24"/>
      <c r="AO493" s="24"/>
    </row>
    <row r="494" spans="29:41" ht="16.5" customHeight="1">
      <c r="AC494" s="24"/>
      <c r="AD494" s="24"/>
      <c r="AE494" s="24"/>
      <c r="AF494" s="24"/>
      <c r="AG494" s="24"/>
      <c r="AH494" s="24"/>
      <c r="AI494" s="24"/>
      <c r="AJ494" s="24"/>
      <c r="AK494" s="24"/>
      <c r="AL494" s="24"/>
      <c r="AM494" s="24"/>
      <c r="AN494" s="24"/>
      <c r="AO494" s="24"/>
    </row>
    <row r="495" spans="29:41" ht="16.5" customHeight="1">
      <c r="AC495" s="24"/>
      <c r="AD495" s="24"/>
      <c r="AE495" s="24"/>
      <c r="AF495" s="24"/>
      <c r="AG495" s="24"/>
      <c r="AH495" s="24"/>
      <c r="AI495" s="24"/>
      <c r="AJ495" s="24"/>
      <c r="AK495" s="24"/>
      <c r="AL495" s="24"/>
      <c r="AM495" s="24"/>
      <c r="AN495" s="24"/>
      <c r="AO495" s="24"/>
    </row>
    <row r="496" spans="29:41" ht="16.5" customHeight="1">
      <c r="AC496" s="24"/>
      <c r="AD496" s="24"/>
      <c r="AE496" s="24"/>
      <c r="AF496" s="24"/>
      <c r="AG496" s="24"/>
      <c r="AH496" s="24"/>
      <c r="AI496" s="24"/>
      <c r="AJ496" s="24"/>
      <c r="AK496" s="24"/>
      <c r="AL496" s="24"/>
      <c r="AM496" s="24"/>
      <c r="AN496" s="24"/>
      <c r="AO496" s="24"/>
    </row>
    <row r="497" spans="29:41" ht="16.5" customHeight="1">
      <c r="AC497" s="24"/>
      <c r="AD497" s="24"/>
      <c r="AE497" s="24"/>
      <c r="AF497" s="24"/>
      <c r="AG497" s="24"/>
      <c r="AH497" s="24"/>
      <c r="AI497" s="24"/>
      <c r="AJ497" s="24"/>
      <c r="AK497" s="24"/>
      <c r="AL497" s="24"/>
      <c r="AM497" s="24"/>
      <c r="AN497" s="24"/>
      <c r="AO497" s="24"/>
    </row>
    <row r="498" spans="29:41" ht="16.5" customHeight="1">
      <c r="AC498" s="24"/>
      <c r="AD498" s="24"/>
      <c r="AE498" s="24"/>
      <c r="AF498" s="24"/>
      <c r="AG498" s="24"/>
      <c r="AH498" s="24"/>
      <c r="AI498" s="24"/>
      <c r="AJ498" s="24"/>
      <c r="AK498" s="24"/>
      <c r="AL498" s="24"/>
      <c r="AM498" s="24"/>
      <c r="AN498" s="24"/>
      <c r="AO498" s="24"/>
    </row>
    <row r="499" spans="29:41" ht="16.5" customHeight="1">
      <c r="AC499" s="24"/>
      <c r="AD499" s="24"/>
      <c r="AE499" s="24"/>
      <c r="AF499" s="24"/>
      <c r="AG499" s="24"/>
      <c r="AH499" s="24"/>
      <c r="AI499" s="24"/>
      <c r="AJ499" s="24"/>
      <c r="AK499" s="24"/>
      <c r="AL499" s="24"/>
      <c r="AM499" s="24"/>
      <c r="AN499" s="24"/>
      <c r="AO499" s="24"/>
    </row>
    <row r="500" spans="29:41" ht="16.5" customHeight="1">
      <c r="AC500" s="24"/>
      <c r="AD500" s="24"/>
      <c r="AE500" s="24"/>
      <c r="AF500" s="24"/>
      <c r="AG500" s="24"/>
      <c r="AH500" s="24"/>
      <c r="AI500" s="24"/>
      <c r="AJ500" s="24"/>
      <c r="AK500" s="24"/>
      <c r="AL500" s="24"/>
      <c r="AM500" s="24"/>
      <c r="AN500" s="24"/>
      <c r="AO500" s="24"/>
    </row>
    <row r="501" spans="29:41" ht="16.5" customHeight="1">
      <c r="AC501" s="24"/>
      <c r="AD501" s="24"/>
      <c r="AE501" s="24"/>
      <c r="AF501" s="24"/>
      <c r="AG501" s="24"/>
      <c r="AH501" s="24"/>
      <c r="AI501" s="24"/>
      <c r="AJ501" s="24"/>
      <c r="AK501" s="24"/>
      <c r="AL501" s="24"/>
      <c r="AM501" s="24"/>
      <c r="AN501" s="24"/>
      <c r="AO501" s="24"/>
    </row>
    <row r="502" spans="29:41" ht="16.5" customHeight="1">
      <c r="AC502" s="24"/>
      <c r="AD502" s="24"/>
      <c r="AE502" s="24"/>
      <c r="AF502" s="24"/>
      <c r="AG502" s="24"/>
      <c r="AH502" s="24"/>
      <c r="AI502" s="24"/>
      <c r="AJ502" s="24"/>
      <c r="AK502" s="24"/>
      <c r="AL502" s="24"/>
      <c r="AM502" s="24"/>
      <c r="AN502" s="24"/>
      <c r="AO502" s="24"/>
    </row>
    <row r="503" spans="29:41" ht="16.5" customHeight="1">
      <c r="AC503" s="24"/>
      <c r="AD503" s="24"/>
      <c r="AE503" s="24"/>
      <c r="AF503" s="24"/>
      <c r="AG503" s="24"/>
      <c r="AH503" s="24"/>
      <c r="AI503" s="24"/>
      <c r="AJ503" s="24"/>
      <c r="AK503" s="24"/>
      <c r="AL503" s="24"/>
      <c r="AM503" s="24"/>
      <c r="AN503" s="24"/>
      <c r="AO503" s="24"/>
    </row>
    <row r="504" spans="29:41" ht="16.5" customHeight="1">
      <c r="AC504" s="24"/>
      <c r="AD504" s="24"/>
      <c r="AE504" s="24"/>
      <c r="AF504" s="24"/>
      <c r="AG504" s="24"/>
      <c r="AH504" s="24"/>
      <c r="AI504" s="24"/>
      <c r="AJ504" s="24"/>
      <c r="AK504" s="24"/>
      <c r="AL504" s="24"/>
      <c r="AM504" s="24"/>
      <c r="AN504" s="24"/>
      <c r="AO504" s="24"/>
    </row>
    <row r="505" spans="29:41" ht="16.5" customHeight="1">
      <c r="AC505" s="24"/>
      <c r="AD505" s="24"/>
      <c r="AE505" s="24"/>
      <c r="AF505" s="24"/>
      <c r="AG505" s="24"/>
      <c r="AH505" s="24"/>
      <c r="AI505" s="24"/>
      <c r="AJ505" s="24"/>
      <c r="AK505" s="24"/>
      <c r="AL505" s="24"/>
      <c r="AM505" s="24"/>
      <c r="AN505" s="24"/>
      <c r="AO505" s="24"/>
    </row>
    <row r="506" spans="29:41" ht="16.5" customHeight="1">
      <c r="AC506" s="24"/>
      <c r="AD506" s="24"/>
      <c r="AE506" s="24"/>
      <c r="AF506" s="24"/>
      <c r="AG506" s="24"/>
      <c r="AH506" s="24"/>
      <c r="AI506" s="24"/>
      <c r="AJ506" s="24"/>
      <c r="AK506" s="24"/>
      <c r="AL506" s="24"/>
      <c r="AM506" s="24"/>
      <c r="AN506" s="24"/>
      <c r="AO506" s="24"/>
    </row>
    <row r="507" spans="29:41" ht="16.5" customHeight="1">
      <c r="AC507" s="24"/>
      <c r="AD507" s="24"/>
      <c r="AE507" s="24"/>
      <c r="AF507" s="24"/>
      <c r="AG507" s="24"/>
      <c r="AH507" s="24"/>
      <c r="AI507" s="24"/>
      <c r="AJ507" s="24"/>
      <c r="AK507" s="24"/>
      <c r="AL507" s="24"/>
      <c r="AM507" s="24"/>
      <c r="AN507" s="24"/>
      <c r="AO507" s="24"/>
    </row>
    <row r="508" spans="29:41" ht="16.5" customHeight="1">
      <c r="AC508" s="24"/>
      <c r="AD508" s="24"/>
      <c r="AE508" s="24"/>
      <c r="AF508" s="24"/>
      <c r="AG508" s="24"/>
      <c r="AH508" s="24"/>
      <c r="AI508" s="24"/>
      <c r="AJ508" s="24"/>
      <c r="AK508" s="24"/>
      <c r="AL508" s="24"/>
      <c r="AM508" s="24"/>
      <c r="AN508" s="24"/>
      <c r="AO508" s="24"/>
    </row>
    <row r="509" spans="29:41" ht="16.5" customHeight="1">
      <c r="AC509" s="24"/>
      <c r="AD509" s="24"/>
      <c r="AE509" s="24"/>
      <c r="AF509" s="24"/>
      <c r="AG509" s="24"/>
      <c r="AH509" s="24"/>
      <c r="AI509" s="24"/>
      <c r="AJ509" s="24"/>
      <c r="AK509" s="24"/>
      <c r="AL509" s="24"/>
      <c r="AM509" s="24"/>
      <c r="AN509" s="24"/>
      <c r="AO509" s="24"/>
    </row>
    <row r="510" spans="29:41" ht="16.5" customHeight="1">
      <c r="AC510" s="24"/>
      <c r="AD510" s="24"/>
      <c r="AE510" s="24"/>
      <c r="AF510" s="24"/>
      <c r="AG510" s="24"/>
      <c r="AH510" s="24"/>
      <c r="AI510" s="24"/>
      <c r="AJ510" s="24"/>
      <c r="AK510" s="24"/>
      <c r="AL510" s="24"/>
      <c r="AM510" s="24"/>
      <c r="AN510" s="24"/>
      <c r="AO510" s="24"/>
    </row>
    <row r="511" spans="29:41" ht="16.5" customHeight="1">
      <c r="AC511" s="24"/>
      <c r="AD511" s="24"/>
      <c r="AE511" s="24"/>
      <c r="AF511" s="24"/>
      <c r="AG511" s="24"/>
      <c r="AH511" s="24"/>
      <c r="AI511" s="24"/>
      <c r="AJ511" s="24"/>
      <c r="AK511" s="24"/>
      <c r="AL511" s="24"/>
      <c r="AM511" s="24"/>
      <c r="AN511" s="24"/>
      <c r="AO511" s="24"/>
    </row>
    <row r="512" spans="29:41" ht="16.5" customHeight="1">
      <c r="AC512" s="24"/>
      <c r="AD512" s="24"/>
      <c r="AE512" s="24"/>
      <c r="AF512" s="24"/>
      <c r="AG512" s="24"/>
      <c r="AH512" s="24"/>
      <c r="AI512" s="24"/>
      <c r="AJ512" s="24"/>
      <c r="AK512" s="24"/>
      <c r="AL512" s="24"/>
      <c r="AM512" s="24"/>
      <c r="AN512" s="24"/>
      <c r="AO512" s="24"/>
    </row>
    <row r="513" spans="29:41" ht="16.5" customHeight="1">
      <c r="AC513" s="24"/>
      <c r="AD513" s="24"/>
      <c r="AE513" s="24"/>
      <c r="AF513" s="24"/>
      <c r="AG513" s="24"/>
      <c r="AH513" s="24"/>
      <c r="AI513" s="24"/>
      <c r="AJ513" s="24"/>
      <c r="AK513" s="24"/>
      <c r="AL513" s="24"/>
      <c r="AM513" s="24"/>
      <c r="AN513" s="24"/>
      <c r="AO513" s="24"/>
    </row>
    <row r="514" spans="29:41" ht="16.5" customHeight="1">
      <c r="AC514" s="24"/>
      <c r="AD514" s="24"/>
      <c r="AE514" s="24"/>
      <c r="AF514" s="24"/>
      <c r="AG514" s="24"/>
      <c r="AH514" s="24"/>
      <c r="AI514" s="24"/>
      <c r="AJ514" s="24"/>
      <c r="AK514" s="24"/>
      <c r="AL514" s="24"/>
      <c r="AM514" s="24"/>
      <c r="AN514" s="24"/>
      <c r="AO514" s="24"/>
    </row>
    <row r="515" spans="29:41" ht="16.5" customHeight="1">
      <c r="AC515" s="24"/>
      <c r="AD515" s="24"/>
      <c r="AE515" s="24"/>
      <c r="AF515" s="24"/>
      <c r="AG515" s="24"/>
      <c r="AH515" s="24"/>
      <c r="AI515" s="24"/>
      <c r="AJ515" s="24"/>
      <c r="AK515" s="24"/>
      <c r="AL515" s="24"/>
      <c r="AM515" s="24"/>
      <c r="AN515" s="24"/>
      <c r="AO515" s="24"/>
    </row>
    <row r="516" spans="29:41" ht="16.5" customHeight="1">
      <c r="AC516" s="24"/>
      <c r="AD516" s="24"/>
      <c r="AE516" s="24"/>
      <c r="AF516" s="24"/>
      <c r="AG516" s="24"/>
      <c r="AH516" s="24"/>
      <c r="AI516" s="24"/>
      <c r="AJ516" s="24"/>
      <c r="AK516" s="24"/>
      <c r="AL516" s="24"/>
      <c r="AM516" s="24"/>
      <c r="AN516" s="24"/>
      <c r="AO516" s="24"/>
    </row>
    <row r="517" spans="29:41" ht="16.5" customHeight="1">
      <c r="AC517" s="24"/>
      <c r="AD517" s="24"/>
      <c r="AE517" s="24"/>
      <c r="AF517" s="24"/>
      <c r="AG517" s="24"/>
      <c r="AH517" s="24"/>
      <c r="AI517" s="24"/>
      <c r="AJ517" s="24"/>
      <c r="AK517" s="24"/>
      <c r="AL517" s="24"/>
      <c r="AM517" s="24"/>
      <c r="AN517" s="24"/>
      <c r="AO517" s="24"/>
    </row>
    <row r="518" spans="29:41" ht="16.5" customHeight="1">
      <c r="AC518" s="24"/>
      <c r="AD518" s="24"/>
      <c r="AE518" s="24"/>
      <c r="AF518" s="24"/>
      <c r="AG518" s="24"/>
      <c r="AH518" s="24"/>
      <c r="AI518" s="24"/>
      <c r="AJ518" s="24"/>
      <c r="AK518" s="24"/>
      <c r="AL518" s="24"/>
      <c r="AM518" s="24"/>
      <c r="AN518" s="24"/>
      <c r="AO518" s="24"/>
    </row>
    <row r="519" spans="29:41" ht="16.5" customHeight="1">
      <c r="AC519" s="24"/>
      <c r="AD519" s="24"/>
      <c r="AE519" s="24"/>
      <c r="AF519" s="24"/>
      <c r="AG519" s="24"/>
      <c r="AH519" s="24"/>
      <c r="AI519" s="24"/>
      <c r="AJ519" s="24"/>
      <c r="AK519" s="24"/>
      <c r="AL519" s="24"/>
      <c r="AM519" s="24"/>
      <c r="AN519" s="24"/>
      <c r="AO519" s="24"/>
    </row>
    <row r="520" spans="29:41" ht="16.5" customHeight="1">
      <c r="AC520" s="24"/>
      <c r="AD520" s="24"/>
      <c r="AE520" s="24"/>
      <c r="AF520" s="24"/>
      <c r="AG520" s="24"/>
      <c r="AH520" s="24"/>
      <c r="AI520" s="24"/>
      <c r="AJ520" s="24"/>
      <c r="AK520" s="24"/>
      <c r="AL520" s="24"/>
      <c r="AM520" s="24"/>
      <c r="AN520" s="24"/>
      <c r="AO520" s="24"/>
    </row>
    <row r="521" spans="29:41" ht="16.5" customHeight="1">
      <c r="AC521" s="24"/>
      <c r="AD521" s="24"/>
      <c r="AE521" s="24"/>
      <c r="AF521" s="24"/>
      <c r="AG521" s="24"/>
      <c r="AH521" s="24"/>
      <c r="AI521" s="24"/>
      <c r="AJ521" s="24"/>
      <c r="AK521" s="24"/>
      <c r="AL521" s="24"/>
      <c r="AM521" s="24"/>
      <c r="AN521" s="24"/>
      <c r="AO521" s="24"/>
    </row>
    <row r="522" spans="29:41" ht="16.5" customHeight="1">
      <c r="AC522" s="24"/>
      <c r="AD522" s="24"/>
      <c r="AE522" s="24"/>
      <c r="AF522" s="24"/>
      <c r="AG522" s="24"/>
      <c r="AH522" s="24"/>
      <c r="AI522" s="24"/>
      <c r="AJ522" s="24"/>
      <c r="AK522" s="24"/>
      <c r="AL522" s="24"/>
      <c r="AM522" s="24"/>
      <c r="AN522" s="24"/>
      <c r="AO522" s="24"/>
    </row>
    <row r="523" spans="29:41" ht="16.5" customHeight="1">
      <c r="AC523" s="24"/>
      <c r="AD523" s="24"/>
      <c r="AE523" s="24"/>
      <c r="AF523" s="24"/>
      <c r="AG523" s="24"/>
      <c r="AH523" s="24"/>
      <c r="AI523" s="24"/>
      <c r="AJ523" s="24"/>
      <c r="AK523" s="24"/>
      <c r="AL523" s="24"/>
      <c r="AM523" s="24"/>
      <c r="AN523" s="24"/>
      <c r="AO523" s="24"/>
    </row>
    <row r="524" spans="29:41" ht="16.5" customHeight="1">
      <c r="AC524" s="24"/>
      <c r="AD524" s="24"/>
      <c r="AE524" s="24"/>
      <c r="AF524" s="24"/>
      <c r="AG524" s="24"/>
      <c r="AH524" s="24"/>
      <c r="AI524" s="24"/>
      <c r="AJ524" s="24"/>
      <c r="AK524" s="24"/>
      <c r="AL524" s="24"/>
      <c r="AM524" s="24"/>
      <c r="AN524" s="24"/>
      <c r="AO524" s="24"/>
    </row>
    <row r="525" spans="29:41" ht="16.5" customHeight="1">
      <c r="AC525" s="24"/>
      <c r="AD525" s="24"/>
      <c r="AE525" s="24"/>
      <c r="AF525" s="24"/>
      <c r="AG525" s="24"/>
      <c r="AH525" s="24"/>
      <c r="AI525" s="24"/>
      <c r="AJ525" s="24"/>
      <c r="AK525" s="24"/>
      <c r="AL525" s="24"/>
      <c r="AM525" s="24"/>
      <c r="AN525" s="24"/>
      <c r="AO525" s="24"/>
    </row>
    <row r="526" spans="29:41" ht="16.5" customHeight="1">
      <c r="AC526" s="24"/>
      <c r="AD526" s="24"/>
      <c r="AE526" s="24"/>
      <c r="AF526" s="24"/>
      <c r="AG526" s="24"/>
      <c r="AH526" s="24"/>
      <c r="AI526" s="24"/>
      <c r="AJ526" s="24"/>
      <c r="AK526" s="24"/>
      <c r="AL526" s="24"/>
      <c r="AM526" s="24"/>
      <c r="AN526" s="24"/>
      <c r="AO526" s="24"/>
    </row>
    <row r="527" spans="29:41" ht="16.5" customHeight="1">
      <c r="AC527" s="24"/>
      <c r="AD527" s="24"/>
      <c r="AE527" s="24"/>
      <c r="AF527" s="24"/>
      <c r="AG527" s="24"/>
      <c r="AH527" s="24"/>
      <c r="AI527" s="24"/>
      <c r="AJ527" s="24"/>
      <c r="AK527" s="24"/>
      <c r="AL527" s="24"/>
      <c r="AM527" s="24"/>
      <c r="AN527" s="24"/>
      <c r="AO527" s="24"/>
    </row>
    <row r="528" spans="29:41" ht="16.5" customHeight="1">
      <c r="AC528" s="24"/>
      <c r="AD528" s="24"/>
      <c r="AE528" s="24"/>
      <c r="AF528" s="24"/>
      <c r="AG528" s="24"/>
      <c r="AH528" s="24"/>
      <c r="AI528" s="24"/>
      <c r="AJ528" s="24"/>
      <c r="AK528" s="24"/>
      <c r="AL528" s="24"/>
      <c r="AM528" s="24"/>
      <c r="AN528" s="24"/>
      <c r="AO528" s="24"/>
    </row>
    <row r="529" spans="29:41" ht="16.5" customHeight="1">
      <c r="AC529" s="24"/>
      <c r="AD529" s="24"/>
      <c r="AE529" s="24"/>
      <c r="AF529" s="24"/>
      <c r="AG529" s="24"/>
      <c r="AH529" s="24"/>
      <c r="AI529" s="24"/>
      <c r="AJ529" s="24"/>
      <c r="AK529" s="24"/>
      <c r="AL529" s="24"/>
      <c r="AM529" s="24"/>
      <c r="AN529" s="24"/>
      <c r="AO529" s="24"/>
    </row>
    <row r="530" spans="29:41" ht="16.5" customHeight="1">
      <c r="AC530" s="24"/>
      <c r="AD530" s="24"/>
      <c r="AE530" s="24"/>
      <c r="AF530" s="24"/>
      <c r="AG530" s="24"/>
      <c r="AH530" s="24"/>
      <c r="AI530" s="24"/>
      <c r="AJ530" s="24"/>
      <c r="AK530" s="24"/>
      <c r="AL530" s="24"/>
      <c r="AM530" s="24"/>
      <c r="AN530" s="24"/>
      <c r="AO530" s="24"/>
    </row>
    <row r="531" spans="29:41" ht="16.5" customHeight="1">
      <c r="AC531" s="24"/>
      <c r="AD531" s="24"/>
      <c r="AE531" s="24"/>
      <c r="AF531" s="24"/>
      <c r="AG531" s="24"/>
      <c r="AH531" s="24"/>
      <c r="AI531" s="24"/>
      <c r="AJ531" s="24"/>
      <c r="AK531" s="24"/>
      <c r="AL531" s="24"/>
      <c r="AM531" s="24"/>
      <c r="AN531" s="24"/>
      <c r="AO531" s="24"/>
    </row>
    <row r="532" spans="29:41" ht="16.5" customHeight="1">
      <c r="AC532" s="24"/>
      <c r="AD532" s="24"/>
      <c r="AE532" s="24"/>
      <c r="AF532" s="24"/>
      <c r="AG532" s="24"/>
      <c r="AH532" s="24"/>
      <c r="AI532" s="24"/>
      <c r="AJ532" s="24"/>
      <c r="AK532" s="24"/>
      <c r="AL532" s="24"/>
      <c r="AM532" s="24"/>
      <c r="AN532" s="24"/>
      <c r="AO532" s="24"/>
    </row>
    <row r="533" spans="29:41" ht="16.5" customHeight="1">
      <c r="AC533" s="24"/>
      <c r="AD533" s="24"/>
      <c r="AE533" s="24"/>
      <c r="AF533" s="24"/>
      <c r="AG533" s="24"/>
      <c r="AH533" s="24"/>
      <c r="AI533" s="24"/>
      <c r="AJ533" s="24"/>
      <c r="AK533" s="24"/>
      <c r="AL533" s="24"/>
      <c r="AM533" s="24"/>
      <c r="AN533" s="24"/>
      <c r="AO533" s="24"/>
    </row>
    <row r="534" spans="29:41" ht="16.5" customHeight="1">
      <c r="AC534" s="24"/>
      <c r="AD534" s="24"/>
      <c r="AE534" s="24"/>
      <c r="AF534" s="24"/>
      <c r="AG534" s="24"/>
      <c r="AH534" s="24"/>
      <c r="AI534" s="24"/>
      <c r="AJ534" s="24"/>
      <c r="AK534" s="24"/>
      <c r="AL534" s="24"/>
      <c r="AM534" s="24"/>
      <c r="AN534" s="24"/>
      <c r="AO534" s="24"/>
    </row>
    <row r="535" spans="29:41" ht="16.5" customHeight="1">
      <c r="AC535" s="24"/>
      <c r="AD535" s="24"/>
      <c r="AE535" s="24"/>
      <c r="AF535" s="24"/>
      <c r="AG535" s="24"/>
      <c r="AH535" s="24"/>
      <c r="AI535" s="24"/>
      <c r="AJ535" s="24"/>
      <c r="AK535" s="24"/>
      <c r="AL535" s="24"/>
      <c r="AM535" s="24"/>
      <c r="AN535" s="24"/>
      <c r="AO535" s="24"/>
    </row>
    <row r="536" spans="29:41" ht="16.5" customHeight="1">
      <c r="AC536" s="24"/>
      <c r="AD536" s="24"/>
      <c r="AE536" s="24"/>
      <c r="AF536" s="24"/>
      <c r="AG536" s="24"/>
      <c r="AH536" s="24"/>
      <c r="AI536" s="24"/>
      <c r="AJ536" s="24"/>
      <c r="AK536" s="24"/>
      <c r="AL536" s="24"/>
      <c r="AM536" s="24"/>
      <c r="AN536" s="24"/>
      <c r="AO536" s="24"/>
    </row>
    <row r="537" spans="29:41" ht="16.5" customHeight="1">
      <c r="AC537" s="24"/>
      <c r="AD537" s="24"/>
      <c r="AE537" s="24"/>
      <c r="AF537" s="24"/>
      <c r="AG537" s="24"/>
      <c r="AH537" s="24"/>
      <c r="AI537" s="24"/>
      <c r="AJ537" s="24"/>
      <c r="AK537" s="24"/>
      <c r="AL537" s="24"/>
      <c r="AM537" s="24"/>
      <c r="AN537" s="24"/>
      <c r="AO537" s="24"/>
    </row>
    <row r="538" spans="29:41" ht="16.5" customHeight="1">
      <c r="AC538" s="24"/>
      <c r="AD538" s="24"/>
      <c r="AE538" s="24"/>
      <c r="AF538" s="24"/>
      <c r="AG538" s="24"/>
      <c r="AH538" s="24"/>
      <c r="AI538" s="24"/>
      <c r="AJ538" s="24"/>
      <c r="AK538" s="24"/>
      <c r="AL538" s="24"/>
      <c r="AM538" s="24"/>
      <c r="AN538" s="24"/>
      <c r="AO538" s="24"/>
    </row>
    <row r="539" spans="29:41" ht="16.5" customHeight="1">
      <c r="AC539" s="24"/>
      <c r="AD539" s="24"/>
      <c r="AE539" s="24"/>
      <c r="AF539" s="24"/>
      <c r="AG539" s="24"/>
      <c r="AH539" s="24"/>
      <c r="AI539" s="24"/>
      <c r="AJ539" s="24"/>
      <c r="AK539" s="24"/>
      <c r="AL539" s="24"/>
      <c r="AM539" s="24"/>
      <c r="AN539" s="24"/>
      <c r="AO539" s="24"/>
    </row>
    <row r="540" spans="29:41" ht="16.5" customHeight="1">
      <c r="AC540" s="24"/>
      <c r="AD540" s="24"/>
      <c r="AE540" s="24"/>
      <c r="AF540" s="24"/>
      <c r="AG540" s="24"/>
      <c r="AH540" s="24"/>
      <c r="AI540" s="24"/>
      <c r="AJ540" s="24"/>
      <c r="AK540" s="24"/>
      <c r="AL540" s="24"/>
      <c r="AM540" s="24"/>
      <c r="AN540" s="24"/>
      <c r="AO540" s="24"/>
    </row>
    <row r="541" spans="29:41" ht="16.5" customHeight="1">
      <c r="AC541" s="24"/>
      <c r="AD541" s="24"/>
      <c r="AE541" s="24"/>
      <c r="AF541" s="24"/>
      <c r="AG541" s="24"/>
      <c r="AH541" s="24"/>
      <c r="AI541" s="24"/>
      <c r="AJ541" s="24"/>
      <c r="AK541" s="24"/>
      <c r="AL541" s="24"/>
      <c r="AM541" s="24"/>
      <c r="AN541" s="24"/>
      <c r="AO541" s="24"/>
    </row>
    <row r="542" spans="29:41" ht="16.5" customHeight="1">
      <c r="AC542" s="24"/>
      <c r="AD542" s="24"/>
      <c r="AE542" s="24"/>
      <c r="AF542" s="24"/>
      <c r="AG542" s="24"/>
      <c r="AH542" s="24"/>
      <c r="AI542" s="24"/>
      <c r="AJ542" s="24"/>
      <c r="AK542" s="24"/>
      <c r="AL542" s="24"/>
      <c r="AM542" s="24"/>
      <c r="AN542" s="24"/>
      <c r="AO542" s="24"/>
    </row>
    <row r="543" spans="29:41" ht="16.5" customHeight="1">
      <c r="AC543" s="24"/>
      <c r="AD543" s="24"/>
      <c r="AE543" s="24"/>
      <c r="AF543" s="24"/>
      <c r="AG543" s="24"/>
      <c r="AH543" s="24"/>
      <c r="AI543" s="24"/>
      <c r="AJ543" s="24"/>
      <c r="AK543" s="24"/>
      <c r="AL543" s="24"/>
      <c r="AM543" s="24"/>
      <c r="AN543" s="24"/>
      <c r="AO543" s="24"/>
    </row>
    <row r="544" spans="29:41" ht="16.5" customHeight="1">
      <c r="AC544" s="24"/>
      <c r="AD544" s="24"/>
      <c r="AE544" s="24"/>
      <c r="AF544" s="24"/>
      <c r="AG544" s="24"/>
      <c r="AH544" s="24"/>
      <c r="AI544" s="24"/>
      <c r="AJ544" s="24"/>
      <c r="AK544" s="24"/>
      <c r="AL544" s="24"/>
      <c r="AM544" s="24"/>
      <c r="AN544" s="24"/>
      <c r="AO544" s="24"/>
    </row>
    <row r="545" spans="29:41" ht="16.5" customHeight="1">
      <c r="AC545" s="24"/>
      <c r="AD545" s="24"/>
      <c r="AE545" s="24"/>
      <c r="AF545" s="24"/>
      <c r="AG545" s="24"/>
      <c r="AH545" s="24"/>
      <c r="AI545" s="24"/>
      <c r="AJ545" s="24"/>
      <c r="AK545" s="24"/>
      <c r="AL545" s="24"/>
      <c r="AM545" s="24"/>
      <c r="AN545" s="24"/>
      <c r="AO545" s="24"/>
    </row>
    <row r="546" spans="29:41" ht="16.5" customHeight="1">
      <c r="AC546" s="24"/>
      <c r="AD546" s="24"/>
      <c r="AE546" s="24"/>
      <c r="AF546" s="24"/>
      <c r="AG546" s="24"/>
      <c r="AH546" s="24"/>
      <c r="AI546" s="24"/>
      <c r="AJ546" s="24"/>
      <c r="AK546" s="24"/>
      <c r="AL546" s="24"/>
      <c r="AM546" s="24"/>
      <c r="AN546" s="24"/>
      <c r="AO546" s="24"/>
    </row>
    <row r="547" spans="29:41" ht="16.5" customHeight="1">
      <c r="AC547" s="24"/>
      <c r="AD547" s="24"/>
      <c r="AE547" s="24"/>
      <c r="AF547" s="24"/>
      <c r="AG547" s="24"/>
      <c r="AH547" s="24"/>
      <c r="AI547" s="24"/>
      <c r="AJ547" s="24"/>
      <c r="AK547" s="24"/>
      <c r="AL547" s="24"/>
      <c r="AM547" s="24"/>
      <c r="AN547" s="24"/>
      <c r="AO547" s="24"/>
    </row>
    <row r="548" spans="29:41" ht="16.5" customHeight="1">
      <c r="AC548" s="24"/>
      <c r="AD548" s="24"/>
      <c r="AE548" s="24"/>
      <c r="AF548" s="24"/>
      <c r="AG548" s="24"/>
      <c r="AH548" s="24"/>
      <c r="AI548" s="24"/>
      <c r="AJ548" s="24"/>
      <c r="AK548" s="24"/>
      <c r="AL548" s="24"/>
      <c r="AM548" s="24"/>
      <c r="AN548" s="24"/>
      <c r="AO548" s="24"/>
    </row>
    <row r="549" spans="29:41" ht="16.5" customHeight="1">
      <c r="AC549" s="24"/>
      <c r="AD549" s="24"/>
      <c r="AE549" s="24"/>
      <c r="AF549" s="24"/>
      <c r="AG549" s="24"/>
      <c r="AH549" s="24"/>
      <c r="AI549" s="24"/>
      <c r="AJ549" s="24"/>
      <c r="AK549" s="24"/>
      <c r="AL549" s="24"/>
      <c r="AM549" s="24"/>
      <c r="AN549" s="24"/>
      <c r="AO549" s="24"/>
    </row>
    <row r="550" spans="29:41" ht="16.5" customHeight="1">
      <c r="AC550" s="24"/>
      <c r="AD550" s="24"/>
      <c r="AE550" s="24"/>
      <c r="AF550" s="24"/>
      <c r="AG550" s="24"/>
      <c r="AH550" s="24"/>
      <c r="AI550" s="24"/>
      <c r="AJ550" s="24"/>
      <c r="AK550" s="24"/>
      <c r="AL550" s="24"/>
      <c r="AM550" s="24"/>
      <c r="AN550" s="24"/>
      <c r="AO550" s="24"/>
    </row>
    <row r="551" spans="29:41" ht="16.5" customHeight="1">
      <c r="AC551" s="24"/>
      <c r="AD551" s="24"/>
      <c r="AE551" s="24"/>
      <c r="AF551" s="24"/>
      <c r="AG551" s="24"/>
      <c r="AH551" s="24"/>
      <c r="AI551" s="24"/>
      <c r="AJ551" s="24"/>
      <c r="AK551" s="24"/>
      <c r="AL551" s="24"/>
      <c r="AM551" s="24"/>
      <c r="AN551" s="24"/>
      <c r="AO551" s="24"/>
    </row>
    <row r="552" spans="29:41" ht="16.5" customHeight="1">
      <c r="AC552" s="24"/>
      <c r="AD552" s="24"/>
      <c r="AE552" s="24"/>
      <c r="AF552" s="24"/>
      <c r="AG552" s="24"/>
      <c r="AH552" s="24"/>
      <c r="AI552" s="24"/>
      <c r="AJ552" s="24"/>
      <c r="AK552" s="24"/>
      <c r="AL552" s="24"/>
      <c r="AM552" s="24"/>
      <c r="AN552" s="24"/>
      <c r="AO552" s="24"/>
    </row>
    <row r="553" spans="29:41" ht="16.5" customHeight="1">
      <c r="AC553" s="24"/>
      <c r="AD553" s="24"/>
      <c r="AE553" s="24"/>
      <c r="AF553" s="24"/>
      <c r="AG553" s="24"/>
      <c r="AH553" s="24"/>
      <c r="AI553" s="24"/>
      <c r="AJ553" s="24"/>
      <c r="AK553" s="24"/>
      <c r="AL553" s="24"/>
      <c r="AM553" s="24"/>
      <c r="AN553" s="24"/>
      <c r="AO553" s="24"/>
    </row>
    <row r="554" spans="29:41" ht="16.5" customHeight="1">
      <c r="AC554" s="24"/>
      <c r="AD554" s="24"/>
      <c r="AE554" s="24"/>
      <c r="AF554" s="24"/>
      <c r="AG554" s="24"/>
      <c r="AH554" s="24"/>
      <c r="AI554" s="24"/>
      <c r="AJ554" s="24"/>
      <c r="AK554" s="24"/>
      <c r="AL554" s="24"/>
      <c r="AM554" s="24"/>
      <c r="AN554" s="24"/>
      <c r="AO554" s="24"/>
    </row>
    <row r="555" spans="29:41" ht="16.5" customHeight="1">
      <c r="AC555" s="24"/>
      <c r="AD555" s="24"/>
      <c r="AE555" s="24"/>
      <c r="AF555" s="24"/>
      <c r="AG555" s="24"/>
      <c r="AH555" s="24"/>
      <c r="AI555" s="24"/>
      <c r="AJ555" s="24"/>
      <c r="AK555" s="24"/>
      <c r="AL555" s="24"/>
      <c r="AM555" s="24"/>
      <c r="AN555" s="24"/>
      <c r="AO555" s="24"/>
    </row>
    <row r="556" spans="29:41" ht="16.5" customHeight="1">
      <c r="AC556" s="24"/>
      <c r="AD556" s="24"/>
      <c r="AE556" s="24"/>
      <c r="AF556" s="24"/>
      <c r="AG556" s="24"/>
      <c r="AH556" s="24"/>
      <c r="AI556" s="24"/>
      <c r="AJ556" s="24"/>
      <c r="AK556" s="24"/>
      <c r="AL556" s="24"/>
      <c r="AM556" s="24"/>
      <c r="AN556" s="24"/>
      <c r="AO556" s="24"/>
    </row>
    <row r="557" spans="29:41" ht="16.5" customHeight="1">
      <c r="AC557" s="24"/>
      <c r="AD557" s="24"/>
      <c r="AE557" s="24"/>
      <c r="AF557" s="24"/>
      <c r="AG557" s="24"/>
      <c r="AH557" s="24"/>
      <c r="AI557" s="24"/>
      <c r="AJ557" s="24"/>
      <c r="AK557" s="24"/>
      <c r="AL557" s="24"/>
      <c r="AM557" s="24"/>
      <c r="AN557" s="24"/>
      <c r="AO557" s="24"/>
    </row>
    <row r="558" spans="29:41" ht="16.5" customHeight="1">
      <c r="AC558" s="24"/>
      <c r="AD558" s="24"/>
      <c r="AE558" s="24"/>
      <c r="AF558" s="24"/>
      <c r="AG558" s="24"/>
      <c r="AH558" s="24"/>
      <c r="AI558" s="24"/>
      <c r="AJ558" s="24"/>
      <c r="AK558" s="24"/>
      <c r="AL558" s="24"/>
      <c r="AM558" s="24"/>
      <c r="AN558" s="24"/>
      <c r="AO558" s="24"/>
    </row>
    <row r="559" spans="29:41" ht="16.5" customHeight="1">
      <c r="AC559" s="24"/>
      <c r="AD559" s="24"/>
      <c r="AE559" s="24"/>
      <c r="AF559" s="24"/>
      <c r="AG559" s="24"/>
      <c r="AH559" s="24"/>
      <c r="AI559" s="24"/>
      <c r="AJ559" s="24"/>
      <c r="AK559" s="24"/>
      <c r="AL559" s="24"/>
      <c r="AM559" s="24"/>
      <c r="AN559" s="24"/>
      <c r="AO559" s="24"/>
    </row>
    <row r="560" spans="29:41" ht="16.5" customHeight="1">
      <c r="AC560" s="24"/>
      <c r="AD560" s="24"/>
      <c r="AE560" s="24"/>
      <c r="AF560" s="24"/>
      <c r="AG560" s="24"/>
      <c r="AH560" s="24"/>
      <c r="AI560" s="24"/>
      <c r="AJ560" s="24"/>
      <c r="AK560" s="24"/>
      <c r="AL560" s="24"/>
      <c r="AM560" s="24"/>
      <c r="AN560" s="24"/>
      <c r="AO560" s="24"/>
    </row>
    <row r="561" spans="29:41" ht="16.5" customHeight="1">
      <c r="AC561" s="24"/>
      <c r="AD561" s="24"/>
      <c r="AE561" s="24"/>
      <c r="AF561" s="24"/>
      <c r="AG561" s="24"/>
      <c r="AH561" s="24"/>
      <c r="AI561" s="24"/>
      <c r="AJ561" s="24"/>
      <c r="AK561" s="24"/>
      <c r="AL561" s="24"/>
      <c r="AM561" s="24"/>
      <c r="AN561" s="24"/>
      <c r="AO561" s="24"/>
    </row>
    <row r="562" spans="29:41" ht="16.5" customHeight="1">
      <c r="AC562" s="24"/>
      <c r="AD562" s="24"/>
      <c r="AE562" s="24"/>
      <c r="AF562" s="24"/>
      <c r="AG562" s="24"/>
      <c r="AH562" s="24"/>
      <c r="AI562" s="24"/>
      <c r="AJ562" s="24"/>
      <c r="AK562" s="24"/>
      <c r="AL562" s="24"/>
      <c r="AM562" s="24"/>
      <c r="AN562" s="24"/>
      <c r="AO562" s="24"/>
    </row>
    <row r="563" spans="29:41" ht="16.5" customHeight="1">
      <c r="AC563" s="24"/>
      <c r="AD563" s="24"/>
      <c r="AE563" s="24"/>
      <c r="AF563" s="24"/>
      <c r="AG563" s="24"/>
      <c r="AH563" s="24"/>
      <c r="AI563" s="24"/>
      <c r="AJ563" s="24"/>
      <c r="AK563" s="24"/>
      <c r="AL563" s="24"/>
      <c r="AM563" s="24"/>
      <c r="AN563" s="24"/>
      <c r="AO563" s="24"/>
    </row>
    <row r="564" spans="29:41" ht="16.5" customHeight="1">
      <c r="AC564" s="24"/>
      <c r="AD564" s="24"/>
      <c r="AE564" s="24"/>
      <c r="AF564" s="24"/>
      <c r="AG564" s="24"/>
      <c r="AH564" s="24"/>
      <c r="AI564" s="24"/>
      <c r="AJ564" s="24"/>
      <c r="AK564" s="24"/>
      <c r="AL564" s="24"/>
      <c r="AM564" s="24"/>
      <c r="AN564" s="24"/>
      <c r="AO564" s="24"/>
    </row>
    <row r="565" spans="29:41" ht="16.5" customHeight="1">
      <c r="AC565" s="24"/>
      <c r="AD565" s="24"/>
      <c r="AE565" s="24"/>
      <c r="AF565" s="24"/>
      <c r="AG565" s="24"/>
      <c r="AH565" s="24"/>
      <c r="AI565" s="24"/>
      <c r="AJ565" s="24"/>
      <c r="AK565" s="24"/>
      <c r="AL565" s="24"/>
      <c r="AM565" s="24"/>
      <c r="AN565" s="24"/>
      <c r="AO565" s="24"/>
    </row>
    <row r="566" spans="29:41" ht="16.5" customHeight="1">
      <c r="AC566" s="24"/>
      <c r="AD566" s="24"/>
      <c r="AE566" s="24"/>
      <c r="AF566" s="24"/>
      <c r="AG566" s="24"/>
      <c r="AH566" s="24"/>
      <c r="AI566" s="24"/>
      <c r="AJ566" s="24"/>
      <c r="AK566" s="24"/>
      <c r="AL566" s="24"/>
      <c r="AM566" s="24"/>
      <c r="AN566" s="24"/>
      <c r="AO566" s="24"/>
    </row>
    <row r="567" spans="29:41" ht="16.5" customHeight="1">
      <c r="AC567" s="24"/>
      <c r="AD567" s="24"/>
      <c r="AE567" s="24"/>
      <c r="AF567" s="24"/>
      <c r="AG567" s="24"/>
      <c r="AH567" s="24"/>
      <c r="AI567" s="24"/>
      <c r="AJ567" s="24"/>
      <c r="AK567" s="24"/>
      <c r="AL567" s="24"/>
      <c r="AM567" s="24"/>
      <c r="AN567" s="24"/>
      <c r="AO567" s="24"/>
    </row>
    <row r="568" spans="29:41" ht="16.5" customHeight="1">
      <c r="AC568" s="24"/>
      <c r="AD568" s="24"/>
      <c r="AE568" s="24"/>
      <c r="AF568" s="24"/>
      <c r="AG568" s="24"/>
      <c r="AH568" s="24"/>
      <c r="AI568" s="24"/>
      <c r="AJ568" s="24"/>
      <c r="AK568" s="24"/>
      <c r="AL568" s="24"/>
      <c r="AM568" s="24"/>
      <c r="AN568" s="24"/>
      <c r="AO568" s="24"/>
    </row>
    <row r="569" spans="29:41" ht="16.5" customHeight="1">
      <c r="AC569" s="24"/>
      <c r="AD569" s="24"/>
      <c r="AE569" s="24"/>
      <c r="AF569" s="24"/>
      <c r="AG569" s="24"/>
      <c r="AH569" s="24"/>
      <c r="AI569" s="24"/>
      <c r="AJ569" s="24"/>
      <c r="AK569" s="24"/>
      <c r="AL569" s="24"/>
      <c r="AM569" s="24"/>
      <c r="AN569" s="24"/>
      <c r="AO569" s="24"/>
    </row>
    <row r="570" spans="29:41" ht="16.5" customHeight="1">
      <c r="AC570" s="24"/>
      <c r="AD570" s="24"/>
      <c r="AE570" s="24"/>
      <c r="AF570" s="24"/>
      <c r="AG570" s="24"/>
      <c r="AH570" s="24"/>
      <c r="AI570" s="24"/>
      <c r="AJ570" s="24"/>
      <c r="AK570" s="24"/>
      <c r="AL570" s="24"/>
      <c r="AM570" s="24"/>
      <c r="AN570" s="24"/>
      <c r="AO570" s="24"/>
    </row>
    <row r="571" spans="29:41" ht="16.5" customHeight="1">
      <c r="AC571" s="24"/>
      <c r="AD571" s="24"/>
      <c r="AE571" s="24"/>
      <c r="AF571" s="24"/>
      <c r="AG571" s="24"/>
      <c r="AH571" s="24"/>
      <c r="AI571" s="24"/>
      <c r="AJ571" s="24"/>
      <c r="AK571" s="24"/>
      <c r="AL571" s="24"/>
      <c r="AM571" s="24"/>
      <c r="AN571" s="24"/>
      <c r="AO571" s="24"/>
    </row>
    <row r="572" spans="29:41" ht="16.5" customHeight="1">
      <c r="AC572" s="24"/>
      <c r="AD572" s="24"/>
      <c r="AE572" s="24"/>
      <c r="AF572" s="24"/>
      <c r="AG572" s="24"/>
      <c r="AH572" s="24"/>
      <c r="AI572" s="24"/>
      <c r="AJ572" s="24"/>
      <c r="AK572" s="24"/>
      <c r="AL572" s="24"/>
      <c r="AM572" s="24"/>
      <c r="AN572" s="24"/>
      <c r="AO572" s="24"/>
    </row>
    <row r="573" spans="29:41" ht="16.5" customHeight="1">
      <c r="AC573" s="24"/>
      <c r="AD573" s="24"/>
      <c r="AE573" s="24"/>
      <c r="AF573" s="24"/>
      <c r="AG573" s="24"/>
      <c r="AH573" s="24"/>
      <c r="AI573" s="24"/>
      <c r="AJ573" s="24"/>
      <c r="AK573" s="24"/>
      <c r="AL573" s="24"/>
      <c r="AM573" s="24"/>
      <c r="AN573" s="24"/>
      <c r="AO573" s="24"/>
    </row>
    <row r="574" spans="29:41" ht="16.5" customHeight="1">
      <c r="AC574" s="24"/>
      <c r="AD574" s="24"/>
      <c r="AE574" s="24"/>
      <c r="AF574" s="24"/>
      <c r="AG574" s="24"/>
      <c r="AH574" s="24"/>
      <c r="AI574" s="24"/>
      <c r="AJ574" s="24"/>
      <c r="AK574" s="24"/>
      <c r="AL574" s="24"/>
      <c r="AM574" s="24"/>
      <c r="AN574" s="24"/>
      <c r="AO574" s="24"/>
    </row>
    <row r="575" spans="29:41" ht="16.5" customHeight="1">
      <c r="AC575" s="24"/>
      <c r="AD575" s="24"/>
      <c r="AE575" s="24"/>
      <c r="AF575" s="24"/>
      <c r="AG575" s="24"/>
      <c r="AH575" s="24"/>
      <c r="AI575" s="24"/>
      <c r="AJ575" s="24"/>
      <c r="AK575" s="24"/>
      <c r="AL575" s="24"/>
      <c r="AM575" s="24"/>
      <c r="AN575" s="24"/>
      <c r="AO575" s="24"/>
    </row>
    <row r="576" spans="29:41" ht="16.5" customHeight="1">
      <c r="AC576" s="24"/>
      <c r="AD576" s="24"/>
      <c r="AE576" s="24"/>
      <c r="AF576" s="24"/>
      <c r="AG576" s="24"/>
      <c r="AH576" s="24"/>
      <c r="AI576" s="24"/>
      <c r="AJ576" s="24"/>
      <c r="AK576" s="24"/>
      <c r="AL576" s="24"/>
      <c r="AM576" s="24"/>
      <c r="AN576" s="24"/>
      <c r="AO576" s="24"/>
    </row>
    <row r="577" spans="29:41" ht="16.5" customHeight="1">
      <c r="AC577" s="24"/>
      <c r="AD577" s="24"/>
      <c r="AE577" s="24"/>
      <c r="AF577" s="24"/>
      <c r="AG577" s="24"/>
      <c r="AH577" s="24"/>
      <c r="AI577" s="24"/>
      <c r="AJ577" s="24"/>
      <c r="AK577" s="24"/>
      <c r="AL577" s="24"/>
      <c r="AM577" s="24"/>
      <c r="AN577" s="24"/>
      <c r="AO577" s="24"/>
    </row>
    <row r="578" spans="29:41" ht="16.5" customHeight="1">
      <c r="AC578" s="24"/>
      <c r="AD578" s="24"/>
      <c r="AE578" s="24"/>
      <c r="AF578" s="24"/>
      <c r="AG578" s="24"/>
      <c r="AH578" s="24"/>
      <c r="AI578" s="24"/>
      <c r="AJ578" s="24"/>
      <c r="AK578" s="24"/>
      <c r="AL578" s="24"/>
      <c r="AM578" s="24"/>
      <c r="AN578" s="24"/>
      <c r="AO578" s="24"/>
    </row>
    <row r="579" spans="29:41" ht="16.5" customHeight="1">
      <c r="AC579" s="24"/>
      <c r="AD579" s="24"/>
      <c r="AE579" s="24"/>
      <c r="AF579" s="24"/>
      <c r="AG579" s="24"/>
      <c r="AH579" s="24"/>
      <c r="AI579" s="24"/>
      <c r="AJ579" s="24"/>
      <c r="AK579" s="24"/>
      <c r="AL579" s="24"/>
      <c r="AM579" s="24"/>
      <c r="AN579" s="24"/>
      <c r="AO579" s="24"/>
    </row>
    <row r="580" spans="29:41" ht="16.5" customHeight="1">
      <c r="AC580" s="24"/>
      <c r="AD580" s="24"/>
      <c r="AE580" s="24"/>
      <c r="AF580" s="24"/>
      <c r="AG580" s="24"/>
      <c r="AH580" s="24"/>
      <c r="AI580" s="24"/>
      <c r="AJ580" s="24"/>
      <c r="AK580" s="24"/>
      <c r="AL580" s="24"/>
      <c r="AM580" s="24"/>
      <c r="AN580" s="24"/>
      <c r="AO580" s="24"/>
    </row>
    <row r="581" spans="29:41" ht="16.5" customHeight="1">
      <c r="AC581" s="24"/>
      <c r="AD581" s="24"/>
      <c r="AE581" s="24"/>
      <c r="AF581" s="24"/>
      <c r="AG581" s="24"/>
      <c r="AH581" s="24"/>
      <c r="AI581" s="24"/>
      <c r="AJ581" s="24"/>
      <c r="AK581" s="24"/>
      <c r="AL581" s="24"/>
      <c r="AM581" s="24"/>
      <c r="AN581" s="24"/>
      <c r="AO581" s="24"/>
    </row>
    <row r="582" spans="29:41" ht="16.5" customHeight="1">
      <c r="AC582" s="24"/>
      <c r="AD582" s="24"/>
      <c r="AE582" s="24"/>
      <c r="AF582" s="24"/>
      <c r="AG582" s="24"/>
      <c r="AH582" s="24"/>
      <c r="AI582" s="24"/>
      <c r="AJ582" s="24"/>
      <c r="AK582" s="24"/>
      <c r="AL582" s="24"/>
      <c r="AM582" s="24"/>
      <c r="AN582" s="24"/>
      <c r="AO582" s="24"/>
    </row>
    <row r="583" spans="29:41" ht="16.5" customHeight="1">
      <c r="AC583" s="24"/>
      <c r="AD583" s="24"/>
      <c r="AE583" s="24"/>
      <c r="AF583" s="24"/>
      <c r="AG583" s="24"/>
      <c r="AH583" s="24"/>
      <c r="AI583" s="24"/>
      <c r="AJ583" s="24"/>
      <c r="AK583" s="24"/>
      <c r="AL583" s="24"/>
      <c r="AM583" s="24"/>
      <c r="AN583" s="24"/>
      <c r="AO583" s="24"/>
    </row>
    <row r="584" spans="29:41" ht="16.5" customHeight="1">
      <c r="AC584" s="24"/>
      <c r="AD584" s="24"/>
      <c r="AE584" s="24"/>
      <c r="AF584" s="24"/>
      <c r="AG584" s="24"/>
      <c r="AH584" s="24"/>
      <c r="AI584" s="24"/>
      <c r="AJ584" s="24"/>
      <c r="AK584" s="24"/>
      <c r="AL584" s="24"/>
      <c r="AM584" s="24"/>
      <c r="AN584" s="24"/>
      <c r="AO584" s="24"/>
    </row>
    <row r="585" spans="29:41" ht="16.5" customHeight="1">
      <c r="AC585" s="24"/>
      <c r="AD585" s="24"/>
      <c r="AE585" s="24"/>
      <c r="AF585" s="24"/>
      <c r="AG585" s="24"/>
      <c r="AH585" s="24"/>
      <c r="AI585" s="24"/>
      <c r="AJ585" s="24"/>
      <c r="AK585" s="24"/>
      <c r="AL585" s="24"/>
      <c r="AM585" s="24"/>
      <c r="AN585" s="24"/>
      <c r="AO585" s="24"/>
    </row>
    <row r="586" spans="29:41" ht="16.5" customHeight="1">
      <c r="AC586" s="24"/>
      <c r="AD586" s="24"/>
      <c r="AE586" s="24"/>
      <c r="AF586" s="24"/>
      <c r="AG586" s="24"/>
      <c r="AH586" s="24"/>
      <c r="AI586" s="24"/>
      <c r="AJ586" s="24"/>
      <c r="AK586" s="24"/>
      <c r="AL586" s="24"/>
      <c r="AM586" s="24"/>
      <c r="AN586" s="24"/>
      <c r="AO586" s="24"/>
    </row>
    <row r="587" spans="29:41" ht="16.5" customHeight="1">
      <c r="AC587" s="24"/>
      <c r="AD587" s="24"/>
      <c r="AE587" s="24"/>
      <c r="AF587" s="24"/>
      <c r="AG587" s="24"/>
      <c r="AH587" s="24"/>
      <c r="AI587" s="24"/>
      <c r="AJ587" s="24"/>
      <c r="AK587" s="24"/>
      <c r="AL587" s="24"/>
      <c r="AM587" s="24"/>
      <c r="AN587" s="24"/>
      <c r="AO587" s="24"/>
    </row>
    <row r="588" spans="29:41" ht="16.5" customHeight="1">
      <c r="AC588" s="24"/>
      <c r="AD588" s="24"/>
      <c r="AE588" s="24"/>
      <c r="AF588" s="24"/>
      <c r="AG588" s="24"/>
      <c r="AH588" s="24"/>
      <c r="AI588" s="24"/>
      <c r="AJ588" s="24"/>
      <c r="AK588" s="24"/>
      <c r="AL588" s="24"/>
      <c r="AM588" s="24"/>
      <c r="AN588" s="24"/>
      <c r="AO588" s="24"/>
    </row>
    <row r="589" spans="29:41" ht="16.5" customHeight="1">
      <c r="AC589" s="24"/>
      <c r="AD589" s="24"/>
      <c r="AE589" s="24"/>
      <c r="AF589" s="24"/>
      <c r="AG589" s="24"/>
      <c r="AH589" s="24"/>
      <c r="AI589" s="24"/>
      <c r="AJ589" s="24"/>
      <c r="AK589" s="24"/>
      <c r="AL589" s="24"/>
      <c r="AM589" s="24"/>
      <c r="AN589" s="24"/>
      <c r="AO589" s="24"/>
    </row>
    <row r="590" spans="29:41" ht="16.5" customHeight="1">
      <c r="AC590" s="24"/>
      <c r="AD590" s="24"/>
      <c r="AE590" s="24"/>
      <c r="AF590" s="24"/>
      <c r="AG590" s="24"/>
      <c r="AH590" s="24"/>
      <c r="AI590" s="24"/>
      <c r="AJ590" s="24"/>
      <c r="AK590" s="24"/>
      <c r="AL590" s="24"/>
      <c r="AM590" s="24"/>
      <c r="AN590" s="24"/>
      <c r="AO590" s="24"/>
    </row>
    <row r="591" spans="29:41" ht="16.5" customHeight="1">
      <c r="AC591" s="24"/>
      <c r="AD591" s="24"/>
      <c r="AE591" s="24"/>
      <c r="AF591" s="24"/>
      <c r="AG591" s="24"/>
      <c r="AH591" s="24"/>
      <c r="AI591" s="24"/>
      <c r="AJ591" s="24"/>
      <c r="AK591" s="24"/>
      <c r="AL591" s="24"/>
      <c r="AM591" s="24"/>
      <c r="AN591" s="24"/>
      <c r="AO591" s="24"/>
    </row>
    <row r="592" spans="29:41" ht="16.5" customHeight="1">
      <c r="AC592" s="24"/>
      <c r="AD592" s="24"/>
      <c r="AE592" s="24"/>
      <c r="AF592" s="24"/>
      <c r="AG592" s="24"/>
      <c r="AH592" s="24"/>
      <c r="AI592" s="24"/>
      <c r="AJ592" s="24"/>
      <c r="AK592" s="24"/>
      <c r="AL592" s="24"/>
      <c r="AM592" s="24"/>
      <c r="AN592" s="24"/>
      <c r="AO592" s="24"/>
    </row>
    <row r="593" spans="29:41" ht="16.5" customHeight="1">
      <c r="AC593" s="24"/>
      <c r="AD593" s="24"/>
      <c r="AE593" s="24"/>
      <c r="AF593" s="24"/>
      <c r="AG593" s="24"/>
      <c r="AH593" s="24"/>
      <c r="AI593" s="24"/>
      <c r="AJ593" s="24"/>
      <c r="AK593" s="24"/>
      <c r="AL593" s="24"/>
      <c r="AM593" s="24"/>
      <c r="AN593" s="24"/>
      <c r="AO593" s="24"/>
    </row>
    <row r="594" spans="29:41" ht="16.5" customHeight="1">
      <c r="AC594" s="24"/>
      <c r="AD594" s="24"/>
      <c r="AE594" s="24"/>
      <c r="AF594" s="24"/>
      <c r="AG594" s="24"/>
      <c r="AH594" s="24"/>
      <c r="AI594" s="24"/>
      <c r="AJ594" s="24"/>
      <c r="AK594" s="24"/>
      <c r="AL594" s="24"/>
      <c r="AM594" s="24"/>
      <c r="AN594" s="24"/>
      <c r="AO594" s="24"/>
    </row>
    <row r="595" spans="29:41" ht="16.5" customHeight="1">
      <c r="AC595" s="24"/>
      <c r="AD595" s="24"/>
      <c r="AE595" s="24"/>
      <c r="AF595" s="24"/>
      <c r="AG595" s="24"/>
      <c r="AH595" s="24"/>
      <c r="AI595" s="24"/>
      <c r="AJ595" s="24"/>
      <c r="AK595" s="24"/>
      <c r="AL595" s="24"/>
      <c r="AM595" s="24"/>
      <c r="AN595" s="24"/>
      <c r="AO595" s="24"/>
    </row>
    <row r="596" spans="29:41" ht="16.5" customHeight="1">
      <c r="AC596" s="24"/>
      <c r="AD596" s="24"/>
      <c r="AE596" s="24"/>
      <c r="AF596" s="24"/>
      <c r="AG596" s="24"/>
      <c r="AH596" s="24"/>
      <c r="AI596" s="24"/>
      <c r="AJ596" s="24"/>
      <c r="AK596" s="24"/>
      <c r="AL596" s="24"/>
      <c r="AM596" s="24"/>
      <c r="AN596" s="24"/>
      <c r="AO596" s="24"/>
    </row>
    <row r="597" spans="29:41" ht="16.5" customHeight="1">
      <c r="AC597" s="24"/>
      <c r="AD597" s="24"/>
      <c r="AE597" s="24"/>
      <c r="AF597" s="24"/>
      <c r="AG597" s="24"/>
      <c r="AH597" s="24"/>
      <c r="AI597" s="24"/>
      <c r="AJ597" s="24"/>
      <c r="AK597" s="24"/>
      <c r="AL597" s="24"/>
      <c r="AM597" s="24"/>
      <c r="AN597" s="24"/>
      <c r="AO597" s="24"/>
    </row>
    <row r="598" spans="29:41" ht="16.5" customHeight="1">
      <c r="AC598" s="24"/>
      <c r="AD598" s="24"/>
      <c r="AE598" s="24"/>
      <c r="AF598" s="24"/>
      <c r="AG598" s="24"/>
      <c r="AH598" s="24"/>
      <c r="AI598" s="24"/>
      <c r="AJ598" s="24"/>
      <c r="AK598" s="24"/>
      <c r="AL598" s="24"/>
      <c r="AM598" s="24"/>
      <c r="AN598" s="24"/>
      <c r="AO598" s="24"/>
    </row>
    <row r="599" spans="29:41" ht="16.5" customHeight="1">
      <c r="AC599" s="24"/>
      <c r="AD599" s="24"/>
      <c r="AE599" s="24"/>
      <c r="AF599" s="24"/>
      <c r="AG599" s="24"/>
      <c r="AH599" s="24"/>
      <c r="AI599" s="24"/>
      <c r="AJ599" s="24"/>
      <c r="AK599" s="24"/>
      <c r="AL599" s="24"/>
      <c r="AM599" s="24"/>
      <c r="AN599" s="24"/>
      <c r="AO599" s="24"/>
    </row>
    <row r="600" spans="29:41" ht="16.5" customHeight="1">
      <c r="AC600" s="24"/>
      <c r="AD600" s="24"/>
      <c r="AE600" s="24"/>
      <c r="AF600" s="24"/>
      <c r="AG600" s="24"/>
      <c r="AH600" s="24"/>
      <c r="AI600" s="24"/>
      <c r="AJ600" s="24"/>
      <c r="AK600" s="24"/>
      <c r="AL600" s="24"/>
      <c r="AM600" s="24"/>
      <c r="AN600" s="24"/>
      <c r="AO600" s="24"/>
    </row>
    <row r="601" spans="29:41" ht="16.5" customHeight="1">
      <c r="AC601" s="24"/>
      <c r="AD601" s="24"/>
      <c r="AE601" s="24"/>
      <c r="AF601" s="24"/>
      <c r="AG601" s="24"/>
      <c r="AH601" s="24"/>
      <c r="AI601" s="24"/>
      <c r="AJ601" s="24"/>
      <c r="AK601" s="24"/>
      <c r="AL601" s="24"/>
      <c r="AM601" s="24"/>
      <c r="AN601" s="24"/>
      <c r="AO601" s="24"/>
    </row>
    <row r="602" spans="29:41" ht="16.5" customHeight="1">
      <c r="AC602" s="24"/>
      <c r="AD602" s="24"/>
      <c r="AE602" s="24"/>
      <c r="AF602" s="24"/>
      <c r="AG602" s="24"/>
      <c r="AH602" s="24"/>
      <c r="AI602" s="24"/>
      <c r="AJ602" s="24"/>
      <c r="AK602" s="24"/>
      <c r="AL602" s="24"/>
      <c r="AM602" s="24"/>
      <c r="AN602" s="24"/>
      <c r="AO602" s="24"/>
    </row>
    <row r="603" spans="29:41" ht="16.5" customHeight="1">
      <c r="AC603" s="24"/>
      <c r="AD603" s="24"/>
      <c r="AE603" s="24"/>
      <c r="AF603" s="24"/>
      <c r="AG603" s="24"/>
      <c r="AH603" s="24"/>
      <c r="AI603" s="24"/>
      <c r="AJ603" s="24"/>
      <c r="AK603" s="24"/>
      <c r="AL603" s="24"/>
      <c r="AM603" s="24"/>
      <c r="AN603" s="24"/>
      <c r="AO603" s="24"/>
    </row>
    <row r="604" spans="29:41" ht="16.5" customHeight="1">
      <c r="AC604" s="24"/>
      <c r="AD604" s="24"/>
      <c r="AE604" s="24"/>
      <c r="AF604" s="24"/>
      <c r="AG604" s="24"/>
      <c r="AH604" s="24"/>
      <c r="AI604" s="24"/>
      <c r="AJ604" s="24"/>
      <c r="AK604" s="24"/>
      <c r="AL604" s="24"/>
      <c r="AM604" s="24"/>
      <c r="AN604" s="24"/>
      <c r="AO604" s="24"/>
    </row>
    <row r="605" spans="29:41" ht="16.5" customHeight="1">
      <c r="AC605" s="24"/>
      <c r="AD605" s="24"/>
      <c r="AE605" s="24"/>
      <c r="AF605" s="24"/>
      <c r="AG605" s="24"/>
      <c r="AH605" s="24"/>
      <c r="AI605" s="24"/>
      <c r="AJ605" s="24"/>
      <c r="AK605" s="24"/>
      <c r="AL605" s="24"/>
      <c r="AM605" s="24"/>
      <c r="AN605" s="24"/>
      <c r="AO605" s="24"/>
    </row>
    <row r="606" spans="29:41" ht="16.5" customHeight="1">
      <c r="AC606" s="24"/>
      <c r="AD606" s="24"/>
      <c r="AE606" s="24"/>
      <c r="AF606" s="24"/>
      <c r="AG606" s="24"/>
      <c r="AH606" s="24"/>
      <c r="AI606" s="24"/>
      <c r="AJ606" s="24"/>
      <c r="AK606" s="24"/>
      <c r="AL606" s="24"/>
      <c r="AM606" s="24"/>
      <c r="AN606" s="24"/>
      <c r="AO606" s="24"/>
    </row>
    <row r="607" spans="29:41" ht="16.5" customHeight="1">
      <c r="AC607" s="24"/>
      <c r="AD607" s="24"/>
      <c r="AE607" s="24"/>
      <c r="AF607" s="24"/>
      <c r="AG607" s="24"/>
      <c r="AH607" s="24"/>
      <c r="AI607" s="24"/>
      <c r="AJ607" s="24"/>
      <c r="AK607" s="24"/>
      <c r="AL607" s="24"/>
      <c r="AM607" s="24"/>
      <c r="AN607" s="24"/>
      <c r="AO607" s="24"/>
    </row>
    <row r="608" spans="29:41" ht="16.5" customHeight="1">
      <c r="AC608" s="24"/>
      <c r="AD608" s="24"/>
      <c r="AE608" s="24"/>
      <c r="AF608" s="24"/>
      <c r="AG608" s="24"/>
      <c r="AH608" s="24"/>
      <c r="AI608" s="24"/>
      <c r="AJ608" s="24"/>
      <c r="AK608" s="24"/>
      <c r="AL608" s="24"/>
      <c r="AM608" s="24"/>
      <c r="AN608" s="24"/>
      <c r="AO608" s="24"/>
    </row>
    <row r="609" spans="29:41" ht="16.5" customHeight="1">
      <c r="AC609" s="24"/>
      <c r="AD609" s="24"/>
      <c r="AE609" s="24"/>
      <c r="AF609" s="24"/>
      <c r="AG609" s="24"/>
      <c r="AH609" s="24"/>
      <c r="AI609" s="24"/>
      <c r="AJ609" s="24"/>
      <c r="AK609" s="24"/>
      <c r="AL609" s="24"/>
      <c r="AM609" s="24"/>
      <c r="AN609" s="24"/>
      <c r="AO609" s="24"/>
    </row>
    <row r="610" spans="29:41" ht="16.5" customHeight="1">
      <c r="AC610" s="24"/>
      <c r="AD610" s="24"/>
      <c r="AE610" s="24"/>
      <c r="AF610" s="24"/>
      <c r="AG610" s="24"/>
      <c r="AH610" s="24"/>
      <c r="AI610" s="24"/>
      <c r="AJ610" s="24"/>
      <c r="AK610" s="24"/>
      <c r="AL610" s="24"/>
      <c r="AM610" s="24"/>
      <c r="AN610" s="24"/>
      <c r="AO610" s="24"/>
    </row>
    <row r="611" spans="29:41" ht="16.5" customHeight="1">
      <c r="AC611" s="24"/>
      <c r="AD611" s="24"/>
      <c r="AE611" s="24"/>
      <c r="AF611" s="24"/>
      <c r="AG611" s="24"/>
      <c r="AH611" s="24"/>
      <c r="AI611" s="24"/>
      <c r="AJ611" s="24"/>
      <c r="AK611" s="24"/>
      <c r="AL611" s="24"/>
      <c r="AM611" s="24"/>
      <c r="AN611" s="24"/>
      <c r="AO611" s="24"/>
    </row>
    <row r="612" spans="29:41" ht="16.5" customHeight="1">
      <c r="AC612" s="24"/>
      <c r="AD612" s="24"/>
      <c r="AE612" s="24"/>
      <c r="AF612" s="24"/>
      <c r="AG612" s="24"/>
      <c r="AH612" s="24"/>
      <c r="AI612" s="24"/>
      <c r="AJ612" s="24"/>
      <c r="AK612" s="24"/>
      <c r="AL612" s="24"/>
      <c r="AM612" s="24"/>
      <c r="AN612" s="24"/>
      <c r="AO612" s="24"/>
    </row>
    <row r="613" spans="29:41" ht="16.5" customHeight="1">
      <c r="AC613" s="24"/>
      <c r="AD613" s="24"/>
      <c r="AE613" s="24"/>
      <c r="AF613" s="24"/>
      <c r="AG613" s="24"/>
      <c r="AH613" s="24"/>
      <c r="AI613" s="24"/>
      <c r="AJ613" s="24"/>
      <c r="AK613" s="24"/>
      <c r="AL613" s="24"/>
      <c r="AM613" s="24"/>
      <c r="AN613" s="24"/>
      <c r="AO613" s="24"/>
    </row>
    <row r="614" spans="29:41" ht="16.5" customHeight="1">
      <c r="AC614" s="24"/>
      <c r="AD614" s="24"/>
      <c r="AE614" s="24"/>
      <c r="AF614" s="24"/>
      <c r="AG614" s="24"/>
      <c r="AH614" s="24"/>
      <c r="AI614" s="24"/>
      <c r="AJ614" s="24"/>
      <c r="AK614" s="24"/>
      <c r="AL614" s="24"/>
      <c r="AM614" s="24"/>
      <c r="AN614" s="24"/>
      <c r="AO614" s="24"/>
    </row>
    <row r="615" spans="29:41" ht="16.5" customHeight="1">
      <c r="AC615" s="24"/>
      <c r="AD615" s="24"/>
      <c r="AE615" s="24"/>
      <c r="AF615" s="24"/>
      <c r="AG615" s="24"/>
      <c r="AH615" s="24"/>
      <c r="AI615" s="24"/>
      <c r="AJ615" s="24"/>
      <c r="AK615" s="24"/>
      <c r="AL615" s="24"/>
      <c r="AM615" s="24"/>
      <c r="AN615" s="24"/>
      <c r="AO615" s="24"/>
    </row>
    <row r="616" spans="29:41" ht="16.5" customHeight="1">
      <c r="AC616" s="24"/>
      <c r="AD616" s="24"/>
      <c r="AE616" s="24"/>
      <c r="AF616" s="24"/>
      <c r="AG616" s="24"/>
      <c r="AH616" s="24"/>
      <c r="AI616" s="24"/>
      <c r="AJ616" s="24"/>
      <c r="AK616" s="24"/>
      <c r="AL616" s="24"/>
      <c r="AM616" s="24"/>
      <c r="AN616" s="24"/>
      <c r="AO616" s="24"/>
    </row>
    <row r="617" spans="29:41" ht="16.5" customHeight="1">
      <c r="AC617" s="24"/>
      <c r="AD617" s="24"/>
      <c r="AE617" s="24"/>
      <c r="AF617" s="24"/>
      <c r="AG617" s="24"/>
      <c r="AH617" s="24"/>
      <c r="AI617" s="24"/>
      <c r="AJ617" s="24"/>
      <c r="AK617" s="24"/>
      <c r="AL617" s="24"/>
      <c r="AM617" s="24"/>
      <c r="AN617" s="24"/>
      <c r="AO617" s="24"/>
    </row>
    <row r="618" spans="29:41" ht="16.5" customHeight="1">
      <c r="AC618" s="24"/>
      <c r="AD618" s="24"/>
      <c r="AE618" s="24"/>
      <c r="AF618" s="24"/>
      <c r="AG618" s="24"/>
      <c r="AH618" s="24"/>
      <c r="AI618" s="24"/>
      <c r="AJ618" s="24"/>
      <c r="AK618" s="24"/>
      <c r="AL618" s="24"/>
      <c r="AM618" s="24"/>
      <c r="AN618" s="24"/>
      <c r="AO618" s="24"/>
    </row>
    <row r="619" spans="29:41" ht="16.5" customHeight="1">
      <c r="AC619" s="24"/>
      <c r="AD619" s="24"/>
      <c r="AE619" s="24"/>
      <c r="AF619" s="24"/>
      <c r="AG619" s="24"/>
      <c r="AH619" s="24"/>
      <c r="AI619" s="24"/>
      <c r="AJ619" s="24"/>
      <c r="AK619" s="24"/>
      <c r="AL619" s="24"/>
      <c r="AM619" s="24"/>
      <c r="AN619" s="24"/>
      <c r="AO619" s="24"/>
    </row>
    <row r="620" spans="29:41" ht="16.5" customHeight="1">
      <c r="AC620" s="24"/>
      <c r="AD620" s="24"/>
      <c r="AE620" s="24"/>
      <c r="AF620" s="24"/>
      <c r="AG620" s="24"/>
      <c r="AH620" s="24"/>
      <c r="AI620" s="24"/>
      <c r="AJ620" s="24"/>
      <c r="AK620" s="24"/>
      <c r="AL620" s="24"/>
      <c r="AM620" s="24"/>
      <c r="AN620" s="24"/>
      <c r="AO620" s="24"/>
    </row>
    <row r="621" spans="29:41" ht="16.5" customHeight="1">
      <c r="AC621" s="24"/>
      <c r="AD621" s="24"/>
      <c r="AE621" s="24"/>
      <c r="AF621" s="24"/>
      <c r="AG621" s="24"/>
      <c r="AH621" s="24"/>
      <c r="AI621" s="24"/>
      <c r="AJ621" s="24"/>
      <c r="AK621" s="24"/>
      <c r="AL621" s="24"/>
      <c r="AM621" s="24"/>
      <c r="AN621" s="24"/>
      <c r="AO621" s="24"/>
    </row>
    <row r="622" spans="29:41" ht="16.5" customHeight="1">
      <c r="AC622" s="24"/>
      <c r="AD622" s="24"/>
      <c r="AE622" s="24"/>
      <c r="AF622" s="24"/>
      <c r="AG622" s="24"/>
      <c r="AH622" s="24"/>
      <c r="AI622" s="24"/>
      <c r="AJ622" s="24"/>
      <c r="AK622" s="24"/>
      <c r="AL622" s="24"/>
      <c r="AM622" s="24"/>
      <c r="AN622" s="24"/>
      <c r="AO622" s="24"/>
    </row>
    <row r="623" spans="29:41" ht="16.5" customHeight="1">
      <c r="AC623" s="24"/>
      <c r="AD623" s="24"/>
      <c r="AE623" s="24"/>
      <c r="AF623" s="24"/>
      <c r="AG623" s="24"/>
      <c r="AH623" s="24"/>
      <c r="AI623" s="24"/>
      <c r="AJ623" s="24"/>
      <c r="AK623" s="24"/>
      <c r="AL623" s="24"/>
      <c r="AM623" s="24"/>
      <c r="AN623" s="24"/>
      <c r="AO623" s="24"/>
    </row>
    <row r="624" spans="29:41" ht="16.5" customHeight="1">
      <c r="AC624" s="24"/>
      <c r="AD624" s="24"/>
      <c r="AE624" s="24"/>
      <c r="AF624" s="24"/>
      <c r="AG624" s="24"/>
      <c r="AH624" s="24"/>
      <c r="AI624" s="24"/>
      <c r="AJ624" s="24"/>
      <c r="AK624" s="24"/>
      <c r="AL624" s="24"/>
      <c r="AM624" s="24"/>
      <c r="AN624" s="24"/>
      <c r="AO624" s="24"/>
    </row>
    <row r="625" spans="29:41" ht="16.5" customHeight="1">
      <c r="AC625" s="24"/>
      <c r="AD625" s="24"/>
      <c r="AE625" s="24"/>
      <c r="AF625" s="24"/>
      <c r="AG625" s="24"/>
      <c r="AH625" s="24"/>
      <c r="AI625" s="24"/>
      <c r="AJ625" s="24"/>
      <c r="AK625" s="24"/>
      <c r="AL625" s="24"/>
      <c r="AM625" s="24"/>
      <c r="AN625" s="24"/>
      <c r="AO625" s="24"/>
    </row>
    <row r="626" spans="29:41" ht="16.5" customHeight="1">
      <c r="AC626" s="24"/>
      <c r="AD626" s="24"/>
      <c r="AE626" s="24"/>
      <c r="AF626" s="24"/>
      <c r="AG626" s="24"/>
      <c r="AH626" s="24"/>
      <c r="AI626" s="24"/>
      <c r="AJ626" s="24"/>
      <c r="AK626" s="24"/>
      <c r="AL626" s="24"/>
      <c r="AM626" s="24"/>
      <c r="AN626" s="24"/>
      <c r="AO626" s="24"/>
    </row>
    <row r="627" spans="29:41" ht="16.5" customHeight="1">
      <c r="AC627" s="24"/>
      <c r="AD627" s="24"/>
      <c r="AE627" s="24"/>
      <c r="AF627" s="24"/>
      <c r="AG627" s="24"/>
      <c r="AH627" s="24"/>
      <c r="AI627" s="24"/>
      <c r="AJ627" s="24"/>
      <c r="AK627" s="24"/>
      <c r="AL627" s="24"/>
      <c r="AM627" s="24"/>
      <c r="AN627" s="24"/>
      <c r="AO627" s="24"/>
    </row>
    <row r="628" spans="29:41" ht="16.5" customHeight="1">
      <c r="AC628" s="24"/>
      <c r="AD628" s="24"/>
      <c r="AE628" s="24"/>
      <c r="AF628" s="24"/>
      <c r="AG628" s="24"/>
      <c r="AH628" s="24"/>
      <c r="AI628" s="24"/>
      <c r="AJ628" s="24"/>
      <c r="AK628" s="24"/>
      <c r="AL628" s="24"/>
      <c r="AM628" s="24"/>
      <c r="AN628" s="24"/>
      <c r="AO628" s="24"/>
    </row>
    <row r="629" spans="29:41" ht="16.5" customHeight="1">
      <c r="AC629" s="24"/>
      <c r="AD629" s="24"/>
      <c r="AE629" s="24"/>
      <c r="AF629" s="24"/>
      <c r="AG629" s="24"/>
      <c r="AH629" s="24"/>
      <c r="AI629" s="24"/>
      <c r="AJ629" s="24"/>
      <c r="AK629" s="24"/>
      <c r="AL629" s="24"/>
      <c r="AM629" s="24"/>
      <c r="AN629" s="24"/>
      <c r="AO629" s="24"/>
    </row>
    <row r="630" spans="29:41" ht="16.5" customHeight="1">
      <c r="AC630" s="24"/>
      <c r="AD630" s="24"/>
      <c r="AE630" s="24"/>
      <c r="AF630" s="24"/>
      <c r="AG630" s="24"/>
      <c r="AH630" s="24"/>
      <c r="AI630" s="24"/>
      <c r="AJ630" s="24"/>
      <c r="AK630" s="24"/>
      <c r="AL630" s="24"/>
      <c r="AM630" s="24"/>
      <c r="AN630" s="24"/>
      <c r="AO630" s="24"/>
    </row>
    <row r="631" spans="29:41" ht="16.5" customHeight="1">
      <c r="AC631" s="24"/>
      <c r="AD631" s="24"/>
      <c r="AE631" s="24"/>
      <c r="AF631" s="24"/>
      <c r="AG631" s="24"/>
      <c r="AH631" s="24"/>
      <c r="AI631" s="24"/>
      <c r="AJ631" s="24"/>
      <c r="AK631" s="24"/>
      <c r="AL631" s="24"/>
      <c r="AM631" s="24"/>
      <c r="AN631" s="24"/>
      <c r="AO631" s="24"/>
    </row>
    <row r="632" spans="29:41" ht="16.5" customHeight="1">
      <c r="AC632" s="24"/>
      <c r="AD632" s="24"/>
      <c r="AE632" s="24"/>
      <c r="AF632" s="24"/>
      <c r="AG632" s="24"/>
      <c r="AH632" s="24"/>
      <c r="AI632" s="24"/>
      <c r="AJ632" s="24"/>
      <c r="AK632" s="24"/>
      <c r="AL632" s="24"/>
      <c r="AM632" s="24"/>
      <c r="AN632" s="24"/>
      <c r="AO632" s="24"/>
    </row>
    <row r="633" spans="29:41" ht="16.5" customHeight="1">
      <c r="AC633" s="24"/>
      <c r="AD633" s="24"/>
      <c r="AE633" s="24"/>
      <c r="AF633" s="24"/>
      <c r="AG633" s="24"/>
      <c r="AH633" s="24"/>
      <c r="AI633" s="24"/>
      <c r="AJ633" s="24"/>
      <c r="AK633" s="24"/>
      <c r="AL633" s="24"/>
      <c r="AM633" s="24"/>
      <c r="AN633" s="24"/>
      <c r="AO633" s="24"/>
    </row>
    <row r="634" spans="29:41" ht="16.5" customHeight="1">
      <c r="AC634" s="24"/>
      <c r="AD634" s="24"/>
      <c r="AE634" s="24"/>
      <c r="AF634" s="24"/>
      <c r="AG634" s="24"/>
      <c r="AH634" s="24"/>
      <c r="AI634" s="24"/>
      <c r="AJ634" s="24"/>
      <c r="AK634" s="24"/>
      <c r="AL634" s="24"/>
      <c r="AM634" s="24"/>
      <c r="AN634" s="24"/>
      <c r="AO634" s="24"/>
    </row>
    <row r="635" spans="29:41" ht="16.5" customHeight="1">
      <c r="AC635" s="24"/>
      <c r="AD635" s="24"/>
      <c r="AE635" s="24"/>
      <c r="AF635" s="24"/>
      <c r="AG635" s="24"/>
      <c r="AH635" s="24"/>
      <c r="AI635" s="24"/>
      <c r="AJ635" s="24"/>
      <c r="AK635" s="24"/>
      <c r="AL635" s="24"/>
      <c r="AM635" s="24"/>
      <c r="AN635" s="24"/>
      <c r="AO635" s="24"/>
    </row>
    <row r="636" spans="29:41" ht="16.5" customHeight="1">
      <c r="AC636" s="24"/>
      <c r="AD636" s="24"/>
      <c r="AE636" s="24"/>
      <c r="AF636" s="24"/>
      <c r="AG636" s="24"/>
      <c r="AH636" s="24"/>
      <c r="AI636" s="24"/>
      <c r="AJ636" s="24"/>
      <c r="AK636" s="24"/>
      <c r="AL636" s="24"/>
      <c r="AM636" s="24"/>
      <c r="AN636" s="24"/>
      <c r="AO636" s="24"/>
    </row>
    <row r="637" spans="29:41" ht="16.5" customHeight="1">
      <c r="AC637" s="24"/>
      <c r="AD637" s="24"/>
      <c r="AE637" s="24"/>
      <c r="AF637" s="24"/>
      <c r="AG637" s="24"/>
      <c r="AH637" s="24"/>
      <c r="AI637" s="24"/>
      <c r="AJ637" s="24"/>
      <c r="AK637" s="24"/>
      <c r="AL637" s="24"/>
      <c r="AM637" s="24"/>
      <c r="AN637" s="24"/>
      <c r="AO637" s="24"/>
    </row>
    <row r="638" spans="29:41" ht="16.5" customHeight="1">
      <c r="AC638" s="24"/>
      <c r="AD638" s="24"/>
      <c r="AE638" s="24"/>
      <c r="AF638" s="24"/>
      <c r="AG638" s="24"/>
      <c r="AH638" s="24"/>
      <c r="AI638" s="24"/>
      <c r="AJ638" s="24"/>
      <c r="AK638" s="24"/>
      <c r="AL638" s="24"/>
      <c r="AM638" s="24"/>
      <c r="AN638" s="24"/>
      <c r="AO638" s="24"/>
    </row>
    <row r="639" spans="29:41" ht="16.5" customHeight="1">
      <c r="AC639" s="24"/>
      <c r="AD639" s="24"/>
      <c r="AE639" s="24"/>
      <c r="AF639" s="24"/>
      <c r="AG639" s="24"/>
      <c r="AH639" s="24"/>
      <c r="AI639" s="24"/>
      <c r="AJ639" s="24"/>
      <c r="AK639" s="24"/>
      <c r="AL639" s="24"/>
      <c r="AM639" s="24"/>
      <c r="AN639" s="24"/>
      <c r="AO639" s="24"/>
    </row>
  </sheetData>
  <mergeCells count="23">
    <mergeCell ref="B1:C1"/>
    <mergeCell ref="B131:B143"/>
    <mergeCell ref="B55:B60"/>
    <mergeCell ref="B61:B67"/>
    <mergeCell ref="B68:B84"/>
    <mergeCell ref="B88:B120"/>
    <mergeCell ref="B121:B130"/>
    <mergeCell ref="B144:B151"/>
    <mergeCell ref="AQ2:BD2"/>
    <mergeCell ref="AC1:AO1"/>
    <mergeCell ref="N1:Z1"/>
    <mergeCell ref="B45:B49"/>
    <mergeCell ref="B4:B22"/>
    <mergeCell ref="B23:B33"/>
    <mergeCell ref="B34:B38"/>
    <mergeCell ref="B39:B43"/>
    <mergeCell ref="AB2:AO2"/>
    <mergeCell ref="M2:Z2"/>
    <mergeCell ref="G2:I2"/>
    <mergeCell ref="E2:F2"/>
    <mergeCell ref="J2:L2"/>
    <mergeCell ref="AR1:BD1"/>
    <mergeCell ref="B50:B54"/>
  </mergeCells>
  <phoneticPr fontId="5" type="noConversion"/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47BFA-B245-498D-9E09-8420010138CB}">
  <dimension ref="A2:M395"/>
  <sheetViews>
    <sheetView workbookViewId="0">
      <selection activeCell="C9" sqref="C9"/>
    </sheetView>
  </sheetViews>
  <sheetFormatPr defaultColWidth="9.81640625" defaultRowHeight="17"/>
  <cols>
    <col min="1" max="1" width="7.81640625" style="10" customWidth="1"/>
    <col min="2" max="2" width="35.81640625" style="3" bestFit="1" customWidth="1"/>
    <col min="3" max="3" width="16.453125" style="10" customWidth="1"/>
    <col min="4" max="4" width="20.1796875" style="10" customWidth="1"/>
    <col min="5" max="5" width="27.453125" style="11" customWidth="1"/>
    <col min="6" max="7" width="10.54296875" style="10" customWidth="1"/>
    <col min="8" max="8" width="52.1796875" style="3" customWidth="1"/>
    <col min="9" max="9" width="8.7265625" style="10" customWidth="1"/>
    <col min="10" max="10" width="20" style="10" hidden="1" customWidth="1"/>
    <col min="11" max="16384" width="9.81640625" style="3"/>
  </cols>
  <sheetData>
    <row r="2" spans="1:13" s="31" customFormat="1" ht="35.15" customHeight="1">
      <c r="A2" s="96"/>
      <c r="B2" s="96"/>
      <c r="C2" s="96"/>
      <c r="D2" s="96"/>
      <c r="E2" s="96"/>
      <c r="F2" s="96"/>
      <c r="G2" s="96"/>
      <c r="H2" s="96"/>
      <c r="I2" s="96"/>
      <c r="J2" s="96"/>
      <c r="K2" s="30"/>
      <c r="L2" s="30"/>
      <c r="M2" s="30"/>
    </row>
    <row r="3" spans="1:13" s="31" customFormat="1" ht="23.15" customHeight="1">
      <c r="A3" s="97" t="s">
        <v>226</v>
      </c>
      <c r="B3" s="97"/>
      <c r="C3" s="32"/>
      <c r="D3" s="33"/>
      <c r="E3" s="32"/>
      <c r="F3" s="32"/>
      <c r="G3" s="32"/>
      <c r="H3" s="32"/>
      <c r="I3" s="32"/>
      <c r="J3" s="32"/>
      <c r="K3" s="32"/>
      <c r="L3" s="32"/>
      <c r="M3" s="34"/>
    </row>
    <row r="4" spans="1:13" ht="5.15" customHeight="1"/>
    <row r="5" spans="1:13">
      <c r="G5" s="10">
        <f>SUBTOTAL(3,G7:G395)</f>
        <v>389</v>
      </c>
    </row>
    <row r="6" spans="1:13" ht="25.5" customHeight="1">
      <c r="A6" s="1" t="s">
        <v>102</v>
      </c>
      <c r="B6" s="2" t="s">
        <v>103</v>
      </c>
      <c r="C6" s="1" t="s">
        <v>104</v>
      </c>
      <c r="D6" s="1" t="s">
        <v>105</v>
      </c>
      <c r="E6" s="2" t="s">
        <v>106</v>
      </c>
      <c r="F6" s="1" t="s">
        <v>107</v>
      </c>
      <c r="G6" s="1" t="s">
        <v>6</v>
      </c>
      <c r="H6" s="1" t="s">
        <v>108</v>
      </c>
      <c r="I6" s="1" t="s">
        <v>109</v>
      </c>
      <c r="J6" s="1" t="s">
        <v>110</v>
      </c>
    </row>
    <row r="7" spans="1:13">
      <c r="A7" s="5" t="s">
        <v>239</v>
      </c>
      <c r="B7" s="6" t="s">
        <v>240</v>
      </c>
      <c r="C7" s="7">
        <v>46020</v>
      </c>
      <c r="D7" s="9" t="s">
        <v>241</v>
      </c>
      <c r="E7" s="8" t="s">
        <v>28</v>
      </c>
      <c r="F7" s="9" t="s">
        <v>242</v>
      </c>
      <c r="G7" s="9">
        <v>1</v>
      </c>
      <c r="H7" s="6" t="s">
        <v>243</v>
      </c>
      <c r="I7" s="9" t="s">
        <v>244</v>
      </c>
      <c r="J7" s="9" t="s">
        <v>145</v>
      </c>
    </row>
    <row r="8" spans="1:13">
      <c r="A8" s="5" t="s">
        <v>245</v>
      </c>
      <c r="B8" s="6" t="s">
        <v>240</v>
      </c>
      <c r="C8" s="7">
        <v>46020</v>
      </c>
      <c r="D8" s="9" t="s">
        <v>241</v>
      </c>
      <c r="E8" s="4" t="s">
        <v>29</v>
      </c>
      <c r="F8" s="9" t="s">
        <v>246</v>
      </c>
      <c r="G8" s="9">
        <v>1</v>
      </c>
      <c r="H8" s="6" t="s">
        <v>243</v>
      </c>
      <c r="I8" s="9" t="s">
        <v>244</v>
      </c>
      <c r="J8" s="9" t="s">
        <v>145</v>
      </c>
    </row>
    <row r="9" spans="1:13">
      <c r="A9" s="5" t="s">
        <v>247</v>
      </c>
      <c r="B9" s="6" t="s">
        <v>248</v>
      </c>
      <c r="C9" s="7">
        <v>46020</v>
      </c>
      <c r="D9" s="9" t="s">
        <v>241</v>
      </c>
      <c r="E9" s="8" t="s">
        <v>28</v>
      </c>
      <c r="F9" s="9" t="s">
        <v>242</v>
      </c>
      <c r="G9" s="9">
        <v>1</v>
      </c>
      <c r="H9" s="6" t="s">
        <v>249</v>
      </c>
      <c r="I9" s="9" t="s">
        <v>244</v>
      </c>
      <c r="J9" s="9" t="s">
        <v>145</v>
      </c>
    </row>
    <row r="10" spans="1:13">
      <c r="A10" s="5" t="s">
        <v>250</v>
      </c>
      <c r="B10" s="6" t="s">
        <v>248</v>
      </c>
      <c r="C10" s="7">
        <v>46020</v>
      </c>
      <c r="D10" s="9" t="s">
        <v>241</v>
      </c>
      <c r="E10" s="4" t="s">
        <v>28</v>
      </c>
      <c r="F10" s="9" t="s">
        <v>246</v>
      </c>
      <c r="G10" s="9">
        <v>1</v>
      </c>
      <c r="H10" s="6" t="s">
        <v>249</v>
      </c>
      <c r="I10" s="9" t="s">
        <v>244</v>
      </c>
      <c r="J10" s="9" t="s">
        <v>145</v>
      </c>
    </row>
    <row r="11" spans="1:13">
      <c r="A11" s="5" t="s">
        <v>251</v>
      </c>
      <c r="B11" s="6" t="s">
        <v>252</v>
      </c>
      <c r="C11" s="7">
        <v>46020</v>
      </c>
      <c r="D11" s="9" t="s">
        <v>241</v>
      </c>
      <c r="E11" s="8" t="s">
        <v>28</v>
      </c>
      <c r="F11" s="9" t="s">
        <v>242</v>
      </c>
      <c r="G11" s="9">
        <v>1</v>
      </c>
      <c r="H11" s="6" t="s">
        <v>249</v>
      </c>
      <c r="I11" s="9" t="s">
        <v>253</v>
      </c>
      <c r="J11" s="9" t="s">
        <v>145</v>
      </c>
    </row>
    <row r="12" spans="1:13">
      <c r="A12" s="5" t="s">
        <v>254</v>
      </c>
      <c r="B12" s="6" t="s">
        <v>252</v>
      </c>
      <c r="C12" s="7">
        <v>46020</v>
      </c>
      <c r="D12" s="9" t="s">
        <v>241</v>
      </c>
      <c r="E12" s="8" t="s">
        <v>29</v>
      </c>
      <c r="F12" s="9" t="s">
        <v>246</v>
      </c>
      <c r="G12" s="9">
        <v>1</v>
      </c>
      <c r="H12" s="6" t="s">
        <v>249</v>
      </c>
      <c r="I12" s="9" t="s">
        <v>253</v>
      </c>
      <c r="J12" s="9" t="s">
        <v>145</v>
      </c>
    </row>
    <row r="13" spans="1:13">
      <c r="A13" s="5" t="s">
        <v>255</v>
      </c>
      <c r="B13" s="6" t="s">
        <v>256</v>
      </c>
      <c r="C13" s="7">
        <v>46020</v>
      </c>
      <c r="D13" s="9" t="s">
        <v>241</v>
      </c>
      <c r="E13" s="8" t="s">
        <v>28</v>
      </c>
      <c r="F13" s="9" t="s">
        <v>242</v>
      </c>
      <c r="G13" s="9">
        <v>1</v>
      </c>
      <c r="H13" s="6" t="s">
        <v>257</v>
      </c>
      <c r="I13" s="9" t="s">
        <v>258</v>
      </c>
      <c r="J13" s="9" t="s">
        <v>145</v>
      </c>
    </row>
    <row r="14" spans="1:13">
      <c r="A14" s="5" t="s">
        <v>259</v>
      </c>
      <c r="B14" s="6" t="s">
        <v>256</v>
      </c>
      <c r="C14" s="7">
        <v>46020</v>
      </c>
      <c r="D14" s="9" t="s">
        <v>241</v>
      </c>
      <c r="E14" s="8" t="s">
        <v>29</v>
      </c>
      <c r="F14" s="9" t="s">
        <v>246</v>
      </c>
      <c r="G14" s="9">
        <v>1</v>
      </c>
      <c r="H14" s="6" t="s">
        <v>257</v>
      </c>
      <c r="I14" s="9" t="s">
        <v>258</v>
      </c>
      <c r="J14" s="9" t="s">
        <v>145</v>
      </c>
    </row>
    <row r="15" spans="1:13">
      <c r="A15" s="5" t="s">
        <v>260</v>
      </c>
      <c r="B15" s="6" t="s">
        <v>256</v>
      </c>
      <c r="C15" s="7">
        <v>46020</v>
      </c>
      <c r="D15" s="9" t="s">
        <v>261</v>
      </c>
      <c r="E15" s="8" t="s">
        <v>62</v>
      </c>
      <c r="F15" s="9" t="s">
        <v>242</v>
      </c>
      <c r="G15" s="9">
        <v>1</v>
      </c>
      <c r="H15" s="6" t="s">
        <v>257</v>
      </c>
      <c r="I15" s="9" t="s">
        <v>258</v>
      </c>
      <c r="J15" s="9" t="s">
        <v>145</v>
      </c>
    </row>
    <row r="16" spans="1:13">
      <c r="A16" s="5" t="s">
        <v>262</v>
      </c>
      <c r="B16" s="6" t="s">
        <v>263</v>
      </c>
      <c r="C16" s="7">
        <v>46021</v>
      </c>
      <c r="D16" s="9" t="s">
        <v>264</v>
      </c>
      <c r="E16" s="8" t="s">
        <v>38</v>
      </c>
      <c r="F16" s="9" t="s">
        <v>242</v>
      </c>
      <c r="G16" s="9">
        <v>1</v>
      </c>
      <c r="H16" s="6" t="s">
        <v>265</v>
      </c>
      <c r="I16" s="9" t="s">
        <v>266</v>
      </c>
      <c r="J16" s="9" t="s">
        <v>145</v>
      </c>
    </row>
    <row r="17" spans="1:10">
      <c r="A17" s="5" t="s">
        <v>267</v>
      </c>
      <c r="B17" s="6" t="s">
        <v>263</v>
      </c>
      <c r="C17" s="7">
        <v>46021</v>
      </c>
      <c r="D17" s="9" t="s">
        <v>264</v>
      </c>
      <c r="E17" s="8" t="s">
        <v>35</v>
      </c>
      <c r="F17" s="9" t="s">
        <v>246</v>
      </c>
      <c r="G17" s="9">
        <v>1</v>
      </c>
      <c r="H17" s="6" t="s">
        <v>265</v>
      </c>
      <c r="I17" s="9" t="s">
        <v>266</v>
      </c>
      <c r="J17" s="9" t="s">
        <v>145</v>
      </c>
    </row>
    <row r="18" spans="1:10">
      <c r="A18" s="5" t="s">
        <v>268</v>
      </c>
      <c r="B18" s="6" t="s">
        <v>263</v>
      </c>
      <c r="C18" s="7">
        <v>46021</v>
      </c>
      <c r="D18" s="9" t="s">
        <v>261</v>
      </c>
      <c r="E18" s="8" t="s">
        <v>64</v>
      </c>
      <c r="F18" s="9" t="s">
        <v>242</v>
      </c>
      <c r="G18" s="9">
        <v>2</v>
      </c>
      <c r="H18" s="6" t="s">
        <v>265</v>
      </c>
      <c r="I18" s="9" t="s">
        <v>266</v>
      </c>
      <c r="J18" s="9" t="s">
        <v>145</v>
      </c>
    </row>
    <row r="19" spans="1:10">
      <c r="A19" s="5" t="s">
        <v>269</v>
      </c>
      <c r="B19" s="6" t="s">
        <v>263</v>
      </c>
      <c r="C19" s="7">
        <v>46021</v>
      </c>
      <c r="D19" s="9" t="s">
        <v>270</v>
      </c>
      <c r="E19" s="8" t="s">
        <v>271</v>
      </c>
      <c r="F19" s="9" t="s">
        <v>242</v>
      </c>
      <c r="G19" s="9">
        <v>2</v>
      </c>
      <c r="H19" s="6" t="s">
        <v>265</v>
      </c>
      <c r="I19" s="9" t="s">
        <v>266</v>
      </c>
      <c r="J19" s="9" t="s">
        <v>145</v>
      </c>
    </row>
    <row r="20" spans="1:10">
      <c r="A20" s="5" t="s">
        <v>272</v>
      </c>
      <c r="B20" s="6" t="s">
        <v>273</v>
      </c>
      <c r="C20" s="7">
        <v>46021</v>
      </c>
      <c r="D20" s="9" t="s">
        <v>241</v>
      </c>
      <c r="E20" s="4" t="s">
        <v>28</v>
      </c>
      <c r="F20" s="9" t="s">
        <v>242</v>
      </c>
      <c r="G20" s="9">
        <v>1</v>
      </c>
      <c r="H20" s="6" t="s">
        <v>274</v>
      </c>
      <c r="I20" s="9" t="s">
        <v>275</v>
      </c>
      <c r="J20" s="9" t="s">
        <v>145</v>
      </c>
    </row>
    <row r="21" spans="1:10">
      <c r="A21" s="5" t="s">
        <v>276</v>
      </c>
      <c r="B21" s="6" t="s">
        <v>273</v>
      </c>
      <c r="C21" s="7">
        <v>46021</v>
      </c>
      <c r="D21" s="9" t="s">
        <v>241</v>
      </c>
      <c r="E21" s="8" t="s">
        <v>29</v>
      </c>
      <c r="F21" s="9" t="s">
        <v>246</v>
      </c>
      <c r="G21" s="9">
        <v>1</v>
      </c>
      <c r="H21" s="6" t="s">
        <v>274</v>
      </c>
      <c r="I21" s="9" t="s">
        <v>275</v>
      </c>
      <c r="J21" s="9" t="s">
        <v>145</v>
      </c>
    </row>
    <row r="22" spans="1:10">
      <c r="A22" s="5" t="s">
        <v>277</v>
      </c>
      <c r="B22" s="6" t="s">
        <v>278</v>
      </c>
      <c r="C22" s="7">
        <v>46021</v>
      </c>
      <c r="D22" s="9" t="s">
        <v>241</v>
      </c>
      <c r="E22" s="8" t="s">
        <v>28</v>
      </c>
      <c r="F22" s="9" t="s">
        <v>242</v>
      </c>
      <c r="G22" s="9">
        <v>1</v>
      </c>
      <c r="H22" s="6" t="s">
        <v>274</v>
      </c>
      <c r="I22" s="9" t="s">
        <v>275</v>
      </c>
      <c r="J22" s="9" t="s">
        <v>145</v>
      </c>
    </row>
    <row r="23" spans="1:10">
      <c r="A23" s="5" t="s">
        <v>279</v>
      </c>
      <c r="B23" s="6" t="s">
        <v>278</v>
      </c>
      <c r="C23" s="7">
        <v>46021</v>
      </c>
      <c r="D23" s="9" t="s">
        <v>241</v>
      </c>
      <c r="E23" s="8" t="s">
        <v>29</v>
      </c>
      <c r="F23" s="9" t="s">
        <v>246</v>
      </c>
      <c r="G23" s="9">
        <v>1</v>
      </c>
      <c r="H23" s="6" t="s">
        <v>274</v>
      </c>
      <c r="I23" s="9" t="s">
        <v>275</v>
      </c>
      <c r="J23" s="9" t="s">
        <v>145</v>
      </c>
    </row>
    <row r="24" spans="1:10">
      <c r="A24" s="5" t="s">
        <v>280</v>
      </c>
      <c r="B24" s="6" t="s">
        <v>278</v>
      </c>
      <c r="C24" s="7">
        <v>46021</v>
      </c>
      <c r="D24" s="9" t="s">
        <v>261</v>
      </c>
      <c r="E24" s="8" t="s">
        <v>281</v>
      </c>
      <c r="F24" s="9" t="s">
        <v>242</v>
      </c>
      <c r="G24" s="9">
        <v>2</v>
      </c>
      <c r="H24" s="6" t="s">
        <v>274</v>
      </c>
      <c r="I24" s="9" t="s">
        <v>275</v>
      </c>
      <c r="J24" s="9" t="s">
        <v>145</v>
      </c>
    </row>
    <row r="25" spans="1:10">
      <c r="A25" s="5" t="s">
        <v>282</v>
      </c>
      <c r="B25" s="6" t="s">
        <v>283</v>
      </c>
      <c r="C25" s="7">
        <v>46021</v>
      </c>
      <c r="D25" s="9" t="s">
        <v>241</v>
      </c>
      <c r="E25" s="8" t="s">
        <v>28</v>
      </c>
      <c r="F25" s="9" t="s">
        <v>242</v>
      </c>
      <c r="G25" s="9">
        <v>1</v>
      </c>
      <c r="H25" s="6" t="s">
        <v>243</v>
      </c>
      <c r="I25" s="9" t="s">
        <v>284</v>
      </c>
      <c r="J25" s="9" t="s">
        <v>145</v>
      </c>
    </row>
    <row r="26" spans="1:10">
      <c r="A26" s="5" t="s">
        <v>285</v>
      </c>
      <c r="B26" s="6" t="s">
        <v>283</v>
      </c>
      <c r="C26" s="7">
        <v>46021</v>
      </c>
      <c r="D26" s="9" t="s">
        <v>241</v>
      </c>
      <c r="E26" s="4" t="s">
        <v>27</v>
      </c>
      <c r="F26" s="9" t="s">
        <v>246</v>
      </c>
      <c r="G26" s="9">
        <v>1</v>
      </c>
      <c r="H26" s="6" t="s">
        <v>243</v>
      </c>
      <c r="I26" s="9" t="s">
        <v>284</v>
      </c>
      <c r="J26" s="9" t="s">
        <v>145</v>
      </c>
    </row>
    <row r="27" spans="1:10">
      <c r="A27" s="5" t="s">
        <v>286</v>
      </c>
      <c r="B27" s="6" t="s">
        <v>283</v>
      </c>
      <c r="C27" s="7">
        <v>46021</v>
      </c>
      <c r="D27" s="9" t="s">
        <v>261</v>
      </c>
      <c r="E27" s="8" t="s">
        <v>62</v>
      </c>
      <c r="F27" s="9" t="s">
        <v>242</v>
      </c>
      <c r="G27" s="9">
        <v>2</v>
      </c>
      <c r="H27" s="6" t="s">
        <v>243</v>
      </c>
      <c r="I27" s="9" t="s">
        <v>284</v>
      </c>
      <c r="J27" s="9" t="s">
        <v>145</v>
      </c>
    </row>
    <row r="28" spans="1:10">
      <c r="A28" s="5" t="s">
        <v>287</v>
      </c>
      <c r="B28" s="6" t="s">
        <v>288</v>
      </c>
      <c r="C28" s="7">
        <v>46021</v>
      </c>
      <c r="D28" s="9" t="s">
        <v>241</v>
      </c>
      <c r="E28" s="8" t="s">
        <v>28</v>
      </c>
      <c r="F28" s="9" t="s">
        <v>242</v>
      </c>
      <c r="G28" s="9">
        <v>1</v>
      </c>
      <c r="H28" s="6" t="s">
        <v>243</v>
      </c>
      <c r="I28" s="9" t="s">
        <v>289</v>
      </c>
      <c r="J28" s="9" t="s">
        <v>145</v>
      </c>
    </row>
    <row r="29" spans="1:10">
      <c r="A29" s="5" t="s">
        <v>290</v>
      </c>
      <c r="B29" s="6" t="s">
        <v>288</v>
      </c>
      <c r="C29" s="7">
        <v>46021</v>
      </c>
      <c r="D29" s="9" t="s">
        <v>241</v>
      </c>
      <c r="E29" s="8" t="s">
        <v>29</v>
      </c>
      <c r="F29" s="9" t="s">
        <v>246</v>
      </c>
      <c r="G29" s="9">
        <v>1</v>
      </c>
      <c r="H29" s="6" t="s">
        <v>243</v>
      </c>
      <c r="I29" s="9" t="s">
        <v>289</v>
      </c>
      <c r="J29" s="9" t="s">
        <v>145</v>
      </c>
    </row>
    <row r="30" spans="1:10">
      <c r="A30" s="5" t="s">
        <v>291</v>
      </c>
      <c r="B30" s="6" t="s">
        <v>292</v>
      </c>
      <c r="C30" s="7">
        <v>46022</v>
      </c>
      <c r="D30" s="9" t="s">
        <v>241</v>
      </c>
      <c r="E30" s="4" t="s">
        <v>28</v>
      </c>
      <c r="F30" s="9" t="s">
        <v>242</v>
      </c>
      <c r="G30" s="9">
        <v>1</v>
      </c>
      <c r="H30" s="6" t="s">
        <v>243</v>
      </c>
      <c r="I30" s="9" t="s">
        <v>244</v>
      </c>
      <c r="J30" s="9" t="s">
        <v>145</v>
      </c>
    </row>
    <row r="31" spans="1:10">
      <c r="A31" s="5" t="s">
        <v>293</v>
      </c>
      <c r="B31" s="6" t="s">
        <v>292</v>
      </c>
      <c r="C31" s="7">
        <v>46022</v>
      </c>
      <c r="D31" s="9" t="s">
        <v>241</v>
      </c>
      <c r="E31" s="8" t="s">
        <v>29</v>
      </c>
      <c r="F31" s="9" t="s">
        <v>246</v>
      </c>
      <c r="G31" s="9">
        <v>1</v>
      </c>
      <c r="H31" s="6" t="s">
        <v>243</v>
      </c>
      <c r="I31" s="9" t="s">
        <v>244</v>
      </c>
      <c r="J31" s="9" t="s">
        <v>145</v>
      </c>
    </row>
    <row r="32" spans="1:10">
      <c r="A32" s="5" t="s">
        <v>294</v>
      </c>
      <c r="B32" s="6" t="s">
        <v>295</v>
      </c>
      <c r="C32" s="7">
        <v>46022</v>
      </c>
      <c r="D32" s="9" t="s">
        <v>241</v>
      </c>
      <c r="E32" s="8" t="s">
        <v>28</v>
      </c>
      <c r="F32" s="9" t="s">
        <v>242</v>
      </c>
      <c r="G32" s="9">
        <v>1</v>
      </c>
      <c r="H32" s="6" t="s">
        <v>243</v>
      </c>
      <c r="I32" s="9" t="s">
        <v>258</v>
      </c>
      <c r="J32" s="9" t="s">
        <v>145</v>
      </c>
    </row>
    <row r="33" spans="1:10">
      <c r="A33" s="5" t="s">
        <v>296</v>
      </c>
      <c r="B33" s="6" t="s">
        <v>295</v>
      </c>
      <c r="C33" s="7">
        <v>46022</v>
      </c>
      <c r="D33" s="9" t="s">
        <v>241</v>
      </c>
      <c r="E33" s="8" t="s">
        <v>28</v>
      </c>
      <c r="F33" s="9" t="s">
        <v>246</v>
      </c>
      <c r="G33" s="9">
        <v>1</v>
      </c>
      <c r="H33" s="6" t="s">
        <v>243</v>
      </c>
      <c r="I33" s="9" t="s">
        <v>258</v>
      </c>
      <c r="J33" s="9" t="s">
        <v>145</v>
      </c>
    </row>
    <row r="34" spans="1:10">
      <c r="A34" s="5" t="s">
        <v>297</v>
      </c>
      <c r="B34" s="6" t="s">
        <v>298</v>
      </c>
      <c r="C34" s="7">
        <v>46022</v>
      </c>
      <c r="D34" s="9" t="s">
        <v>299</v>
      </c>
      <c r="E34" s="8" t="s">
        <v>24</v>
      </c>
      <c r="F34" s="9" t="s">
        <v>242</v>
      </c>
      <c r="G34" s="9">
        <v>0</v>
      </c>
      <c r="H34" s="6" t="s">
        <v>249</v>
      </c>
      <c r="I34" s="9" t="s">
        <v>258</v>
      </c>
      <c r="J34" s="9" t="s">
        <v>145</v>
      </c>
    </row>
    <row r="35" spans="1:10">
      <c r="A35" s="5" t="s">
        <v>300</v>
      </c>
      <c r="B35" s="6" t="s">
        <v>298</v>
      </c>
      <c r="C35" s="7">
        <v>46022</v>
      </c>
      <c r="D35" s="9" t="s">
        <v>299</v>
      </c>
      <c r="E35" s="8" t="s">
        <v>22</v>
      </c>
      <c r="F35" s="9" t="s">
        <v>246</v>
      </c>
      <c r="G35" s="9">
        <v>1</v>
      </c>
      <c r="H35" s="6" t="s">
        <v>249</v>
      </c>
      <c r="I35" s="9" t="s">
        <v>258</v>
      </c>
      <c r="J35" s="9" t="s">
        <v>145</v>
      </c>
    </row>
    <row r="36" spans="1:10">
      <c r="A36" s="5" t="s">
        <v>301</v>
      </c>
      <c r="B36" s="6" t="s">
        <v>298</v>
      </c>
      <c r="C36" s="7">
        <v>46022</v>
      </c>
      <c r="D36" s="9" t="s">
        <v>261</v>
      </c>
      <c r="E36" s="8" t="s">
        <v>64</v>
      </c>
      <c r="F36" s="9" t="s">
        <v>242</v>
      </c>
      <c r="G36" s="9">
        <v>5</v>
      </c>
      <c r="H36" s="6" t="s">
        <v>249</v>
      </c>
      <c r="I36" s="9" t="s">
        <v>258</v>
      </c>
      <c r="J36" s="9" t="s">
        <v>145</v>
      </c>
    </row>
    <row r="37" spans="1:10">
      <c r="A37" s="5" t="s">
        <v>302</v>
      </c>
      <c r="B37" s="6" t="s">
        <v>298</v>
      </c>
      <c r="C37" s="7">
        <v>46022</v>
      </c>
      <c r="D37" s="9" t="s">
        <v>270</v>
      </c>
      <c r="E37" s="8" t="s">
        <v>271</v>
      </c>
      <c r="F37" s="9" t="s">
        <v>242</v>
      </c>
      <c r="G37" s="9">
        <v>5</v>
      </c>
      <c r="H37" s="6" t="s">
        <v>249</v>
      </c>
      <c r="I37" s="9" t="s">
        <v>258</v>
      </c>
      <c r="J37" s="9" t="s">
        <v>145</v>
      </c>
    </row>
    <row r="38" spans="1:10">
      <c r="A38" s="5" t="s">
        <v>303</v>
      </c>
      <c r="B38" s="6" t="s">
        <v>304</v>
      </c>
      <c r="C38" s="7">
        <v>46022</v>
      </c>
      <c r="D38" s="9" t="s">
        <v>241</v>
      </c>
      <c r="E38" s="8" t="s">
        <v>28</v>
      </c>
      <c r="F38" s="9" t="s">
        <v>242</v>
      </c>
      <c r="G38" s="9">
        <v>1</v>
      </c>
      <c r="H38" s="6" t="s">
        <v>243</v>
      </c>
      <c r="I38" s="9" t="s">
        <v>258</v>
      </c>
      <c r="J38" s="9" t="s">
        <v>145</v>
      </c>
    </row>
    <row r="39" spans="1:10">
      <c r="A39" s="5" t="s">
        <v>305</v>
      </c>
      <c r="B39" s="6" t="s">
        <v>304</v>
      </c>
      <c r="C39" s="7">
        <v>46022</v>
      </c>
      <c r="D39" s="9" t="s">
        <v>241</v>
      </c>
      <c r="E39" s="8" t="s">
        <v>29</v>
      </c>
      <c r="F39" s="9" t="s">
        <v>246</v>
      </c>
      <c r="G39" s="9">
        <v>1</v>
      </c>
      <c r="H39" s="6" t="s">
        <v>243</v>
      </c>
      <c r="I39" s="9" t="s">
        <v>258</v>
      </c>
      <c r="J39" s="9" t="s">
        <v>145</v>
      </c>
    </row>
    <row r="40" spans="1:10">
      <c r="A40" s="5" t="s">
        <v>306</v>
      </c>
      <c r="B40" s="6" t="s">
        <v>304</v>
      </c>
      <c r="C40" s="7">
        <v>46022</v>
      </c>
      <c r="D40" s="9" t="s">
        <v>261</v>
      </c>
      <c r="E40" s="8" t="s">
        <v>64</v>
      </c>
      <c r="F40" s="9" t="s">
        <v>242</v>
      </c>
      <c r="G40" s="9">
        <v>5</v>
      </c>
      <c r="H40" s="6" t="s">
        <v>243</v>
      </c>
      <c r="I40" s="9" t="s">
        <v>258</v>
      </c>
      <c r="J40" s="9" t="s">
        <v>145</v>
      </c>
    </row>
    <row r="41" spans="1:10">
      <c r="A41" s="5" t="s">
        <v>307</v>
      </c>
      <c r="B41" s="6" t="s">
        <v>304</v>
      </c>
      <c r="C41" s="7">
        <v>46022</v>
      </c>
      <c r="D41" s="9" t="s">
        <v>270</v>
      </c>
      <c r="E41" s="8" t="s">
        <v>271</v>
      </c>
      <c r="F41" s="9" t="s">
        <v>242</v>
      </c>
      <c r="G41" s="9">
        <v>5</v>
      </c>
      <c r="H41" s="6" t="s">
        <v>243</v>
      </c>
      <c r="I41" s="9" t="s">
        <v>258</v>
      </c>
      <c r="J41" s="9" t="s">
        <v>145</v>
      </c>
    </row>
    <row r="42" spans="1:10">
      <c r="A42" s="5" t="s">
        <v>308</v>
      </c>
      <c r="B42" s="6" t="s">
        <v>309</v>
      </c>
      <c r="C42" s="7">
        <v>46022</v>
      </c>
      <c r="D42" s="9" t="s">
        <v>241</v>
      </c>
      <c r="E42" s="8" t="s">
        <v>28</v>
      </c>
      <c r="F42" s="9" t="s">
        <v>242</v>
      </c>
      <c r="G42" s="9">
        <v>1</v>
      </c>
      <c r="H42" s="6" t="s">
        <v>310</v>
      </c>
      <c r="I42" s="9" t="s">
        <v>311</v>
      </c>
      <c r="J42" s="9" t="s">
        <v>145</v>
      </c>
    </row>
    <row r="43" spans="1:10">
      <c r="A43" s="5" t="s">
        <v>312</v>
      </c>
      <c r="B43" s="6" t="s">
        <v>309</v>
      </c>
      <c r="C43" s="7">
        <v>46022</v>
      </c>
      <c r="D43" s="9" t="s">
        <v>241</v>
      </c>
      <c r="E43" s="8" t="s">
        <v>27</v>
      </c>
      <c r="F43" s="9" t="s">
        <v>246</v>
      </c>
      <c r="G43" s="9">
        <v>1</v>
      </c>
      <c r="H43" s="6" t="s">
        <v>310</v>
      </c>
      <c r="I43" s="9" t="s">
        <v>311</v>
      </c>
      <c r="J43" s="9" t="s">
        <v>145</v>
      </c>
    </row>
    <row r="44" spans="1:10">
      <c r="A44" s="5" t="s">
        <v>313</v>
      </c>
      <c r="B44" s="6" t="s">
        <v>309</v>
      </c>
      <c r="C44" s="7">
        <v>46022</v>
      </c>
      <c r="D44" s="9" t="s">
        <v>261</v>
      </c>
      <c r="E44" s="8" t="s">
        <v>281</v>
      </c>
      <c r="F44" s="9" t="s">
        <v>242</v>
      </c>
      <c r="G44" s="9">
        <v>2</v>
      </c>
      <c r="H44" s="6" t="s">
        <v>310</v>
      </c>
      <c r="I44" s="9" t="s">
        <v>311</v>
      </c>
      <c r="J44" s="9" t="s">
        <v>145</v>
      </c>
    </row>
    <row r="45" spans="1:10">
      <c r="A45" s="5" t="s">
        <v>314</v>
      </c>
      <c r="B45" s="6" t="s">
        <v>315</v>
      </c>
      <c r="C45" s="7">
        <v>46022</v>
      </c>
      <c r="D45" s="9" t="s">
        <v>241</v>
      </c>
      <c r="E45" s="8" t="s">
        <v>28</v>
      </c>
      <c r="F45" s="9" t="s">
        <v>242</v>
      </c>
      <c r="G45" s="9">
        <v>1</v>
      </c>
      <c r="H45" s="6" t="s">
        <v>316</v>
      </c>
      <c r="I45" s="9" t="s">
        <v>311</v>
      </c>
      <c r="J45" s="9" t="s">
        <v>145</v>
      </c>
    </row>
    <row r="46" spans="1:10">
      <c r="A46" s="5" t="s">
        <v>317</v>
      </c>
      <c r="B46" s="6" t="s">
        <v>315</v>
      </c>
      <c r="C46" s="7">
        <v>46022</v>
      </c>
      <c r="D46" s="9" t="s">
        <v>241</v>
      </c>
      <c r="E46" s="8" t="s">
        <v>27</v>
      </c>
      <c r="F46" s="9" t="s">
        <v>246</v>
      </c>
      <c r="G46" s="9">
        <v>1</v>
      </c>
      <c r="H46" s="6" t="s">
        <v>316</v>
      </c>
      <c r="I46" s="9" t="s">
        <v>311</v>
      </c>
      <c r="J46" s="9" t="s">
        <v>145</v>
      </c>
    </row>
    <row r="47" spans="1:10">
      <c r="A47" s="5" t="s">
        <v>318</v>
      </c>
      <c r="B47" s="6" t="s">
        <v>319</v>
      </c>
      <c r="C47" s="7">
        <v>46022</v>
      </c>
      <c r="D47" s="9" t="s">
        <v>241</v>
      </c>
      <c r="E47" s="8" t="s">
        <v>28</v>
      </c>
      <c r="F47" s="9" t="s">
        <v>242</v>
      </c>
      <c r="G47" s="9">
        <v>1</v>
      </c>
      <c r="H47" s="6" t="s">
        <v>320</v>
      </c>
      <c r="I47" s="9" t="s">
        <v>275</v>
      </c>
      <c r="J47" s="9" t="s">
        <v>145</v>
      </c>
    </row>
    <row r="48" spans="1:10">
      <c r="A48" s="5" t="s">
        <v>321</v>
      </c>
      <c r="B48" s="6" t="s">
        <v>319</v>
      </c>
      <c r="C48" s="7">
        <v>46022</v>
      </c>
      <c r="D48" s="9" t="s">
        <v>241</v>
      </c>
      <c r="E48" s="4" t="s">
        <v>29</v>
      </c>
      <c r="F48" s="9" t="s">
        <v>246</v>
      </c>
      <c r="G48" s="9">
        <v>1</v>
      </c>
      <c r="H48" s="6" t="s">
        <v>320</v>
      </c>
      <c r="I48" s="9" t="s">
        <v>275</v>
      </c>
      <c r="J48" s="9" t="s">
        <v>145</v>
      </c>
    </row>
    <row r="49" spans="1:10">
      <c r="A49" s="5" t="s">
        <v>322</v>
      </c>
      <c r="B49" s="6" t="s">
        <v>323</v>
      </c>
      <c r="C49" s="7">
        <v>46024</v>
      </c>
      <c r="D49" s="9" t="s">
        <v>241</v>
      </c>
      <c r="E49" s="4" t="s">
        <v>28</v>
      </c>
      <c r="F49" s="9" t="s">
        <v>242</v>
      </c>
      <c r="G49" s="9">
        <v>1</v>
      </c>
      <c r="H49" s="6" t="s">
        <v>243</v>
      </c>
      <c r="I49" s="9" t="s">
        <v>284</v>
      </c>
      <c r="J49" s="9" t="s">
        <v>145</v>
      </c>
    </row>
    <row r="50" spans="1:10">
      <c r="A50" s="5" t="s">
        <v>324</v>
      </c>
      <c r="B50" s="6" t="s">
        <v>323</v>
      </c>
      <c r="C50" s="7">
        <v>46024</v>
      </c>
      <c r="D50" s="9" t="s">
        <v>241</v>
      </c>
      <c r="E50" s="8" t="s">
        <v>27</v>
      </c>
      <c r="F50" s="9" t="s">
        <v>246</v>
      </c>
      <c r="G50" s="9">
        <v>1</v>
      </c>
      <c r="H50" s="6" t="s">
        <v>243</v>
      </c>
      <c r="I50" s="9" t="s">
        <v>284</v>
      </c>
      <c r="J50" s="9" t="s">
        <v>145</v>
      </c>
    </row>
    <row r="51" spans="1:10">
      <c r="A51" s="5" t="s">
        <v>325</v>
      </c>
      <c r="B51" s="6" t="s">
        <v>323</v>
      </c>
      <c r="C51" s="7">
        <v>46024</v>
      </c>
      <c r="D51" s="9" t="s">
        <v>261</v>
      </c>
      <c r="E51" s="8" t="s">
        <v>281</v>
      </c>
      <c r="F51" s="9" t="s">
        <v>242</v>
      </c>
      <c r="G51" s="9">
        <v>2</v>
      </c>
      <c r="H51" s="6" t="s">
        <v>243</v>
      </c>
      <c r="I51" s="9" t="s">
        <v>284</v>
      </c>
      <c r="J51" s="9" t="s">
        <v>145</v>
      </c>
    </row>
    <row r="52" spans="1:10">
      <c r="A52" s="5" t="s">
        <v>326</v>
      </c>
      <c r="B52" s="6" t="s">
        <v>327</v>
      </c>
      <c r="C52" s="7">
        <v>46024</v>
      </c>
      <c r="D52" s="9" t="s">
        <v>241</v>
      </c>
      <c r="E52" s="8" t="s">
        <v>28</v>
      </c>
      <c r="F52" s="9" t="s">
        <v>242</v>
      </c>
      <c r="G52" s="9">
        <v>1</v>
      </c>
      <c r="H52" s="6" t="s">
        <v>328</v>
      </c>
      <c r="I52" s="9" t="s">
        <v>329</v>
      </c>
      <c r="J52" s="9" t="s">
        <v>145</v>
      </c>
    </row>
    <row r="53" spans="1:10">
      <c r="A53" s="5" t="s">
        <v>330</v>
      </c>
      <c r="B53" s="6" t="s">
        <v>327</v>
      </c>
      <c r="C53" s="7">
        <v>46024</v>
      </c>
      <c r="D53" s="9" t="s">
        <v>241</v>
      </c>
      <c r="E53" s="4" t="s">
        <v>29</v>
      </c>
      <c r="F53" s="9" t="s">
        <v>246</v>
      </c>
      <c r="G53" s="9">
        <v>1</v>
      </c>
      <c r="H53" s="6" t="s">
        <v>328</v>
      </c>
      <c r="I53" s="9" t="s">
        <v>329</v>
      </c>
      <c r="J53" s="9" t="s">
        <v>145</v>
      </c>
    </row>
    <row r="54" spans="1:10">
      <c r="A54" s="5" t="s">
        <v>331</v>
      </c>
      <c r="B54" s="6" t="s">
        <v>327</v>
      </c>
      <c r="C54" s="7">
        <v>46024</v>
      </c>
      <c r="D54" s="9" t="s">
        <v>261</v>
      </c>
      <c r="E54" s="8" t="s">
        <v>62</v>
      </c>
      <c r="F54" s="9" t="s">
        <v>242</v>
      </c>
      <c r="G54" s="9">
        <v>2</v>
      </c>
      <c r="H54" s="6" t="s">
        <v>328</v>
      </c>
      <c r="I54" s="9" t="s">
        <v>329</v>
      </c>
      <c r="J54" s="9" t="s">
        <v>145</v>
      </c>
    </row>
    <row r="55" spans="1:10">
      <c r="A55" s="5" t="s">
        <v>332</v>
      </c>
      <c r="B55" s="6" t="s">
        <v>333</v>
      </c>
      <c r="C55" s="7">
        <v>46024</v>
      </c>
      <c r="D55" s="9" t="s">
        <v>241</v>
      </c>
      <c r="E55" s="4" t="s">
        <v>28</v>
      </c>
      <c r="F55" s="9" t="s">
        <v>242</v>
      </c>
      <c r="G55" s="9">
        <v>1</v>
      </c>
      <c r="H55" s="6" t="s">
        <v>320</v>
      </c>
      <c r="I55" s="9" t="s">
        <v>329</v>
      </c>
      <c r="J55" s="9" t="s">
        <v>145</v>
      </c>
    </row>
    <row r="56" spans="1:10">
      <c r="A56" s="5" t="s">
        <v>334</v>
      </c>
      <c r="B56" s="6" t="s">
        <v>333</v>
      </c>
      <c r="C56" s="7">
        <v>46024</v>
      </c>
      <c r="D56" s="9" t="s">
        <v>241</v>
      </c>
      <c r="E56" s="8" t="s">
        <v>29</v>
      </c>
      <c r="F56" s="9" t="s">
        <v>246</v>
      </c>
      <c r="G56" s="9">
        <v>1</v>
      </c>
      <c r="H56" s="6" t="s">
        <v>320</v>
      </c>
      <c r="I56" s="9" t="s">
        <v>329</v>
      </c>
      <c r="J56" s="9" t="s">
        <v>145</v>
      </c>
    </row>
    <row r="57" spans="1:10">
      <c r="A57" s="5" t="s">
        <v>335</v>
      </c>
      <c r="B57" s="6" t="s">
        <v>336</v>
      </c>
      <c r="C57" s="7">
        <v>46024</v>
      </c>
      <c r="D57" s="9" t="s">
        <v>241</v>
      </c>
      <c r="E57" s="4" t="s">
        <v>28</v>
      </c>
      <c r="F57" s="9" t="s">
        <v>242</v>
      </c>
      <c r="G57" s="9">
        <v>1</v>
      </c>
      <c r="H57" s="6" t="s">
        <v>243</v>
      </c>
      <c r="I57" s="9" t="s">
        <v>337</v>
      </c>
      <c r="J57" s="9" t="s">
        <v>145</v>
      </c>
    </row>
    <row r="58" spans="1:10">
      <c r="A58" s="5" t="s">
        <v>338</v>
      </c>
      <c r="B58" s="6" t="s">
        <v>336</v>
      </c>
      <c r="C58" s="7">
        <v>46024</v>
      </c>
      <c r="D58" s="9" t="s">
        <v>241</v>
      </c>
      <c r="E58" s="8" t="s">
        <v>29</v>
      </c>
      <c r="F58" s="9" t="s">
        <v>246</v>
      </c>
      <c r="G58" s="9">
        <v>1</v>
      </c>
      <c r="H58" s="6" t="s">
        <v>243</v>
      </c>
      <c r="I58" s="9" t="s">
        <v>337</v>
      </c>
      <c r="J58" s="9" t="s">
        <v>145</v>
      </c>
    </row>
    <row r="59" spans="1:10">
      <c r="A59" s="5" t="s">
        <v>339</v>
      </c>
      <c r="B59" s="6" t="s">
        <v>340</v>
      </c>
      <c r="C59" s="7">
        <v>46027</v>
      </c>
      <c r="D59" s="9" t="s">
        <v>241</v>
      </c>
      <c r="E59" s="8" t="s">
        <v>28</v>
      </c>
      <c r="F59" s="9" t="s">
        <v>242</v>
      </c>
      <c r="G59" s="9">
        <v>1</v>
      </c>
      <c r="H59" s="6" t="s">
        <v>341</v>
      </c>
      <c r="I59" s="9" t="s">
        <v>244</v>
      </c>
      <c r="J59" s="9" t="s">
        <v>145</v>
      </c>
    </row>
    <row r="60" spans="1:10">
      <c r="A60" s="5" t="s">
        <v>342</v>
      </c>
      <c r="B60" s="6" t="s">
        <v>340</v>
      </c>
      <c r="C60" s="7">
        <v>46027</v>
      </c>
      <c r="D60" s="9" t="s">
        <v>241</v>
      </c>
      <c r="E60" s="8" t="s">
        <v>29</v>
      </c>
      <c r="F60" s="9" t="s">
        <v>246</v>
      </c>
      <c r="G60" s="9">
        <v>1</v>
      </c>
      <c r="H60" s="6" t="s">
        <v>341</v>
      </c>
      <c r="I60" s="9" t="s">
        <v>244</v>
      </c>
      <c r="J60" s="9" t="s">
        <v>145</v>
      </c>
    </row>
    <row r="61" spans="1:10">
      <c r="A61" s="5" t="s">
        <v>343</v>
      </c>
      <c r="B61" s="6" t="s">
        <v>344</v>
      </c>
      <c r="C61" s="7">
        <v>46027</v>
      </c>
      <c r="D61" s="9" t="s">
        <v>241</v>
      </c>
      <c r="E61" s="8" t="s">
        <v>28</v>
      </c>
      <c r="F61" s="9" t="s">
        <v>242</v>
      </c>
      <c r="G61" s="9">
        <v>1</v>
      </c>
      <c r="H61" s="6" t="s">
        <v>243</v>
      </c>
      <c r="I61" s="9" t="s">
        <v>244</v>
      </c>
      <c r="J61" s="9" t="s">
        <v>145</v>
      </c>
    </row>
    <row r="62" spans="1:10">
      <c r="A62" s="5" t="s">
        <v>345</v>
      </c>
      <c r="B62" s="6" t="s">
        <v>344</v>
      </c>
      <c r="C62" s="7">
        <v>46027</v>
      </c>
      <c r="D62" s="9" t="s">
        <v>241</v>
      </c>
      <c r="E62" s="8" t="s">
        <v>29</v>
      </c>
      <c r="F62" s="9" t="s">
        <v>246</v>
      </c>
      <c r="G62" s="9">
        <v>1</v>
      </c>
      <c r="H62" s="6" t="s">
        <v>243</v>
      </c>
      <c r="I62" s="9" t="s">
        <v>244</v>
      </c>
      <c r="J62" s="9" t="s">
        <v>145</v>
      </c>
    </row>
    <row r="63" spans="1:10">
      <c r="A63" s="5" t="s">
        <v>346</v>
      </c>
      <c r="B63" s="6" t="s">
        <v>347</v>
      </c>
      <c r="C63" s="7">
        <v>46027</v>
      </c>
      <c r="D63" s="9" t="s">
        <v>241</v>
      </c>
      <c r="E63" s="4" t="s">
        <v>28</v>
      </c>
      <c r="F63" s="9" t="s">
        <v>242</v>
      </c>
      <c r="G63" s="9">
        <v>1</v>
      </c>
      <c r="H63" s="6" t="s">
        <v>348</v>
      </c>
      <c r="I63" s="9" t="s">
        <v>244</v>
      </c>
      <c r="J63" s="9" t="s">
        <v>145</v>
      </c>
    </row>
    <row r="64" spans="1:10">
      <c r="A64" s="5" t="s">
        <v>349</v>
      </c>
      <c r="B64" s="6" t="s">
        <v>347</v>
      </c>
      <c r="C64" s="7">
        <v>46027</v>
      </c>
      <c r="D64" s="9" t="s">
        <v>241</v>
      </c>
      <c r="E64" s="8" t="s">
        <v>29</v>
      </c>
      <c r="F64" s="9" t="s">
        <v>246</v>
      </c>
      <c r="G64" s="9">
        <v>1</v>
      </c>
      <c r="H64" s="6" t="s">
        <v>348</v>
      </c>
      <c r="I64" s="9" t="s">
        <v>244</v>
      </c>
      <c r="J64" s="9" t="s">
        <v>145</v>
      </c>
    </row>
    <row r="65" spans="1:10">
      <c r="A65" s="5" t="s">
        <v>350</v>
      </c>
      <c r="B65" s="6" t="s">
        <v>351</v>
      </c>
      <c r="C65" s="7">
        <v>46027</v>
      </c>
      <c r="D65" s="9" t="s">
        <v>241</v>
      </c>
      <c r="E65" s="8" t="s">
        <v>28</v>
      </c>
      <c r="F65" s="9" t="s">
        <v>242</v>
      </c>
      <c r="G65" s="9">
        <v>1</v>
      </c>
      <c r="H65" s="6" t="s">
        <v>352</v>
      </c>
      <c r="I65" s="9" t="s">
        <v>258</v>
      </c>
      <c r="J65" s="9" t="s">
        <v>145</v>
      </c>
    </row>
    <row r="66" spans="1:10">
      <c r="A66" s="5" t="s">
        <v>353</v>
      </c>
      <c r="B66" s="6" t="s">
        <v>351</v>
      </c>
      <c r="C66" s="7">
        <v>46027</v>
      </c>
      <c r="D66" s="9" t="s">
        <v>241</v>
      </c>
      <c r="E66" s="8" t="s">
        <v>27</v>
      </c>
      <c r="F66" s="9" t="s">
        <v>246</v>
      </c>
      <c r="G66" s="9">
        <v>1</v>
      </c>
      <c r="H66" s="6" t="s">
        <v>352</v>
      </c>
      <c r="I66" s="9" t="s">
        <v>258</v>
      </c>
      <c r="J66" s="9" t="s">
        <v>145</v>
      </c>
    </row>
    <row r="67" spans="1:10">
      <c r="A67" s="5" t="s">
        <v>354</v>
      </c>
      <c r="B67" s="6" t="s">
        <v>351</v>
      </c>
      <c r="C67" s="7">
        <v>46027</v>
      </c>
      <c r="D67" s="9" t="s">
        <v>261</v>
      </c>
      <c r="E67" s="8" t="s">
        <v>62</v>
      </c>
      <c r="F67" s="9" t="s">
        <v>242</v>
      </c>
      <c r="G67" s="9">
        <v>5</v>
      </c>
      <c r="H67" s="6" t="s">
        <v>352</v>
      </c>
      <c r="I67" s="9" t="s">
        <v>258</v>
      </c>
      <c r="J67" s="9" t="s">
        <v>145</v>
      </c>
    </row>
    <row r="68" spans="1:10">
      <c r="A68" s="5" t="s">
        <v>355</v>
      </c>
      <c r="B68" s="6" t="s">
        <v>356</v>
      </c>
      <c r="C68" s="7">
        <v>46027</v>
      </c>
      <c r="D68" s="9" t="s">
        <v>241</v>
      </c>
      <c r="E68" s="8" t="s">
        <v>28</v>
      </c>
      <c r="F68" s="9" t="s">
        <v>242</v>
      </c>
      <c r="G68" s="9">
        <v>1</v>
      </c>
      <c r="H68" s="6" t="s">
        <v>310</v>
      </c>
      <c r="I68" s="9" t="s">
        <v>357</v>
      </c>
      <c r="J68" s="9" t="s">
        <v>145</v>
      </c>
    </row>
    <row r="69" spans="1:10">
      <c r="A69" s="5" t="s">
        <v>358</v>
      </c>
      <c r="B69" s="6" t="s">
        <v>356</v>
      </c>
      <c r="C69" s="7">
        <v>46027</v>
      </c>
      <c r="D69" s="9" t="s">
        <v>241</v>
      </c>
      <c r="E69" s="8" t="s">
        <v>27</v>
      </c>
      <c r="F69" s="9" t="s">
        <v>246</v>
      </c>
      <c r="G69" s="9">
        <v>1</v>
      </c>
      <c r="H69" s="6" t="s">
        <v>310</v>
      </c>
      <c r="I69" s="9" t="s">
        <v>357</v>
      </c>
      <c r="J69" s="9" t="s">
        <v>145</v>
      </c>
    </row>
    <row r="70" spans="1:10">
      <c r="A70" s="5" t="s">
        <v>359</v>
      </c>
      <c r="B70" s="6" t="s">
        <v>356</v>
      </c>
      <c r="C70" s="7">
        <v>46027</v>
      </c>
      <c r="D70" s="9" t="s">
        <v>360</v>
      </c>
      <c r="E70" s="8" t="s">
        <v>59</v>
      </c>
      <c r="F70" s="9" t="s">
        <v>242</v>
      </c>
      <c r="G70" s="9">
        <v>1</v>
      </c>
      <c r="H70" s="6" t="s">
        <v>310</v>
      </c>
      <c r="I70" s="9" t="s">
        <v>357</v>
      </c>
      <c r="J70" s="9" t="s">
        <v>145</v>
      </c>
    </row>
    <row r="71" spans="1:10">
      <c r="A71" s="5" t="s">
        <v>361</v>
      </c>
      <c r="B71" s="6" t="s">
        <v>362</v>
      </c>
      <c r="C71" s="7">
        <v>46027</v>
      </c>
      <c r="D71" s="9" t="s">
        <v>241</v>
      </c>
      <c r="E71" s="8" t="s">
        <v>28</v>
      </c>
      <c r="F71" s="9" t="s">
        <v>242</v>
      </c>
      <c r="G71" s="9">
        <v>1</v>
      </c>
      <c r="H71" s="6" t="s">
        <v>243</v>
      </c>
      <c r="I71" s="9" t="s">
        <v>363</v>
      </c>
      <c r="J71" s="9" t="s">
        <v>145</v>
      </c>
    </row>
    <row r="72" spans="1:10">
      <c r="A72" s="5" t="s">
        <v>364</v>
      </c>
      <c r="B72" s="6" t="s">
        <v>362</v>
      </c>
      <c r="C72" s="7">
        <v>46027</v>
      </c>
      <c r="D72" s="9" t="s">
        <v>241</v>
      </c>
      <c r="E72" s="4" t="s">
        <v>29</v>
      </c>
      <c r="F72" s="9" t="s">
        <v>246</v>
      </c>
      <c r="G72" s="9">
        <v>1</v>
      </c>
      <c r="H72" s="6" t="s">
        <v>243</v>
      </c>
      <c r="I72" s="9" t="s">
        <v>363</v>
      </c>
      <c r="J72" s="9" t="s">
        <v>145</v>
      </c>
    </row>
    <row r="73" spans="1:10">
      <c r="A73" s="5" t="s">
        <v>365</v>
      </c>
      <c r="B73" s="6" t="s">
        <v>366</v>
      </c>
      <c r="C73" s="7">
        <v>46027</v>
      </c>
      <c r="D73" s="9" t="s">
        <v>241</v>
      </c>
      <c r="E73" s="8" t="s">
        <v>28</v>
      </c>
      <c r="F73" s="9" t="s">
        <v>242</v>
      </c>
      <c r="G73" s="9">
        <v>1</v>
      </c>
      <c r="H73" s="6" t="s">
        <v>367</v>
      </c>
      <c r="I73" s="9" t="s">
        <v>363</v>
      </c>
      <c r="J73" s="9" t="s">
        <v>145</v>
      </c>
    </row>
    <row r="74" spans="1:10">
      <c r="A74" s="5" t="s">
        <v>368</v>
      </c>
      <c r="B74" s="6" t="s">
        <v>366</v>
      </c>
      <c r="C74" s="7">
        <v>46027</v>
      </c>
      <c r="D74" s="9" t="s">
        <v>241</v>
      </c>
      <c r="E74" s="8" t="s">
        <v>27</v>
      </c>
      <c r="F74" s="9" t="s">
        <v>246</v>
      </c>
      <c r="G74" s="9">
        <v>1</v>
      </c>
      <c r="H74" s="6" t="s">
        <v>367</v>
      </c>
      <c r="I74" s="9" t="s">
        <v>363</v>
      </c>
      <c r="J74" s="9" t="s">
        <v>145</v>
      </c>
    </row>
    <row r="75" spans="1:10">
      <c r="A75" s="5" t="s">
        <v>369</v>
      </c>
      <c r="B75" s="6" t="s">
        <v>366</v>
      </c>
      <c r="C75" s="7">
        <v>46027</v>
      </c>
      <c r="D75" s="9" t="s">
        <v>261</v>
      </c>
      <c r="E75" s="8" t="s">
        <v>125</v>
      </c>
      <c r="F75" s="9" t="s">
        <v>242</v>
      </c>
      <c r="G75" s="9">
        <v>3</v>
      </c>
      <c r="H75" s="6" t="s">
        <v>367</v>
      </c>
      <c r="I75" s="9" t="s">
        <v>363</v>
      </c>
      <c r="J75" s="9" t="s">
        <v>145</v>
      </c>
    </row>
    <row r="76" spans="1:10">
      <c r="A76" s="5" t="s">
        <v>370</v>
      </c>
      <c r="B76" s="6" t="s">
        <v>371</v>
      </c>
      <c r="C76" s="7">
        <v>46027</v>
      </c>
      <c r="D76" s="9" t="s">
        <v>241</v>
      </c>
      <c r="E76" s="8" t="s">
        <v>28</v>
      </c>
      <c r="F76" s="9" t="s">
        <v>242</v>
      </c>
      <c r="G76" s="9">
        <v>1</v>
      </c>
      <c r="H76" s="6" t="s">
        <v>328</v>
      </c>
      <c r="I76" s="9" t="s">
        <v>337</v>
      </c>
      <c r="J76" s="9" t="s">
        <v>145</v>
      </c>
    </row>
    <row r="77" spans="1:10">
      <c r="A77" s="5" t="s">
        <v>372</v>
      </c>
      <c r="B77" s="6" t="s">
        <v>371</v>
      </c>
      <c r="C77" s="7">
        <v>46027</v>
      </c>
      <c r="D77" s="9" t="s">
        <v>241</v>
      </c>
      <c r="E77" s="8" t="s">
        <v>29</v>
      </c>
      <c r="F77" s="9" t="s">
        <v>246</v>
      </c>
      <c r="G77" s="9">
        <v>1</v>
      </c>
      <c r="H77" s="6" t="s">
        <v>328</v>
      </c>
      <c r="I77" s="9" t="s">
        <v>337</v>
      </c>
      <c r="J77" s="9" t="s">
        <v>145</v>
      </c>
    </row>
    <row r="78" spans="1:10">
      <c r="A78" s="5" t="s">
        <v>373</v>
      </c>
      <c r="B78" s="6" t="s">
        <v>374</v>
      </c>
      <c r="C78" s="7">
        <v>46027</v>
      </c>
      <c r="D78" s="9" t="s">
        <v>264</v>
      </c>
      <c r="E78" s="8" t="s">
        <v>38</v>
      </c>
      <c r="F78" s="9" t="s">
        <v>242</v>
      </c>
      <c r="G78" s="9">
        <v>1</v>
      </c>
      <c r="H78" s="6" t="s">
        <v>328</v>
      </c>
      <c r="I78" s="9" t="s">
        <v>258</v>
      </c>
      <c r="J78" s="9" t="s">
        <v>145</v>
      </c>
    </row>
    <row r="79" spans="1:10">
      <c r="A79" s="5" t="s">
        <v>375</v>
      </c>
      <c r="B79" s="6" t="s">
        <v>374</v>
      </c>
      <c r="C79" s="7">
        <v>46027</v>
      </c>
      <c r="D79" s="9" t="s">
        <v>299</v>
      </c>
      <c r="E79" s="8" t="s">
        <v>376</v>
      </c>
      <c r="F79" s="9" t="s">
        <v>246</v>
      </c>
      <c r="G79" s="9">
        <v>1</v>
      </c>
      <c r="H79" s="6" t="s">
        <v>328</v>
      </c>
      <c r="I79" s="9" t="s">
        <v>258</v>
      </c>
      <c r="J79" s="9" t="s">
        <v>145</v>
      </c>
    </row>
    <row r="80" spans="1:10">
      <c r="A80" s="5" t="s">
        <v>377</v>
      </c>
      <c r="B80" s="6" t="s">
        <v>374</v>
      </c>
      <c r="C80" s="7">
        <v>46027</v>
      </c>
      <c r="D80" s="9" t="s">
        <v>261</v>
      </c>
      <c r="E80" s="4" t="s">
        <v>64</v>
      </c>
      <c r="F80" s="9" t="s">
        <v>242</v>
      </c>
      <c r="G80" s="9">
        <v>2</v>
      </c>
      <c r="H80" s="6" t="s">
        <v>328</v>
      </c>
      <c r="I80" s="9" t="s">
        <v>258</v>
      </c>
      <c r="J80" s="9" t="s">
        <v>145</v>
      </c>
    </row>
    <row r="81" spans="1:10">
      <c r="A81" s="5" t="s">
        <v>378</v>
      </c>
      <c r="B81" s="6" t="s">
        <v>374</v>
      </c>
      <c r="C81" s="7">
        <v>46027</v>
      </c>
      <c r="D81" s="9" t="s">
        <v>270</v>
      </c>
      <c r="E81" s="8" t="s">
        <v>271</v>
      </c>
      <c r="F81" s="9" t="s">
        <v>242</v>
      </c>
      <c r="G81" s="9">
        <v>2</v>
      </c>
      <c r="H81" s="6" t="s">
        <v>328</v>
      </c>
      <c r="I81" s="9" t="s">
        <v>258</v>
      </c>
      <c r="J81" s="9" t="s">
        <v>145</v>
      </c>
    </row>
    <row r="82" spans="1:10">
      <c r="A82" s="5" t="s">
        <v>379</v>
      </c>
      <c r="B82" s="6" t="s">
        <v>380</v>
      </c>
      <c r="C82" s="7">
        <v>46027</v>
      </c>
      <c r="D82" s="9" t="s">
        <v>241</v>
      </c>
      <c r="E82" s="8" t="s">
        <v>28</v>
      </c>
      <c r="F82" s="9" t="s">
        <v>242</v>
      </c>
      <c r="G82" s="9">
        <v>1</v>
      </c>
      <c r="H82" s="6" t="s">
        <v>243</v>
      </c>
      <c r="I82" s="9" t="s">
        <v>253</v>
      </c>
      <c r="J82" s="9" t="s">
        <v>145</v>
      </c>
    </row>
    <row r="83" spans="1:10">
      <c r="A83" s="5" t="s">
        <v>381</v>
      </c>
      <c r="B83" s="6" t="s">
        <v>380</v>
      </c>
      <c r="C83" s="7">
        <v>46027</v>
      </c>
      <c r="D83" s="9" t="s">
        <v>241</v>
      </c>
      <c r="E83" s="8" t="s">
        <v>27</v>
      </c>
      <c r="F83" s="9" t="s">
        <v>246</v>
      </c>
      <c r="G83" s="9">
        <v>1</v>
      </c>
      <c r="H83" s="6" t="s">
        <v>243</v>
      </c>
      <c r="I83" s="9" t="s">
        <v>253</v>
      </c>
      <c r="J83" s="9" t="s">
        <v>145</v>
      </c>
    </row>
    <row r="84" spans="1:10">
      <c r="A84" s="5" t="s">
        <v>382</v>
      </c>
      <c r="B84" s="6" t="s">
        <v>383</v>
      </c>
      <c r="C84" s="7">
        <v>46027</v>
      </c>
      <c r="D84" s="9" t="s">
        <v>241</v>
      </c>
      <c r="E84" s="8" t="s">
        <v>28</v>
      </c>
      <c r="F84" s="9" t="s">
        <v>242</v>
      </c>
      <c r="G84" s="9">
        <v>1</v>
      </c>
      <c r="H84" s="6" t="s">
        <v>328</v>
      </c>
      <c r="I84" s="9" t="s">
        <v>284</v>
      </c>
      <c r="J84" s="9" t="s">
        <v>145</v>
      </c>
    </row>
    <row r="85" spans="1:10">
      <c r="A85" s="5" t="s">
        <v>384</v>
      </c>
      <c r="B85" s="6" t="s">
        <v>383</v>
      </c>
      <c r="C85" s="7">
        <v>46027</v>
      </c>
      <c r="D85" s="9" t="s">
        <v>241</v>
      </c>
      <c r="E85" s="8" t="s">
        <v>29</v>
      </c>
      <c r="F85" s="9" t="s">
        <v>246</v>
      </c>
      <c r="G85" s="9">
        <v>1</v>
      </c>
      <c r="H85" s="6" t="s">
        <v>328</v>
      </c>
      <c r="I85" s="9" t="s">
        <v>284</v>
      </c>
      <c r="J85" s="9" t="s">
        <v>145</v>
      </c>
    </row>
    <row r="86" spans="1:10">
      <c r="A86" s="5" t="s">
        <v>385</v>
      </c>
      <c r="B86" s="6" t="s">
        <v>386</v>
      </c>
      <c r="C86" s="7">
        <v>46027</v>
      </c>
      <c r="D86" s="9" t="s">
        <v>241</v>
      </c>
      <c r="E86" s="8" t="s">
        <v>28</v>
      </c>
      <c r="F86" s="9" t="s">
        <v>242</v>
      </c>
      <c r="G86" s="9">
        <v>1</v>
      </c>
      <c r="H86" s="6" t="s">
        <v>387</v>
      </c>
      <c r="I86" s="9" t="s">
        <v>388</v>
      </c>
      <c r="J86" s="9" t="s">
        <v>145</v>
      </c>
    </row>
    <row r="87" spans="1:10">
      <c r="A87" s="5" t="s">
        <v>389</v>
      </c>
      <c r="B87" s="6" t="s">
        <v>386</v>
      </c>
      <c r="C87" s="7">
        <v>46027</v>
      </c>
      <c r="D87" s="9" t="s">
        <v>241</v>
      </c>
      <c r="E87" s="8" t="s">
        <v>29</v>
      </c>
      <c r="F87" s="9" t="s">
        <v>246</v>
      </c>
      <c r="G87" s="9">
        <v>1</v>
      </c>
      <c r="H87" s="6" t="s">
        <v>387</v>
      </c>
      <c r="I87" s="9" t="s">
        <v>388</v>
      </c>
      <c r="J87" s="9" t="s">
        <v>145</v>
      </c>
    </row>
    <row r="88" spans="1:10">
      <c r="A88" s="5" t="s">
        <v>390</v>
      </c>
      <c r="B88" s="6" t="s">
        <v>386</v>
      </c>
      <c r="C88" s="7">
        <v>46027</v>
      </c>
      <c r="D88" s="9" t="s">
        <v>261</v>
      </c>
      <c r="E88" s="8" t="s">
        <v>62</v>
      </c>
      <c r="F88" s="9" t="s">
        <v>242</v>
      </c>
      <c r="G88" s="9">
        <v>5</v>
      </c>
      <c r="H88" s="6" t="s">
        <v>387</v>
      </c>
      <c r="I88" s="9" t="s">
        <v>388</v>
      </c>
      <c r="J88" s="9" t="s">
        <v>145</v>
      </c>
    </row>
    <row r="89" spans="1:10">
      <c r="A89" s="5" t="s">
        <v>391</v>
      </c>
      <c r="B89" s="6" t="s">
        <v>392</v>
      </c>
      <c r="C89" s="7">
        <v>46028</v>
      </c>
      <c r="D89" s="9" t="s">
        <v>241</v>
      </c>
      <c r="E89" s="8" t="s">
        <v>28</v>
      </c>
      <c r="F89" s="9" t="s">
        <v>242</v>
      </c>
      <c r="G89" s="9">
        <v>1</v>
      </c>
      <c r="H89" s="6" t="s">
        <v>243</v>
      </c>
      <c r="I89" s="9" t="s">
        <v>258</v>
      </c>
      <c r="J89" s="9" t="s">
        <v>145</v>
      </c>
    </row>
    <row r="90" spans="1:10">
      <c r="A90" s="5" t="s">
        <v>393</v>
      </c>
      <c r="B90" s="6" t="s">
        <v>392</v>
      </c>
      <c r="C90" s="7">
        <v>46028</v>
      </c>
      <c r="D90" s="9" t="s">
        <v>241</v>
      </c>
      <c r="E90" s="8" t="s">
        <v>29</v>
      </c>
      <c r="F90" s="9" t="s">
        <v>246</v>
      </c>
      <c r="G90" s="9">
        <v>1</v>
      </c>
      <c r="H90" s="6" t="s">
        <v>243</v>
      </c>
      <c r="I90" s="9" t="s">
        <v>258</v>
      </c>
      <c r="J90" s="9" t="s">
        <v>145</v>
      </c>
    </row>
    <row r="91" spans="1:10">
      <c r="A91" s="5" t="s">
        <v>394</v>
      </c>
      <c r="B91" s="6" t="s">
        <v>392</v>
      </c>
      <c r="C91" s="7">
        <v>46028</v>
      </c>
      <c r="D91" s="9" t="s">
        <v>395</v>
      </c>
      <c r="E91" s="8" t="s">
        <v>56</v>
      </c>
      <c r="F91" s="9" t="s">
        <v>242</v>
      </c>
      <c r="G91" s="9">
        <v>1</v>
      </c>
      <c r="H91" s="6" t="s">
        <v>243</v>
      </c>
      <c r="I91" s="9" t="s">
        <v>258</v>
      </c>
      <c r="J91" s="9" t="s">
        <v>145</v>
      </c>
    </row>
    <row r="92" spans="1:10">
      <c r="A92" s="5" t="s">
        <v>396</v>
      </c>
      <c r="B92" s="6" t="s">
        <v>397</v>
      </c>
      <c r="C92" s="7">
        <v>46029</v>
      </c>
      <c r="D92" s="9" t="s">
        <v>241</v>
      </c>
      <c r="E92" s="8" t="s">
        <v>28</v>
      </c>
      <c r="F92" s="9" t="s">
        <v>242</v>
      </c>
      <c r="G92" s="9">
        <v>1</v>
      </c>
      <c r="H92" s="6" t="s">
        <v>243</v>
      </c>
      <c r="I92" s="9" t="s">
        <v>244</v>
      </c>
      <c r="J92" s="9" t="s">
        <v>145</v>
      </c>
    </row>
    <row r="93" spans="1:10">
      <c r="A93" s="5" t="s">
        <v>398</v>
      </c>
      <c r="B93" s="6" t="s">
        <v>397</v>
      </c>
      <c r="C93" s="7">
        <v>46029</v>
      </c>
      <c r="D93" s="9" t="s">
        <v>241</v>
      </c>
      <c r="E93" s="4" t="s">
        <v>29</v>
      </c>
      <c r="F93" s="9" t="s">
        <v>246</v>
      </c>
      <c r="G93" s="9">
        <v>1</v>
      </c>
      <c r="H93" s="6" t="s">
        <v>243</v>
      </c>
      <c r="I93" s="9" t="s">
        <v>244</v>
      </c>
      <c r="J93" s="9" t="s">
        <v>145</v>
      </c>
    </row>
    <row r="94" spans="1:10">
      <c r="A94" s="5" t="s">
        <v>399</v>
      </c>
      <c r="B94" s="6" t="s">
        <v>400</v>
      </c>
      <c r="C94" s="7">
        <v>46029</v>
      </c>
      <c r="D94" s="9" t="s">
        <v>241</v>
      </c>
      <c r="E94" s="8" t="s">
        <v>28</v>
      </c>
      <c r="F94" s="9" t="s">
        <v>242</v>
      </c>
      <c r="G94" s="9">
        <v>1</v>
      </c>
      <c r="H94" s="6" t="s">
        <v>320</v>
      </c>
      <c r="I94" s="9" t="s">
        <v>388</v>
      </c>
      <c r="J94" s="9" t="s">
        <v>145</v>
      </c>
    </row>
    <row r="95" spans="1:10">
      <c r="A95" s="5" t="s">
        <v>401</v>
      </c>
      <c r="B95" s="6" t="s">
        <v>400</v>
      </c>
      <c r="C95" s="7">
        <v>46029</v>
      </c>
      <c r="D95" s="9" t="s">
        <v>241</v>
      </c>
      <c r="E95" s="8" t="s">
        <v>29</v>
      </c>
      <c r="F95" s="9" t="s">
        <v>246</v>
      </c>
      <c r="G95" s="9">
        <v>1</v>
      </c>
      <c r="H95" s="6" t="s">
        <v>320</v>
      </c>
      <c r="I95" s="9" t="s">
        <v>388</v>
      </c>
      <c r="J95" s="9" t="s">
        <v>145</v>
      </c>
    </row>
    <row r="96" spans="1:10">
      <c r="A96" s="5" t="s">
        <v>402</v>
      </c>
      <c r="B96" s="6" t="s">
        <v>400</v>
      </c>
      <c r="C96" s="7">
        <v>46029</v>
      </c>
      <c r="D96" s="9" t="s">
        <v>261</v>
      </c>
      <c r="E96" s="8" t="s">
        <v>281</v>
      </c>
      <c r="F96" s="9" t="s">
        <v>242</v>
      </c>
      <c r="G96" s="9">
        <v>3</v>
      </c>
      <c r="H96" s="6" t="s">
        <v>320</v>
      </c>
      <c r="I96" s="9" t="s">
        <v>388</v>
      </c>
      <c r="J96" s="9" t="s">
        <v>145</v>
      </c>
    </row>
    <row r="97" spans="1:10">
      <c r="A97" s="5" t="s">
        <v>403</v>
      </c>
      <c r="B97" s="6" t="s">
        <v>404</v>
      </c>
      <c r="C97" s="7">
        <v>46029</v>
      </c>
      <c r="D97" s="9" t="s">
        <v>241</v>
      </c>
      <c r="E97" s="8" t="s">
        <v>28</v>
      </c>
      <c r="F97" s="9" t="s">
        <v>242</v>
      </c>
      <c r="G97" s="9">
        <v>1</v>
      </c>
      <c r="H97" s="6" t="s">
        <v>249</v>
      </c>
      <c r="I97" s="9" t="s">
        <v>284</v>
      </c>
      <c r="J97" s="9" t="s">
        <v>145</v>
      </c>
    </row>
    <row r="98" spans="1:10">
      <c r="A98" s="5" t="s">
        <v>405</v>
      </c>
      <c r="B98" s="6" t="s">
        <v>404</v>
      </c>
      <c r="C98" s="7">
        <v>46029</v>
      </c>
      <c r="D98" s="9" t="s">
        <v>241</v>
      </c>
      <c r="E98" s="8" t="s">
        <v>29</v>
      </c>
      <c r="F98" s="9" t="s">
        <v>246</v>
      </c>
      <c r="G98" s="9">
        <v>1</v>
      </c>
      <c r="H98" s="6" t="s">
        <v>249</v>
      </c>
      <c r="I98" s="9" t="s">
        <v>284</v>
      </c>
      <c r="J98" s="9" t="s">
        <v>145</v>
      </c>
    </row>
    <row r="99" spans="1:10">
      <c r="A99" s="5" t="s">
        <v>406</v>
      </c>
      <c r="B99" s="6" t="s">
        <v>407</v>
      </c>
      <c r="C99" s="7">
        <v>46030</v>
      </c>
      <c r="D99" s="9" t="s">
        <v>241</v>
      </c>
      <c r="E99" s="8" t="s">
        <v>28</v>
      </c>
      <c r="F99" s="9" t="s">
        <v>242</v>
      </c>
      <c r="G99" s="9">
        <v>1</v>
      </c>
      <c r="H99" s="6" t="s">
        <v>408</v>
      </c>
      <c r="I99" s="9" t="s">
        <v>388</v>
      </c>
      <c r="J99" s="9" t="s">
        <v>145</v>
      </c>
    </row>
    <row r="100" spans="1:10">
      <c r="A100" s="5" t="s">
        <v>409</v>
      </c>
      <c r="B100" s="6" t="s">
        <v>407</v>
      </c>
      <c r="C100" s="7">
        <v>46030</v>
      </c>
      <c r="D100" s="9" t="s">
        <v>241</v>
      </c>
      <c r="E100" s="8" t="s">
        <v>29</v>
      </c>
      <c r="F100" s="9" t="s">
        <v>246</v>
      </c>
      <c r="G100" s="9">
        <v>1</v>
      </c>
      <c r="H100" s="6" t="s">
        <v>408</v>
      </c>
      <c r="I100" s="9" t="s">
        <v>388</v>
      </c>
      <c r="J100" s="9" t="s">
        <v>145</v>
      </c>
    </row>
    <row r="101" spans="1:10">
      <c r="A101" s="5" t="s">
        <v>410</v>
      </c>
      <c r="B101" s="6" t="s">
        <v>411</v>
      </c>
      <c r="C101" s="7">
        <v>46030</v>
      </c>
      <c r="D101" s="9" t="s">
        <v>241</v>
      </c>
      <c r="E101" s="8" t="s">
        <v>28</v>
      </c>
      <c r="F101" s="9" t="s">
        <v>242</v>
      </c>
      <c r="G101" s="9">
        <v>1</v>
      </c>
      <c r="H101" s="6" t="s">
        <v>367</v>
      </c>
      <c r="I101" s="9" t="s">
        <v>388</v>
      </c>
      <c r="J101" s="9" t="s">
        <v>145</v>
      </c>
    </row>
    <row r="102" spans="1:10">
      <c r="A102" s="5" t="s">
        <v>412</v>
      </c>
      <c r="B102" s="6" t="s">
        <v>411</v>
      </c>
      <c r="C102" s="7">
        <v>46030</v>
      </c>
      <c r="D102" s="9" t="s">
        <v>241</v>
      </c>
      <c r="E102" s="8" t="s">
        <v>29</v>
      </c>
      <c r="F102" s="9" t="s">
        <v>246</v>
      </c>
      <c r="G102" s="9">
        <v>1</v>
      </c>
      <c r="H102" s="6" t="s">
        <v>367</v>
      </c>
      <c r="I102" s="9" t="s">
        <v>388</v>
      </c>
      <c r="J102" s="9" t="s">
        <v>145</v>
      </c>
    </row>
    <row r="103" spans="1:10">
      <c r="A103" s="5" t="s">
        <v>413</v>
      </c>
      <c r="B103" s="6" t="s">
        <v>414</v>
      </c>
      <c r="C103" s="7">
        <v>46030</v>
      </c>
      <c r="D103" s="9" t="s">
        <v>241</v>
      </c>
      <c r="E103" s="8" t="s">
        <v>28</v>
      </c>
      <c r="F103" s="9" t="s">
        <v>242</v>
      </c>
      <c r="G103" s="9">
        <v>1</v>
      </c>
      <c r="H103" s="6" t="s">
        <v>243</v>
      </c>
      <c r="I103" s="9" t="s">
        <v>415</v>
      </c>
      <c r="J103" s="9" t="s">
        <v>145</v>
      </c>
    </row>
    <row r="104" spans="1:10">
      <c r="A104" s="5" t="s">
        <v>416</v>
      </c>
      <c r="B104" s="6" t="s">
        <v>414</v>
      </c>
      <c r="C104" s="7">
        <v>46030</v>
      </c>
      <c r="D104" s="9" t="s">
        <v>241</v>
      </c>
      <c r="E104" s="8" t="s">
        <v>27</v>
      </c>
      <c r="F104" s="9" t="s">
        <v>246</v>
      </c>
      <c r="G104" s="9">
        <v>1</v>
      </c>
      <c r="H104" s="6" t="s">
        <v>243</v>
      </c>
      <c r="I104" s="9" t="s">
        <v>415</v>
      </c>
      <c r="J104" s="9" t="s">
        <v>145</v>
      </c>
    </row>
    <row r="105" spans="1:10">
      <c r="A105" s="5" t="s">
        <v>417</v>
      </c>
      <c r="B105" s="6" t="s">
        <v>418</v>
      </c>
      <c r="C105" s="7">
        <v>46031</v>
      </c>
      <c r="D105" s="9" t="s">
        <v>241</v>
      </c>
      <c r="E105" s="8" t="s">
        <v>28</v>
      </c>
      <c r="F105" s="9" t="s">
        <v>242</v>
      </c>
      <c r="G105" s="9">
        <v>1</v>
      </c>
      <c r="H105" s="6" t="s">
        <v>419</v>
      </c>
      <c r="I105" s="9" t="s">
        <v>289</v>
      </c>
      <c r="J105" s="9" t="s">
        <v>145</v>
      </c>
    </row>
    <row r="106" spans="1:10">
      <c r="A106" s="5" t="s">
        <v>420</v>
      </c>
      <c r="B106" s="6" t="s">
        <v>418</v>
      </c>
      <c r="C106" s="7">
        <v>46031</v>
      </c>
      <c r="D106" s="9" t="s">
        <v>241</v>
      </c>
      <c r="E106" s="8" t="s">
        <v>29</v>
      </c>
      <c r="F106" s="9" t="s">
        <v>246</v>
      </c>
      <c r="G106" s="9">
        <v>1</v>
      </c>
      <c r="H106" s="6" t="s">
        <v>419</v>
      </c>
      <c r="I106" s="9" t="s">
        <v>289</v>
      </c>
      <c r="J106" s="9" t="s">
        <v>145</v>
      </c>
    </row>
    <row r="107" spans="1:10">
      <c r="A107" s="5" t="s">
        <v>421</v>
      </c>
      <c r="B107" s="6" t="s">
        <v>422</v>
      </c>
      <c r="C107" s="7">
        <v>46031</v>
      </c>
      <c r="D107" s="9" t="s">
        <v>241</v>
      </c>
      <c r="E107" s="8" t="s">
        <v>28</v>
      </c>
      <c r="F107" s="9" t="s">
        <v>242</v>
      </c>
      <c r="G107" s="9">
        <v>1</v>
      </c>
      <c r="H107" s="6" t="s">
        <v>423</v>
      </c>
      <c r="I107" s="9" t="s">
        <v>289</v>
      </c>
      <c r="J107" s="9" t="s">
        <v>145</v>
      </c>
    </row>
    <row r="108" spans="1:10">
      <c r="A108" s="5" t="s">
        <v>424</v>
      </c>
      <c r="B108" s="6" t="s">
        <v>422</v>
      </c>
      <c r="C108" s="7">
        <v>46031</v>
      </c>
      <c r="D108" s="9" t="s">
        <v>241</v>
      </c>
      <c r="E108" s="8" t="s">
        <v>29</v>
      </c>
      <c r="F108" s="9" t="s">
        <v>246</v>
      </c>
      <c r="G108" s="9">
        <v>1</v>
      </c>
      <c r="H108" s="6" t="s">
        <v>423</v>
      </c>
      <c r="I108" s="9" t="s">
        <v>289</v>
      </c>
      <c r="J108" s="9" t="s">
        <v>145</v>
      </c>
    </row>
    <row r="109" spans="1:10">
      <c r="A109" s="5" t="s">
        <v>425</v>
      </c>
      <c r="B109" s="6" t="s">
        <v>426</v>
      </c>
      <c r="C109" s="7">
        <v>46031</v>
      </c>
      <c r="D109" s="9" t="s">
        <v>241</v>
      </c>
      <c r="E109" s="4" t="s">
        <v>28</v>
      </c>
      <c r="F109" s="9" t="s">
        <v>242</v>
      </c>
      <c r="G109" s="9">
        <v>1</v>
      </c>
      <c r="H109" s="6" t="s">
        <v>419</v>
      </c>
      <c r="I109" s="9" t="s">
        <v>244</v>
      </c>
      <c r="J109" s="9" t="s">
        <v>145</v>
      </c>
    </row>
    <row r="110" spans="1:10">
      <c r="A110" s="5" t="s">
        <v>427</v>
      </c>
      <c r="B110" s="6" t="s">
        <v>426</v>
      </c>
      <c r="C110" s="7">
        <v>46031</v>
      </c>
      <c r="D110" s="9" t="s">
        <v>241</v>
      </c>
      <c r="E110" s="8" t="s">
        <v>29</v>
      </c>
      <c r="F110" s="9" t="s">
        <v>246</v>
      </c>
      <c r="G110" s="9">
        <v>1</v>
      </c>
      <c r="H110" s="6" t="s">
        <v>419</v>
      </c>
      <c r="I110" s="9" t="s">
        <v>244</v>
      </c>
      <c r="J110" s="9" t="s">
        <v>145</v>
      </c>
    </row>
    <row r="111" spans="1:10" ht="15" customHeight="1">
      <c r="A111" s="5" t="s">
        <v>428</v>
      </c>
      <c r="B111" s="6" t="s">
        <v>429</v>
      </c>
      <c r="C111" s="7">
        <v>46031</v>
      </c>
      <c r="D111" s="9" t="s">
        <v>241</v>
      </c>
      <c r="E111" s="8" t="s">
        <v>28</v>
      </c>
      <c r="F111" s="9" t="s">
        <v>242</v>
      </c>
      <c r="G111" s="9">
        <v>1</v>
      </c>
      <c r="H111" s="6" t="s">
        <v>328</v>
      </c>
      <c r="I111" s="9" t="s">
        <v>244</v>
      </c>
      <c r="J111" s="9" t="s">
        <v>145</v>
      </c>
    </row>
    <row r="112" spans="1:10">
      <c r="A112" s="5" t="s">
        <v>430</v>
      </c>
      <c r="B112" s="6" t="s">
        <v>429</v>
      </c>
      <c r="C112" s="7">
        <v>46031</v>
      </c>
      <c r="D112" s="9" t="s">
        <v>241</v>
      </c>
      <c r="E112" s="4" t="s">
        <v>27</v>
      </c>
      <c r="F112" s="9" t="s">
        <v>246</v>
      </c>
      <c r="G112" s="9">
        <v>1</v>
      </c>
      <c r="H112" s="6" t="s">
        <v>328</v>
      </c>
      <c r="I112" s="9" t="s">
        <v>244</v>
      </c>
      <c r="J112" s="9" t="s">
        <v>145</v>
      </c>
    </row>
    <row r="113" spans="1:10">
      <c r="A113" s="5" t="s">
        <v>431</v>
      </c>
      <c r="B113" s="6" t="s">
        <v>432</v>
      </c>
      <c r="C113" s="7">
        <v>46031</v>
      </c>
      <c r="D113" s="9" t="s">
        <v>241</v>
      </c>
      <c r="E113" s="8" t="s">
        <v>28</v>
      </c>
      <c r="F113" s="9" t="s">
        <v>242</v>
      </c>
      <c r="G113" s="9">
        <v>1</v>
      </c>
      <c r="H113" s="6" t="s">
        <v>408</v>
      </c>
      <c r="I113" s="9" t="s">
        <v>289</v>
      </c>
      <c r="J113" s="9" t="s">
        <v>145</v>
      </c>
    </row>
    <row r="114" spans="1:10">
      <c r="A114" s="5" t="s">
        <v>433</v>
      </c>
      <c r="B114" s="6" t="s">
        <v>432</v>
      </c>
      <c r="C114" s="7">
        <v>46031</v>
      </c>
      <c r="D114" s="9" t="s">
        <v>241</v>
      </c>
      <c r="E114" s="8" t="s">
        <v>29</v>
      </c>
      <c r="F114" s="9" t="s">
        <v>246</v>
      </c>
      <c r="G114" s="9">
        <v>1</v>
      </c>
      <c r="H114" s="6" t="s">
        <v>408</v>
      </c>
      <c r="I114" s="9" t="s">
        <v>289</v>
      </c>
      <c r="J114" s="9" t="s">
        <v>145</v>
      </c>
    </row>
    <row r="115" spans="1:10">
      <c r="A115" s="5" t="s">
        <v>434</v>
      </c>
      <c r="B115" s="6" t="s">
        <v>432</v>
      </c>
      <c r="C115" s="7">
        <v>46031</v>
      </c>
      <c r="D115" s="9" t="s">
        <v>261</v>
      </c>
      <c r="E115" s="4" t="s">
        <v>62</v>
      </c>
      <c r="F115" s="9" t="s">
        <v>242</v>
      </c>
      <c r="G115" s="9">
        <v>1</v>
      </c>
      <c r="H115" s="6" t="s">
        <v>408</v>
      </c>
      <c r="I115" s="9" t="s">
        <v>289</v>
      </c>
      <c r="J115" s="9" t="s">
        <v>145</v>
      </c>
    </row>
    <row r="116" spans="1:10">
      <c r="A116" s="5" t="s">
        <v>435</v>
      </c>
      <c r="B116" s="6" t="s">
        <v>436</v>
      </c>
      <c r="C116" s="7">
        <v>46033</v>
      </c>
      <c r="D116" s="9" t="s">
        <v>241</v>
      </c>
      <c r="E116" s="8" t="s">
        <v>28</v>
      </c>
      <c r="F116" s="9" t="s">
        <v>242</v>
      </c>
      <c r="G116" s="9">
        <v>1</v>
      </c>
      <c r="H116" s="6" t="s">
        <v>243</v>
      </c>
      <c r="I116" s="9" t="s">
        <v>388</v>
      </c>
      <c r="J116" s="9" t="s">
        <v>145</v>
      </c>
    </row>
    <row r="117" spans="1:10">
      <c r="A117" s="5" t="s">
        <v>437</v>
      </c>
      <c r="B117" s="6" t="s">
        <v>436</v>
      </c>
      <c r="C117" s="7">
        <v>46033</v>
      </c>
      <c r="D117" s="9" t="s">
        <v>241</v>
      </c>
      <c r="E117" s="8" t="s">
        <v>27</v>
      </c>
      <c r="F117" s="9" t="s">
        <v>246</v>
      </c>
      <c r="G117" s="9">
        <v>1</v>
      </c>
      <c r="H117" s="6" t="s">
        <v>243</v>
      </c>
      <c r="I117" s="9" t="s">
        <v>388</v>
      </c>
      <c r="J117" s="9" t="s">
        <v>145</v>
      </c>
    </row>
    <row r="118" spans="1:10">
      <c r="A118" s="5" t="s">
        <v>438</v>
      </c>
      <c r="B118" s="6" t="s">
        <v>436</v>
      </c>
      <c r="C118" s="7">
        <v>46033</v>
      </c>
      <c r="D118" s="9" t="s">
        <v>261</v>
      </c>
      <c r="E118" s="8" t="s">
        <v>281</v>
      </c>
      <c r="F118" s="9" t="s">
        <v>242</v>
      </c>
      <c r="G118" s="9">
        <v>2</v>
      </c>
      <c r="H118" s="6" t="s">
        <v>243</v>
      </c>
      <c r="I118" s="9" t="s">
        <v>388</v>
      </c>
      <c r="J118" s="9" t="s">
        <v>145</v>
      </c>
    </row>
    <row r="119" spans="1:10">
      <c r="A119" s="5" t="s">
        <v>439</v>
      </c>
      <c r="B119" s="6" t="s">
        <v>440</v>
      </c>
      <c r="C119" s="7">
        <v>46034</v>
      </c>
      <c r="D119" s="9" t="s">
        <v>241</v>
      </c>
      <c r="E119" s="8" t="s">
        <v>28</v>
      </c>
      <c r="F119" s="9" t="s">
        <v>242</v>
      </c>
      <c r="G119" s="9">
        <v>1</v>
      </c>
      <c r="H119" s="6" t="s">
        <v>243</v>
      </c>
      <c r="I119" s="9" t="s">
        <v>275</v>
      </c>
      <c r="J119" s="9" t="s">
        <v>145</v>
      </c>
    </row>
    <row r="120" spans="1:10">
      <c r="A120" s="5" t="s">
        <v>441</v>
      </c>
      <c r="B120" s="6" t="s">
        <v>440</v>
      </c>
      <c r="C120" s="7">
        <v>46034</v>
      </c>
      <c r="D120" s="9" t="s">
        <v>241</v>
      </c>
      <c r="E120" s="8" t="s">
        <v>27</v>
      </c>
      <c r="F120" s="9" t="s">
        <v>246</v>
      </c>
      <c r="G120" s="9">
        <v>1</v>
      </c>
      <c r="H120" s="6" t="s">
        <v>243</v>
      </c>
      <c r="I120" s="9" t="s">
        <v>275</v>
      </c>
      <c r="J120" s="9" t="s">
        <v>145</v>
      </c>
    </row>
    <row r="121" spans="1:10">
      <c r="A121" s="5" t="s">
        <v>442</v>
      </c>
      <c r="B121" s="6" t="s">
        <v>443</v>
      </c>
      <c r="C121" s="7">
        <v>46034</v>
      </c>
      <c r="D121" s="9" t="s">
        <v>241</v>
      </c>
      <c r="E121" s="4" t="s">
        <v>28</v>
      </c>
      <c r="F121" s="9" t="s">
        <v>242</v>
      </c>
      <c r="G121" s="9">
        <v>1</v>
      </c>
      <c r="H121" s="6" t="s">
        <v>243</v>
      </c>
      <c r="I121" s="9" t="s">
        <v>337</v>
      </c>
      <c r="J121" s="9" t="s">
        <v>145</v>
      </c>
    </row>
    <row r="122" spans="1:10">
      <c r="A122" s="5" t="s">
        <v>444</v>
      </c>
      <c r="B122" s="6" t="s">
        <v>443</v>
      </c>
      <c r="C122" s="7">
        <v>46034</v>
      </c>
      <c r="D122" s="9" t="s">
        <v>241</v>
      </c>
      <c r="E122" s="8" t="s">
        <v>29</v>
      </c>
      <c r="F122" s="9" t="s">
        <v>246</v>
      </c>
      <c r="G122" s="9">
        <v>1</v>
      </c>
      <c r="H122" s="6" t="s">
        <v>243</v>
      </c>
      <c r="I122" s="9" t="s">
        <v>337</v>
      </c>
      <c r="J122" s="9" t="s">
        <v>145</v>
      </c>
    </row>
    <row r="123" spans="1:10">
      <c r="A123" s="5" t="s">
        <v>445</v>
      </c>
      <c r="B123" s="6" t="s">
        <v>443</v>
      </c>
      <c r="C123" s="7">
        <v>46034</v>
      </c>
      <c r="D123" s="9" t="s">
        <v>261</v>
      </c>
      <c r="E123" s="8" t="s">
        <v>62</v>
      </c>
      <c r="F123" s="9" t="s">
        <v>242</v>
      </c>
      <c r="G123" s="9">
        <v>2</v>
      </c>
      <c r="H123" s="6" t="s">
        <v>243</v>
      </c>
      <c r="I123" s="9" t="s">
        <v>337</v>
      </c>
      <c r="J123" s="9" t="s">
        <v>145</v>
      </c>
    </row>
    <row r="124" spans="1:10">
      <c r="A124" s="5" t="s">
        <v>446</v>
      </c>
      <c r="B124" s="6" t="s">
        <v>447</v>
      </c>
      <c r="C124" s="7">
        <v>46034</v>
      </c>
      <c r="D124" s="9" t="s">
        <v>241</v>
      </c>
      <c r="E124" s="8" t="s">
        <v>28</v>
      </c>
      <c r="F124" s="9" t="s">
        <v>242</v>
      </c>
      <c r="G124" s="9">
        <v>1</v>
      </c>
      <c r="H124" s="6" t="s">
        <v>243</v>
      </c>
      <c r="I124" s="9" t="s">
        <v>337</v>
      </c>
      <c r="J124" s="9" t="s">
        <v>145</v>
      </c>
    </row>
    <row r="125" spans="1:10">
      <c r="A125" s="5" t="s">
        <v>448</v>
      </c>
      <c r="B125" s="6" t="s">
        <v>447</v>
      </c>
      <c r="C125" s="7">
        <v>46034</v>
      </c>
      <c r="D125" s="9" t="s">
        <v>241</v>
      </c>
      <c r="E125" s="8" t="s">
        <v>29</v>
      </c>
      <c r="F125" s="9" t="s">
        <v>246</v>
      </c>
      <c r="G125" s="9">
        <v>1</v>
      </c>
      <c r="H125" s="6" t="s">
        <v>243</v>
      </c>
      <c r="I125" s="9" t="s">
        <v>337</v>
      </c>
      <c r="J125" s="9" t="s">
        <v>145</v>
      </c>
    </row>
    <row r="126" spans="1:10">
      <c r="A126" s="5" t="s">
        <v>449</v>
      </c>
      <c r="B126" s="6" t="s">
        <v>447</v>
      </c>
      <c r="C126" s="7">
        <v>46034</v>
      </c>
      <c r="D126" s="9" t="s">
        <v>261</v>
      </c>
      <c r="E126" s="8" t="s">
        <v>62</v>
      </c>
      <c r="F126" s="9" t="s">
        <v>242</v>
      </c>
      <c r="G126" s="9">
        <v>2</v>
      </c>
      <c r="H126" s="6" t="s">
        <v>243</v>
      </c>
      <c r="I126" s="9" t="s">
        <v>337</v>
      </c>
      <c r="J126" s="9" t="s">
        <v>145</v>
      </c>
    </row>
    <row r="127" spans="1:10">
      <c r="A127" s="5" t="s">
        <v>450</v>
      </c>
      <c r="B127" s="6" t="s">
        <v>447</v>
      </c>
      <c r="C127" s="7">
        <v>46034</v>
      </c>
      <c r="D127" s="9" t="s">
        <v>261</v>
      </c>
      <c r="E127" s="8" t="s">
        <v>281</v>
      </c>
      <c r="F127" s="9" t="s">
        <v>242</v>
      </c>
      <c r="G127" s="9">
        <v>2</v>
      </c>
      <c r="H127" s="6" t="s">
        <v>243</v>
      </c>
      <c r="I127" s="9" t="s">
        <v>337</v>
      </c>
      <c r="J127" s="9" t="s">
        <v>145</v>
      </c>
    </row>
    <row r="128" spans="1:10">
      <c r="A128" s="5" t="s">
        <v>451</v>
      </c>
      <c r="B128" s="6" t="s">
        <v>452</v>
      </c>
      <c r="C128" s="7">
        <v>46035</v>
      </c>
      <c r="D128" s="9" t="s">
        <v>241</v>
      </c>
      <c r="E128" s="8" t="s">
        <v>28</v>
      </c>
      <c r="F128" s="9" t="s">
        <v>242</v>
      </c>
      <c r="G128" s="9">
        <v>1</v>
      </c>
      <c r="H128" s="6" t="s">
        <v>243</v>
      </c>
      <c r="I128" s="9" t="s">
        <v>388</v>
      </c>
      <c r="J128" s="9" t="s">
        <v>145</v>
      </c>
    </row>
    <row r="129" spans="1:10">
      <c r="A129" s="5" t="s">
        <v>453</v>
      </c>
      <c r="B129" s="6" t="s">
        <v>452</v>
      </c>
      <c r="C129" s="7">
        <v>46035</v>
      </c>
      <c r="D129" s="9" t="s">
        <v>241</v>
      </c>
      <c r="E129" s="8" t="s">
        <v>29</v>
      </c>
      <c r="F129" s="9" t="s">
        <v>246</v>
      </c>
      <c r="G129" s="9">
        <v>1</v>
      </c>
      <c r="H129" s="6" t="s">
        <v>243</v>
      </c>
      <c r="I129" s="9" t="s">
        <v>388</v>
      </c>
      <c r="J129" s="9" t="s">
        <v>145</v>
      </c>
    </row>
    <row r="130" spans="1:10">
      <c r="A130" s="5" t="s">
        <v>454</v>
      </c>
      <c r="B130" s="6" t="s">
        <v>455</v>
      </c>
      <c r="C130" s="7">
        <v>46035</v>
      </c>
      <c r="D130" s="9" t="s">
        <v>241</v>
      </c>
      <c r="E130" s="8" t="s">
        <v>28</v>
      </c>
      <c r="F130" s="9" t="s">
        <v>242</v>
      </c>
      <c r="G130" s="9">
        <v>1</v>
      </c>
      <c r="H130" s="6" t="s">
        <v>243</v>
      </c>
      <c r="I130" s="9" t="s">
        <v>388</v>
      </c>
      <c r="J130" s="9" t="s">
        <v>145</v>
      </c>
    </row>
    <row r="131" spans="1:10">
      <c r="A131" s="5" t="s">
        <v>456</v>
      </c>
      <c r="B131" s="6" t="s">
        <v>455</v>
      </c>
      <c r="C131" s="7">
        <v>46035</v>
      </c>
      <c r="D131" s="9" t="s">
        <v>241</v>
      </c>
      <c r="E131" s="8" t="s">
        <v>27</v>
      </c>
      <c r="F131" s="9" t="s">
        <v>246</v>
      </c>
      <c r="G131" s="9">
        <v>1</v>
      </c>
      <c r="H131" s="6" t="s">
        <v>243</v>
      </c>
      <c r="I131" s="9" t="s">
        <v>388</v>
      </c>
      <c r="J131" s="9" t="s">
        <v>145</v>
      </c>
    </row>
    <row r="132" spans="1:10">
      <c r="A132" s="5" t="s">
        <v>457</v>
      </c>
      <c r="B132" s="6" t="s">
        <v>455</v>
      </c>
      <c r="C132" s="7">
        <v>46035</v>
      </c>
      <c r="D132" s="9" t="s">
        <v>261</v>
      </c>
      <c r="E132" s="8" t="s">
        <v>281</v>
      </c>
      <c r="F132" s="9" t="s">
        <v>242</v>
      </c>
      <c r="G132" s="9">
        <v>2</v>
      </c>
      <c r="H132" s="6" t="s">
        <v>243</v>
      </c>
      <c r="I132" s="9" t="s">
        <v>388</v>
      </c>
      <c r="J132" s="9" t="s">
        <v>145</v>
      </c>
    </row>
    <row r="133" spans="1:10">
      <c r="A133" s="5" t="s">
        <v>458</v>
      </c>
      <c r="B133" s="6" t="s">
        <v>459</v>
      </c>
      <c r="C133" s="7">
        <v>46035</v>
      </c>
      <c r="D133" s="9" t="s">
        <v>241</v>
      </c>
      <c r="E133" s="8" t="s">
        <v>28</v>
      </c>
      <c r="F133" s="9" t="s">
        <v>242</v>
      </c>
      <c r="G133" s="9">
        <v>1</v>
      </c>
      <c r="H133" s="6" t="s">
        <v>243</v>
      </c>
      <c r="I133" s="9" t="s">
        <v>388</v>
      </c>
      <c r="J133" s="9" t="s">
        <v>145</v>
      </c>
    </row>
    <row r="134" spans="1:10">
      <c r="A134" s="5" t="s">
        <v>460</v>
      </c>
      <c r="B134" s="6" t="s">
        <v>459</v>
      </c>
      <c r="C134" s="7">
        <v>46035</v>
      </c>
      <c r="D134" s="9" t="s">
        <v>241</v>
      </c>
      <c r="E134" s="8" t="s">
        <v>27</v>
      </c>
      <c r="F134" s="9" t="s">
        <v>246</v>
      </c>
      <c r="G134" s="9">
        <v>1</v>
      </c>
      <c r="H134" s="6" t="s">
        <v>243</v>
      </c>
      <c r="I134" s="9" t="s">
        <v>388</v>
      </c>
      <c r="J134" s="9" t="s">
        <v>145</v>
      </c>
    </row>
    <row r="135" spans="1:10">
      <c r="A135" s="5" t="s">
        <v>461</v>
      </c>
      <c r="B135" s="6" t="s">
        <v>462</v>
      </c>
      <c r="C135" s="7">
        <v>46035</v>
      </c>
      <c r="D135" s="9" t="s">
        <v>241</v>
      </c>
      <c r="E135" s="4" t="s">
        <v>28</v>
      </c>
      <c r="F135" s="9" t="s">
        <v>242</v>
      </c>
      <c r="G135" s="9">
        <v>1</v>
      </c>
      <c r="H135" s="6" t="s">
        <v>243</v>
      </c>
      <c r="I135" s="9" t="s">
        <v>388</v>
      </c>
      <c r="J135" s="9" t="s">
        <v>145</v>
      </c>
    </row>
    <row r="136" spans="1:10">
      <c r="A136" s="5" t="s">
        <v>463</v>
      </c>
      <c r="B136" s="6" t="s">
        <v>462</v>
      </c>
      <c r="C136" s="7">
        <v>46035</v>
      </c>
      <c r="D136" s="9" t="s">
        <v>241</v>
      </c>
      <c r="E136" s="8" t="s">
        <v>29</v>
      </c>
      <c r="F136" s="9" t="s">
        <v>246</v>
      </c>
      <c r="G136" s="9">
        <v>1</v>
      </c>
      <c r="H136" s="6" t="s">
        <v>243</v>
      </c>
      <c r="I136" s="9" t="s">
        <v>388</v>
      </c>
      <c r="J136" s="9" t="s">
        <v>145</v>
      </c>
    </row>
    <row r="137" spans="1:10">
      <c r="A137" s="5" t="s">
        <v>464</v>
      </c>
      <c r="B137" s="6" t="s">
        <v>465</v>
      </c>
      <c r="C137" s="7">
        <v>46035</v>
      </c>
      <c r="D137" s="9" t="s">
        <v>241</v>
      </c>
      <c r="E137" s="8" t="s">
        <v>28</v>
      </c>
      <c r="F137" s="9" t="s">
        <v>242</v>
      </c>
      <c r="G137" s="9">
        <v>1</v>
      </c>
      <c r="H137" s="6" t="s">
        <v>328</v>
      </c>
      <c r="I137" s="9" t="s">
        <v>244</v>
      </c>
      <c r="J137" s="9" t="s">
        <v>145</v>
      </c>
    </row>
    <row r="138" spans="1:10">
      <c r="A138" s="5" t="s">
        <v>466</v>
      </c>
      <c r="B138" s="6" t="s">
        <v>465</v>
      </c>
      <c r="C138" s="7">
        <v>46035</v>
      </c>
      <c r="D138" s="9" t="s">
        <v>241</v>
      </c>
      <c r="E138" s="8" t="s">
        <v>29</v>
      </c>
      <c r="F138" s="9" t="s">
        <v>246</v>
      </c>
      <c r="G138" s="9">
        <v>1</v>
      </c>
      <c r="H138" s="6" t="s">
        <v>328</v>
      </c>
      <c r="I138" s="9" t="s">
        <v>244</v>
      </c>
      <c r="J138" s="9" t="s">
        <v>145</v>
      </c>
    </row>
    <row r="139" spans="1:10">
      <c r="A139" s="5" t="s">
        <v>467</v>
      </c>
      <c r="B139" s="6" t="s">
        <v>465</v>
      </c>
      <c r="C139" s="7">
        <v>46035</v>
      </c>
      <c r="D139" s="9" t="s">
        <v>261</v>
      </c>
      <c r="E139" s="8" t="s">
        <v>281</v>
      </c>
      <c r="F139" s="9" t="s">
        <v>242</v>
      </c>
      <c r="G139" s="9">
        <v>2</v>
      </c>
      <c r="H139" s="6" t="s">
        <v>328</v>
      </c>
      <c r="I139" s="9" t="s">
        <v>244</v>
      </c>
      <c r="J139" s="9" t="s">
        <v>145</v>
      </c>
    </row>
    <row r="140" spans="1:10">
      <c r="A140" s="5" t="s">
        <v>468</v>
      </c>
      <c r="B140" s="6" t="s">
        <v>469</v>
      </c>
      <c r="C140" s="7">
        <v>46035</v>
      </c>
      <c r="D140" s="9" t="s">
        <v>241</v>
      </c>
      <c r="E140" s="8" t="s">
        <v>28</v>
      </c>
      <c r="F140" s="9" t="s">
        <v>242</v>
      </c>
      <c r="G140" s="9">
        <v>1</v>
      </c>
      <c r="H140" s="6" t="s">
        <v>470</v>
      </c>
      <c r="I140" s="9" t="s">
        <v>388</v>
      </c>
      <c r="J140" s="9" t="s">
        <v>145</v>
      </c>
    </row>
    <row r="141" spans="1:10">
      <c r="A141" s="5" t="s">
        <v>471</v>
      </c>
      <c r="B141" s="6" t="s">
        <v>469</v>
      </c>
      <c r="C141" s="7">
        <v>46035</v>
      </c>
      <c r="D141" s="9" t="s">
        <v>241</v>
      </c>
      <c r="E141" s="8" t="s">
        <v>28</v>
      </c>
      <c r="F141" s="9" t="s">
        <v>246</v>
      </c>
      <c r="G141" s="9">
        <v>1</v>
      </c>
      <c r="H141" s="6" t="s">
        <v>470</v>
      </c>
      <c r="I141" s="9" t="s">
        <v>388</v>
      </c>
      <c r="J141" s="9" t="s">
        <v>145</v>
      </c>
    </row>
    <row r="142" spans="1:10">
      <c r="A142" s="5" t="s">
        <v>472</v>
      </c>
      <c r="B142" s="6" t="s">
        <v>473</v>
      </c>
      <c r="C142" s="7">
        <v>46035</v>
      </c>
      <c r="D142" s="9" t="s">
        <v>264</v>
      </c>
      <c r="E142" s="4" t="s">
        <v>38</v>
      </c>
      <c r="F142" s="9" t="s">
        <v>242</v>
      </c>
      <c r="G142" s="9">
        <v>1</v>
      </c>
      <c r="H142" s="6" t="s">
        <v>474</v>
      </c>
      <c r="I142" s="9" t="s">
        <v>258</v>
      </c>
      <c r="J142" s="9" t="s">
        <v>145</v>
      </c>
    </row>
    <row r="143" spans="1:10">
      <c r="A143" s="5" t="s">
        <v>475</v>
      </c>
      <c r="B143" s="6" t="s">
        <v>473</v>
      </c>
      <c r="C143" s="7">
        <v>46035</v>
      </c>
      <c r="D143" s="9" t="s">
        <v>264</v>
      </c>
      <c r="E143" s="4" t="s">
        <v>35</v>
      </c>
      <c r="F143" s="9" t="s">
        <v>246</v>
      </c>
      <c r="G143" s="9">
        <v>1</v>
      </c>
      <c r="H143" s="6" t="s">
        <v>474</v>
      </c>
      <c r="I143" s="9" t="s">
        <v>258</v>
      </c>
      <c r="J143" s="9" t="s">
        <v>145</v>
      </c>
    </row>
    <row r="144" spans="1:10">
      <c r="A144" s="5" t="s">
        <v>476</v>
      </c>
      <c r="B144" s="6" t="s">
        <v>473</v>
      </c>
      <c r="C144" s="7">
        <v>46035</v>
      </c>
      <c r="D144" s="9" t="s">
        <v>261</v>
      </c>
      <c r="E144" s="8" t="s">
        <v>64</v>
      </c>
      <c r="F144" s="9" t="s">
        <v>242</v>
      </c>
      <c r="G144" s="9">
        <v>2</v>
      </c>
      <c r="H144" s="6" t="s">
        <v>474</v>
      </c>
      <c r="I144" s="9" t="s">
        <v>258</v>
      </c>
      <c r="J144" s="9" t="s">
        <v>145</v>
      </c>
    </row>
    <row r="145" spans="1:10">
      <c r="A145" s="5" t="s">
        <v>477</v>
      </c>
      <c r="B145" s="6" t="s">
        <v>473</v>
      </c>
      <c r="C145" s="7">
        <v>46035</v>
      </c>
      <c r="D145" s="9" t="s">
        <v>270</v>
      </c>
      <c r="E145" s="8" t="s">
        <v>271</v>
      </c>
      <c r="F145" s="9" t="s">
        <v>242</v>
      </c>
      <c r="G145" s="9">
        <v>2</v>
      </c>
      <c r="H145" s="6" t="s">
        <v>474</v>
      </c>
      <c r="I145" s="9" t="s">
        <v>258</v>
      </c>
      <c r="J145" s="9" t="s">
        <v>145</v>
      </c>
    </row>
    <row r="146" spans="1:10">
      <c r="A146" s="5" t="s">
        <v>478</v>
      </c>
      <c r="B146" s="6" t="s">
        <v>479</v>
      </c>
      <c r="C146" s="7">
        <v>46036</v>
      </c>
      <c r="D146" s="9" t="s">
        <v>241</v>
      </c>
      <c r="E146" s="8" t="s">
        <v>28</v>
      </c>
      <c r="F146" s="9" t="s">
        <v>242</v>
      </c>
      <c r="G146" s="9">
        <v>1</v>
      </c>
      <c r="H146" s="6" t="s">
        <v>419</v>
      </c>
      <c r="I146" s="9" t="s">
        <v>363</v>
      </c>
      <c r="J146" s="9" t="s">
        <v>145</v>
      </c>
    </row>
    <row r="147" spans="1:10">
      <c r="A147" s="5" t="s">
        <v>480</v>
      </c>
      <c r="B147" s="6" t="s">
        <v>479</v>
      </c>
      <c r="C147" s="7">
        <v>46036</v>
      </c>
      <c r="D147" s="9" t="s">
        <v>241</v>
      </c>
      <c r="E147" s="4" t="s">
        <v>29</v>
      </c>
      <c r="F147" s="9" t="s">
        <v>246</v>
      </c>
      <c r="G147" s="9">
        <v>1</v>
      </c>
      <c r="H147" s="6" t="s">
        <v>419</v>
      </c>
      <c r="I147" s="9" t="s">
        <v>363</v>
      </c>
      <c r="J147" s="9" t="s">
        <v>145</v>
      </c>
    </row>
    <row r="148" spans="1:10">
      <c r="A148" s="5" t="s">
        <v>481</v>
      </c>
      <c r="B148" s="6" t="s">
        <v>479</v>
      </c>
      <c r="C148" s="7">
        <v>46036</v>
      </c>
      <c r="D148" s="9" t="s">
        <v>261</v>
      </c>
      <c r="E148" s="8" t="s">
        <v>62</v>
      </c>
      <c r="F148" s="9" t="s">
        <v>242</v>
      </c>
      <c r="G148" s="9">
        <v>2</v>
      </c>
      <c r="H148" s="6" t="s">
        <v>419</v>
      </c>
      <c r="I148" s="9" t="s">
        <v>363</v>
      </c>
      <c r="J148" s="9" t="s">
        <v>145</v>
      </c>
    </row>
    <row r="149" spans="1:10">
      <c r="A149" s="5" t="s">
        <v>482</v>
      </c>
      <c r="B149" s="6" t="s">
        <v>483</v>
      </c>
      <c r="C149" s="7">
        <v>46037</v>
      </c>
      <c r="D149" s="9" t="s">
        <v>241</v>
      </c>
      <c r="E149" s="8" t="s">
        <v>28</v>
      </c>
      <c r="F149" s="9" t="s">
        <v>242</v>
      </c>
      <c r="G149" s="9">
        <v>1</v>
      </c>
      <c r="H149" s="6" t="s">
        <v>328</v>
      </c>
      <c r="I149" s="9" t="s">
        <v>484</v>
      </c>
      <c r="J149" s="9" t="s">
        <v>145</v>
      </c>
    </row>
    <row r="150" spans="1:10">
      <c r="A150" s="5" t="s">
        <v>485</v>
      </c>
      <c r="B150" s="6" t="s">
        <v>483</v>
      </c>
      <c r="C150" s="7">
        <v>46037</v>
      </c>
      <c r="D150" s="9" t="s">
        <v>241</v>
      </c>
      <c r="E150" s="8" t="s">
        <v>29</v>
      </c>
      <c r="F150" s="9" t="s">
        <v>246</v>
      </c>
      <c r="G150" s="9">
        <v>1</v>
      </c>
      <c r="H150" s="6" t="s">
        <v>328</v>
      </c>
      <c r="I150" s="9" t="s">
        <v>484</v>
      </c>
      <c r="J150" s="9" t="s">
        <v>145</v>
      </c>
    </row>
    <row r="151" spans="1:10">
      <c r="A151" s="5" t="s">
        <v>486</v>
      </c>
      <c r="B151" s="6" t="s">
        <v>487</v>
      </c>
      <c r="C151" s="7">
        <v>46037</v>
      </c>
      <c r="D151" s="9" t="s">
        <v>241</v>
      </c>
      <c r="E151" s="4" t="s">
        <v>28</v>
      </c>
      <c r="F151" s="9" t="s">
        <v>242</v>
      </c>
      <c r="G151" s="9">
        <v>1</v>
      </c>
      <c r="H151" s="6" t="s">
        <v>257</v>
      </c>
      <c r="I151" s="9" t="s">
        <v>388</v>
      </c>
      <c r="J151" s="9" t="s">
        <v>145</v>
      </c>
    </row>
    <row r="152" spans="1:10">
      <c r="A152" s="5" t="s">
        <v>488</v>
      </c>
      <c r="B152" s="6" t="s">
        <v>487</v>
      </c>
      <c r="C152" s="7">
        <v>46037</v>
      </c>
      <c r="D152" s="9" t="s">
        <v>241</v>
      </c>
      <c r="E152" s="8" t="s">
        <v>29</v>
      </c>
      <c r="F152" s="9" t="s">
        <v>246</v>
      </c>
      <c r="G152" s="9">
        <v>1</v>
      </c>
      <c r="H152" s="6" t="s">
        <v>257</v>
      </c>
      <c r="I152" s="9" t="s">
        <v>388</v>
      </c>
      <c r="J152" s="9" t="s">
        <v>145</v>
      </c>
    </row>
    <row r="153" spans="1:10">
      <c r="A153" s="5" t="s">
        <v>489</v>
      </c>
      <c r="B153" s="6" t="s">
        <v>490</v>
      </c>
      <c r="C153" s="7">
        <v>46037</v>
      </c>
      <c r="D153" s="9" t="s">
        <v>241</v>
      </c>
      <c r="E153" s="4" t="s">
        <v>28</v>
      </c>
      <c r="F153" s="9" t="s">
        <v>242</v>
      </c>
      <c r="G153" s="9">
        <v>1</v>
      </c>
      <c r="H153" s="6" t="s">
        <v>491</v>
      </c>
      <c r="I153" s="9" t="s">
        <v>337</v>
      </c>
      <c r="J153" s="9" t="s">
        <v>145</v>
      </c>
    </row>
    <row r="154" spans="1:10">
      <c r="A154" s="5" t="s">
        <v>492</v>
      </c>
      <c r="B154" s="6" t="s">
        <v>490</v>
      </c>
      <c r="C154" s="7">
        <v>46037</v>
      </c>
      <c r="D154" s="9" t="s">
        <v>241</v>
      </c>
      <c r="E154" s="8" t="s">
        <v>29</v>
      </c>
      <c r="F154" s="9" t="s">
        <v>246</v>
      </c>
      <c r="G154" s="9">
        <v>1</v>
      </c>
      <c r="H154" s="6" t="s">
        <v>491</v>
      </c>
      <c r="I154" s="9" t="s">
        <v>337</v>
      </c>
      <c r="J154" s="9" t="s">
        <v>145</v>
      </c>
    </row>
    <row r="155" spans="1:10">
      <c r="A155" s="5" t="s">
        <v>493</v>
      </c>
      <c r="B155" s="6" t="s">
        <v>494</v>
      </c>
      <c r="C155" s="7">
        <v>46037</v>
      </c>
      <c r="D155" s="9" t="s">
        <v>299</v>
      </c>
      <c r="E155" s="4" t="s">
        <v>376</v>
      </c>
      <c r="F155" s="9" t="s">
        <v>242</v>
      </c>
      <c r="G155" s="9">
        <v>1</v>
      </c>
      <c r="H155" s="6" t="s">
        <v>328</v>
      </c>
      <c r="I155" s="9" t="s">
        <v>289</v>
      </c>
      <c r="J155" s="9" t="s">
        <v>145</v>
      </c>
    </row>
    <row r="156" spans="1:10">
      <c r="A156" s="5" t="s">
        <v>495</v>
      </c>
      <c r="B156" s="6" t="s">
        <v>494</v>
      </c>
      <c r="C156" s="7">
        <v>46037</v>
      </c>
      <c r="D156" s="9" t="s">
        <v>299</v>
      </c>
      <c r="E156" s="8" t="s">
        <v>22</v>
      </c>
      <c r="F156" s="9" t="s">
        <v>246</v>
      </c>
      <c r="G156" s="9">
        <v>1</v>
      </c>
      <c r="H156" s="6" t="s">
        <v>328</v>
      </c>
      <c r="I156" s="9" t="s">
        <v>289</v>
      </c>
      <c r="J156" s="9" t="s">
        <v>145</v>
      </c>
    </row>
    <row r="157" spans="1:10">
      <c r="A157" s="5" t="s">
        <v>496</v>
      </c>
      <c r="B157" s="6" t="s">
        <v>497</v>
      </c>
      <c r="C157" s="7">
        <v>46037</v>
      </c>
      <c r="D157" s="9" t="s">
        <v>299</v>
      </c>
      <c r="E157" s="8" t="s">
        <v>22</v>
      </c>
      <c r="F157" s="9" t="s">
        <v>242</v>
      </c>
      <c r="G157" s="9">
        <v>1</v>
      </c>
      <c r="H157" s="6" t="s">
        <v>249</v>
      </c>
      <c r="I157" s="9" t="s">
        <v>363</v>
      </c>
      <c r="J157" s="9" t="s">
        <v>145</v>
      </c>
    </row>
    <row r="158" spans="1:10">
      <c r="A158" s="5" t="s">
        <v>498</v>
      </c>
      <c r="B158" s="6" t="s">
        <v>497</v>
      </c>
      <c r="C158" s="7">
        <v>46037</v>
      </c>
      <c r="D158" s="9" t="s">
        <v>299</v>
      </c>
      <c r="E158" s="4" t="s">
        <v>376</v>
      </c>
      <c r="F158" s="9" t="s">
        <v>246</v>
      </c>
      <c r="G158" s="9">
        <v>1</v>
      </c>
      <c r="H158" s="6" t="s">
        <v>249</v>
      </c>
      <c r="I158" s="9" t="s">
        <v>363</v>
      </c>
      <c r="J158" s="9" t="s">
        <v>145</v>
      </c>
    </row>
    <row r="159" spans="1:10">
      <c r="A159" s="5" t="s">
        <v>499</v>
      </c>
      <c r="B159" s="6" t="s">
        <v>497</v>
      </c>
      <c r="C159" s="7">
        <v>46037</v>
      </c>
      <c r="D159" s="9" t="s">
        <v>500</v>
      </c>
      <c r="E159" s="8" t="s">
        <v>54</v>
      </c>
      <c r="F159" s="9" t="s">
        <v>242</v>
      </c>
      <c r="G159" s="9">
        <v>1</v>
      </c>
      <c r="H159" s="6" t="s">
        <v>249</v>
      </c>
      <c r="I159" s="9" t="s">
        <v>363</v>
      </c>
      <c r="J159" s="9" t="s">
        <v>145</v>
      </c>
    </row>
    <row r="160" spans="1:10">
      <c r="A160" s="5" t="s">
        <v>501</v>
      </c>
      <c r="B160" s="6" t="s">
        <v>497</v>
      </c>
      <c r="C160" s="7">
        <v>46037</v>
      </c>
      <c r="D160" s="9" t="s">
        <v>261</v>
      </c>
      <c r="E160" s="4" t="s">
        <v>62</v>
      </c>
      <c r="F160" s="9" t="s">
        <v>242</v>
      </c>
      <c r="G160" s="9">
        <v>2</v>
      </c>
      <c r="H160" s="6" t="s">
        <v>249</v>
      </c>
      <c r="I160" s="9" t="s">
        <v>363</v>
      </c>
      <c r="J160" s="9" t="s">
        <v>145</v>
      </c>
    </row>
    <row r="161" spans="1:10">
      <c r="A161" s="5" t="s">
        <v>502</v>
      </c>
      <c r="B161" s="6" t="s">
        <v>497</v>
      </c>
      <c r="C161" s="7">
        <v>46037</v>
      </c>
      <c r="D161" s="9" t="s">
        <v>503</v>
      </c>
      <c r="E161" s="8" t="s">
        <v>206</v>
      </c>
      <c r="F161" s="9" t="s">
        <v>242</v>
      </c>
      <c r="G161" s="9">
        <v>2</v>
      </c>
      <c r="H161" s="6" t="s">
        <v>249</v>
      </c>
      <c r="I161" s="9" t="s">
        <v>363</v>
      </c>
      <c r="J161" s="9" t="s">
        <v>145</v>
      </c>
    </row>
    <row r="162" spans="1:10">
      <c r="A162" s="5" t="s">
        <v>504</v>
      </c>
      <c r="B162" s="6" t="s">
        <v>505</v>
      </c>
      <c r="C162" s="7">
        <v>46038</v>
      </c>
      <c r="D162" s="9" t="s">
        <v>299</v>
      </c>
      <c r="E162" s="4" t="s">
        <v>21</v>
      </c>
      <c r="F162" s="9" t="s">
        <v>242</v>
      </c>
      <c r="G162" s="9">
        <v>1</v>
      </c>
      <c r="H162" s="6" t="s">
        <v>506</v>
      </c>
      <c r="I162" s="9" t="s">
        <v>289</v>
      </c>
      <c r="J162" s="9" t="s">
        <v>145</v>
      </c>
    </row>
    <row r="163" spans="1:10">
      <c r="A163" s="5" t="s">
        <v>507</v>
      </c>
      <c r="B163" s="6" t="s">
        <v>505</v>
      </c>
      <c r="C163" s="7">
        <v>46038</v>
      </c>
      <c r="D163" s="9" t="s">
        <v>299</v>
      </c>
      <c r="E163" s="8" t="s">
        <v>21</v>
      </c>
      <c r="F163" s="9" t="s">
        <v>246</v>
      </c>
      <c r="G163" s="9">
        <v>1</v>
      </c>
      <c r="H163" s="6" t="s">
        <v>506</v>
      </c>
      <c r="I163" s="9" t="s">
        <v>289</v>
      </c>
      <c r="J163" s="9" t="s">
        <v>145</v>
      </c>
    </row>
    <row r="164" spans="1:10">
      <c r="A164" s="5" t="s">
        <v>508</v>
      </c>
      <c r="B164" s="6" t="s">
        <v>509</v>
      </c>
      <c r="C164" s="7">
        <v>46038</v>
      </c>
      <c r="D164" s="9" t="s">
        <v>299</v>
      </c>
      <c r="E164" s="8" t="s">
        <v>22</v>
      </c>
      <c r="F164" s="9" t="s">
        <v>242</v>
      </c>
      <c r="G164" s="9">
        <v>1</v>
      </c>
      <c r="H164" s="6" t="s">
        <v>328</v>
      </c>
      <c r="I164" s="9" t="s">
        <v>388</v>
      </c>
      <c r="J164" s="9" t="s">
        <v>145</v>
      </c>
    </row>
    <row r="165" spans="1:10">
      <c r="A165" s="5" t="s">
        <v>510</v>
      </c>
      <c r="B165" s="6" t="s">
        <v>509</v>
      </c>
      <c r="C165" s="7">
        <v>46038</v>
      </c>
      <c r="D165" s="9" t="s">
        <v>299</v>
      </c>
      <c r="E165" s="8" t="s">
        <v>22</v>
      </c>
      <c r="F165" s="9" t="s">
        <v>246</v>
      </c>
      <c r="G165" s="9">
        <v>1</v>
      </c>
      <c r="H165" s="6" t="s">
        <v>328</v>
      </c>
      <c r="I165" s="9" t="s">
        <v>388</v>
      </c>
      <c r="J165" s="9" t="s">
        <v>145</v>
      </c>
    </row>
    <row r="166" spans="1:10">
      <c r="A166" s="5" t="s">
        <v>511</v>
      </c>
      <c r="B166" s="6" t="s">
        <v>512</v>
      </c>
      <c r="C166" s="7">
        <v>46037</v>
      </c>
      <c r="D166" s="9" t="s">
        <v>299</v>
      </c>
      <c r="E166" s="8" t="s">
        <v>22</v>
      </c>
      <c r="F166" s="9" t="s">
        <v>242</v>
      </c>
      <c r="G166" s="9">
        <v>1</v>
      </c>
      <c r="H166" s="6" t="s">
        <v>513</v>
      </c>
      <c r="I166" s="9" t="s">
        <v>514</v>
      </c>
      <c r="J166" s="9" t="s">
        <v>145</v>
      </c>
    </row>
    <row r="167" spans="1:10">
      <c r="A167" s="5" t="s">
        <v>515</v>
      </c>
      <c r="B167" s="6" t="s">
        <v>512</v>
      </c>
      <c r="C167" s="7">
        <v>46037</v>
      </c>
      <c r="D167" s="9" t="s">
        <v>299</v>
      </c>
      <c r="E167" s="8" t="s">
        <v>376</v>
      </c>
      <c r="F167" s="9" t="s">
        <v>246</v>
      </c>
      <c r="G167" s="9">
        <v>1</v>
      </c>
      <c r="H167" s="6" t="s">
        <v>513</v>
      </c>
      <c r="I167" s="9" t="s">
        <v>514</v>
      </c>
      <c r="J167" s="9" t="s">
        <v>145</v>
      </c>
    </row>
    <row r="168" spans="1:10">
      <c r="A168" s="5" t="s">
        <v>516</v>
      </c>
      <c r="B168" s="6" t="s">
        <v>517</v>
      </c>
      <c r="C168" s="7">
        <v>46037</v>
      </c>
      <c r="D168" s="9" t="s">
        <v>299</v>
      </c>
      <c r="E168" s="8" t="s">
        <v>22</v>
      </c>
      <c r="F168" s="9" t="s">
        <v>242</v>
      </c>
      <c r="G168" s="9">
        <v>1</v>
      </c>
      <c r="H168" s="6" t="s">
        <v>518</v>
      </c>
      <c r="I168" s="9" t="s">
        <v>514</v>
      </c>
      <c r="J168" s="9" t="s">
        <v>145</v>
      </c>
    </row>
    <row r="169" spans="1:10">
      <c r="A169" s="5" t="s">
        <v>519</v>
      </c>
      <c r="B169" s="6" t="s">
        <v>517</v>
      </c>
      <c r="C169" s="7">
        <v>46037</v>
      </c>
      <c r="D169" s="9" t="s">
        <v>299</v>
      </c>
      <c r="E169" s="8" t="s">
        <v>376</v>
      </c>
      <c r="F169" s="9" t="s">
        <v>246</v>
      </c>
      <c r="G169" s="9">
        <v>1</v>
      </c>
      <c r="H169" s="6" t="s">
        <v>518</v>
      </c>
      <c r="I169" s="9" t="s">
        <v>514</v>
      </c>
      <c r="J169" s="9" t="s">
        <v>145</v>
      </c>
    </row>
    <row r="170" spans="1:10">
      <c r="A170" s="5" t="s">
        <v>520</v>
      </c>
      <c r="B170" s="6" t="s">
        <v>517</v>
      </c>
      <c r="C170" s="7">
        <v>46037</v>
      </c>
      <c r="D170" s="9" t="s">
        <v>503</v>
      </c>
      <c r="E170" s="4" t="s">
        <v>206</v>
      </c>
      <c r="F170" s="9" t="s">
        <v>242</v>
      </c>
      <c r="G170" s="9">
        <v>2</v>
      </c>
      <c r="H170" s="6" t="s">
        <v>518</v>
      </c>
      <c r="I170" s="9" t="s">
        <v>514</v>
      </c>
      <c r="J170" s="9" t="s">
        <v>145</v>
      </c>
    </row>
    <row r="171" spans="1:10">
      <c r="A171" s="5" t="s">
        <v>521</v>
      </c>
      <c r="B171" s="6" t="s">
        <v>522</v>
      </c>
      <c r="C171" s="7">
        <v>46038</v>
      </c>
      <c r="D171" s="9" t="s">
        <v>299</v>
      </c>
      <c r="E171" s="8" t="s">
        <v>21</v>
      </c>
      <c r="F171" s="9" t="s">
        <v>242</v>
      </c>
      <c r="G171" s="9">
        <v>1</v>
      </c>
      <c r="H171" s="6" t="s">
        <v>328</v>
      </c>
      <c r="I171" s="9" t="s">
        <v>244</v>
      </c>
      <c r="J171" s="9" t="s">
        <v>145</v>
      </c>
    </row>
    <row r="172" spans="1:10">
      <c r="A172" s="5" t="s">
        <v>523</v>
      </c>
      <c r="B172" s="6" t="s">
        <v>522</v>
      </c>
      <c r="C172" s="7">
        <v>46038</v>
      </c>
      <c r="D172" s="9" t="s">
        <v>299</v>
      </c>
      <c r="E172" s="8" t="s">
        <v>21</v>
      </c>
      <c r="F172" s="9" t="s">
        <v>246</v>
      </c>
      <c r="G172" s="9">
        <v>1</v>
      </c>
      <c r="H172" s="6" t="s">
        <v>328</v>
      </c>
      <c r="I172" s="9" t="s">
        <v>244</v>
      </c>
      <c r="J172" s="9" t="s">
        <v>145</v>
      </c>
    </row>
    <row r="173" spans="1:10">
      <c r="A173" s="5" t="s">
        <v>524</v>
      </c>
      <c r="B173" s="6" t="s">
        <v>525</v>
      </c>
      <c r="C173" s="7">
        <v>46038</v>
      </c>
      <c r="D173" s="9" t="s">
        <v>299</v>
      </c>
      <c r="E173" s="8" t="s">
        <v>376</v>
      </c>
      <c r="F173" s="9" t="s">
        <v>242</v>
      </c>
      <c r="G173" s="9">
        <v>1</v>
      </c>
      <c r="H173" s="6" t="s">
        <v>526</v>
      </c>
      <c r="I173" s="9" t="s">
        <v>284</v>
      </c>
      <c r="J173" s="9" t="s">
        <v>145</v>
      </c>
    </row>
    <row r="174" spans="1:10">
      <c r="A174" s="5" t="s">
        <v>527</v>
      </c>
      <c r="B174" s="6" t="s">
        <v>525</v>
      </c>
      <c r="C174" s="7">
        <v>46038</v>
      </c>
      <c r="D174" s="9" t="s">
        <v>299</v>
      </c>
      <c r="E174" s="4" t="s">
        <v>22</v>
      </c>
      <c r="F174" s="9" t="s">
        <v>246</v>
      </c>
      <c r="G174" s="9">
        <v>1</v>
      </c>
      <c r="H174" s="6" t="s">
        <v>526</v>
      </c>
      <c r="I174" s="9" t="s">
        <v>284</v>
      </c>
      <c r="J174" s="9" t="s">
        <v>145</v>
      </c>
    </row>
    <row r="175" spans="1:10">
      <c r="A175" s="5" t="s">
        <v>528</v>
      </c>
      <c r="B175" s="6" t="s">
        <v>525</v>
      </c>
      <c r="C175" s="7">
        <v>46038</v>
      </c>
      <c r="D175" s="9" t="s">
        <v>503</v>
      </c>
      <c r="E175" s="8" t="s">
        <v>206</v>
      </c>
      <c r="F175" s="9" t="s">
        <v>242</v>
      </c>
      <c r="G175" s="9">
        <v>2</v>
      </c>
      <c r="H175" s="6" t="s">
        <v>526</v>
      </c>
      <c r="I175" s="9" t="s">
        <v>284</v>
      </c>
      <c r="J175" s="9" t="s">
        <v>145</v>
      </c>
    </row>
    <row r="176" spans="1:10">
      <c r="A176" s="5" t="s">
        <v>529</v>
      </c>
      <c r="B176" s="6" t="s">
        <v>530</v>
      </c>
      <c r="C176" s="7">
        <v>46038</v>
      </c>
      <c r="D176" s="9" t="s">
        <v>299</v>
      </c>
      <c r="E176" s="8" t="s">
        <v>22</v>
      </c>
      <c r="F176" s="9" t="s">
        <v>242</v>
      </c>
      <c r="G176" s="9">
        <v>1</v>
      </c>
      <c r="H176" s="6" t="s">
        <v>531</v>
      </c>
      <c r="I176" s="9" t="s">
        <v>532</v>
      </c>
      <c r="J176" s="9" t="s">
        <v>145</v>
      </c>
    </row>
    <row r="177" spans="1:10">
      <c r="A177" s="5" t="s">
        <v>533</v>
      </c>
      <c r="B177" s="6" t="s">
        <v>530</v>
      </c>
      <c r="C177" s="7">
        <v>46038</v>
      </c>
      <c r="D177" s="9" t="s">
        <v>299</v>
      </c>
      <c r="E177" s="8" t="s">
        <v>22</v>
      </c>
      <c r="F177" s="9" t="s">
        <v>246</v>
      </c>
      <c r="G177" s="9">
        <v>1</v>
      </c>
      <c r="H177" s="6" t="s">
        <v>531</v>
      </c>
      <c r="I177" s="9" t="s">
        <v>532</v>
      </c>
      <c r="J177" s="9" t="s">
        <v>145</v>
      </c>
    </row>
    <row r="178" spans="1:10">
      <c r="A178" s="5" t="s">
        <v>534</v>
      </c>
      <c r="B178" s="6" t="s">
        <v>535</v>
      </c>
      <c r="C178" s="7">
        <v>46038</v>
      </c>
      <c r="D178" s="9" t="s">
        <v>241</v>
      </c>
      <c r="E178" s="8" t="s">
        <v>28</v>
      </c>
      <c r="F178" s="9" t="s">
        <v>242</v>
      </c>
      <c r="G178" s="9">
        <v>1</v>
      </c>
      <c r="H178" s="6" t="s">
        <v>536</v>
      </c>
      <c r="I178" s="9" t="s">
        <v>289</v>
      </c>
      <c r="J178" s="9" t="s">
        <v>145</v>
      </c>
    </row>
    <row r="179" spans="1:10">
      <c r="A179" s="5" t="s">
        <v>537</v>
      </c>
      <c r="B179" s="6" t="s">
        <v>535</v>
      </c>
      <c r="C179" s="7">
        <v>46038</v>
      </c>
      <c r="D179" s="9" t="s">
        <v>241</v>
      </c>
      <c r="E179" s="8" t="s">
        <v>27</v>
      </c>
      <c r="F179" s="9" t="s">
        <v>246</v>
      </c>
      <c r="G179" s="9">
        <v>1</v>
      </c>
      <c r="H179" s="6" t="s">
        <v>536</v>
      </c>
      <c r="I179" s="9" t="s">
        <v>289</v>
      </c>
      <c r="J179" s="9" t="s">
        <v>145</v>
      </c>
    </row>
    <row r="180" spans="1:10">
      <c r="A180" s="5" t="s">
        <v>538</v>
      </c>
      <c r="B180" s="6" t="s">
        <v>535</v>
      </c>
      <c r="C180" s="7">
        <v>46038</v>
      </c>
      <c r="D180" s="9" t="s">
        <v>261</v>
      </c>
      <c r="E180" s="8" t="s">
        <v>62</v>
      </c>
      <c r="F180" s="9" t="s">
        <v>242</v>
      </c>
      <c r="G180" s="9">
        <v>1</v>
      </c>
      <c r="H180" s="6" t="s">
        <v>536</v>
      </c>
      <c r="I180" s="9" t="s">
        <v>289</v>
      </c>
      <c r="J180" s="9" t="s">
        <v>145</v>
      </c>
    </row>
    <row r="181" spans="1:10">
      <c r="A181" s="5" t="s">
        <v>539</v>
      </c>
      <c r="B181" s="6" t="s">
        <v>540</v>
      </c>
      <c r="C181" s="7">
        <v>46038</v>
      </c>
      <c r="D181" s="9" t="s">
        <v>299</v>
      </c>
      <c r="E181" s="4" t="s">
        <v>24</v>
      </c>
      <c r="F181" s="9" t="s">
        <v>242</v>
      </c>
      <c r="G181" s="9">
        <v>0</v>
      </c>
      <c r="H181" s="6" t="s">
        <v>474</v>
      </c>
      <c r="I181" s="9" t="s">
        <v>258</v>
      </c>
      <c r="J181" s="9" t="s">
        <v>145</v>
      </c>
    </row>
    <row r="182" spans="1:10">
      <c r="A182" s="5" t="s">
        <v>541</v>
      </c>
      <c r="B182" s="6" t="s">
        <v>540</v>
      </c>
      <c r="C182" s="7">
        <v>46038</v>
      </c>
      <c r="D182" s="9" t="s">
        <v>299</v>
      </c>
      <c r="E182" s="8" t="s">
        <v>22</v>
      </c>
      <c r="F182" s="9" t="s">
        <v>246</v>
      </c>
      <c r="G182" s="9">
        <v>1</v>
      </c>
      <c r="H182" s="6" t="s">
        <v>474</v>
      </c>
      <c r="I182" s="9" t="s">
        <v>258</v>
      </c>
      <c r="J182" s="9" t="s">
        <v>145</v>
      </c>
    </row>
    <row r="183" spans="1:10">
      <c r="A183" s="5" t="s">
        <v>542</v>
      </c>
      <c r="B183" s="6" t="s">
        <v>540</v>
      </c>
      <c r="C183" s="7">
        <v>46038</v>
      </c>
      <c r="D183" s="9" t="s">
        <v>261</v>
      </c>
      <c r="E183" s="4" t="s">
        <v>64</v>
      </c>
      <c r="F183" s="9" t="s">
        <v>242</v>
      </c>
      <c r="G183" s="9">
        <v>3</v>
      </c>
      <c r="H183" s="6" t="s">
        <v>474</v>
      </c>
      <c r="I183" s="9" t="s">
        <v>258</v>
      </c>
      <c r="J183" s="9" t="s">
        <v>145</v>
      </c>
    </row>
    <row r="184" spans="1:10">
      <c r="A184" s="5" t="s">
        <v>543</v>
      </c>
      <c r="B184" s="6" t="s">
        <v>540</v>
      </c>
      <c r="C184" s="7">
        <v>46038</v>
      </c>
      <c r="D184" s="9" t="s">
        <v>270</v>
      </c>
      <c r="E184" s="8" t="s">
        <v>271</v>
      </c>
      <c r="F184" s="9" t="s">
        <v>242</v>
      </c>
      <c r="G184" s="9">
        <v>3</v>
      </c>
      <c r="H184" s="6" t="s">
        <v>474</v>
      </c>
      <c r="I184" s="9" t="s">
        <v>258</v>
      </c>
      <c r="J184" s="9" t="s">
        <v>145</v>
      </c>
    </row>
    <row r="185" spans="1:10">
      <c r="A185" s="5" t="s">
        <v>544</v>
      </c>
      <c r="B185" s="6" t="s">
        <v>540</v>
      </c>
      <c r="C185" s="7">
        <v>46038</v>
      </c>
      <c r="D185" s="9" t="s">
        <v>503</v>
      </c>
      <c r="E185" s="8" t="s">
        <v>162</v>
      </c>
      <c r="F185" s="9" t="s">
        <v>242</v>
      </c>
      <c r="G185" s="9">
        <v>1</v>
      </c>
      <c r="H185" s="6" t="s">
        <v>474</v>
      </c>
      <c r="I185" s="9" t="s">
        <v>258</v>
      </c>
      <c r="J185" s="9" t="s">
        <v>145</v>
      </c>
    </row>
    <row r="186" spans="1:10">
      <c r="A186" s="5" t="s">
        <v>545</v>
      </c>
      <c r="B186" s="6" t="s">
        <v>540</v>
      </c>
      <c r="C186" s="7">
        <v>46038</v>
      </c>
      <c r="D186" s="9" t="s">
        <v>503</v>
      </c>
      <c r="E186" s="8" t="s">
        <v>206</v>
      </c>
      <c r="F186" s="9" t="s">
        <v>242</v>
      </c>
      <c r="G186" s="9">
        <v>2</v>
      </c>
      <c r="H186" s="6" t="s">
        <v>474</v>
      </c>
      <c r="I186" s="9" t="s">
        <v>258</v>
      </c>
      <c r="J186" s="9" t="s">
        <v>145</v>
      </c>
    </row>
    <row r="187" spans="1:10">
      <c r="A187" s="5" t="s">
        <v>546</v>
      </c>
      <c r="B187" s="6" t="s">
        <v>547</v>
      </c>
      <c r="C187" s="7">
        <v>46038</v>
      </c>
      <c r="D187" s="9" t="s">
        <v>241</v>
      </c>
      <c r="E187" s="8" t="s">
        <v>28</v>
      </c>
      <c r="F187" s="9" t="s">
        <v>242</v>
      </c>
      <c r="G187" s="9">
        <v>1</v>
      </c>
      <c r="H187" s="6" t="s">
        <v>548</v>
      </c>
      <c r="I187" s="9" t="s">
        <v>388</v>
      </c>
      <c r="J187" s="9" t="s">
        <v>145</v>
      </c>
    </row>
    <row r="188" spans="1:10">
      <c r="A188" s="5" t="s">
        <v>549</v>
      </c>
      <c r="B188" s="6" t="s">
        <v>547</v>
      </c>
      <c r="C188" s="7">
        <v>46038</v>
      </c>
      <c r="D188" s="9" t="s">
        <v>241</v>
      </c>
      <c r="E188" s="8" t="s">
        <v>27</v>
      </c>
      <c r="F188" s="9" t="s">
        <v>246</v>
      </c>
      <c r="G188" s="9">
        <v>1</v>
      </c>
      <c r="H188" s="6" t="s">
        <v>548</v>
      </c>
      <c r="I188" s="9" t="s">
        <v>388</v>
      </c>
      <c r="J188" s="9" t="s">
        <v>145</v>
      </c>
    </row>
    <row r="189" spans="1:10">
      <c r="A189" s="5" t="s">
        <v>550</v>
      </c>
      <c r="B189" s="6" t="s">
        <v>547</v>
      </c>
      <c r="C189" s="7">
        <v>46038</v>
      </c>
      <c r="D189" s="9" t="s">
        <v>261</v>
      </c>
      <c r="E189" s="8" t="s">
        <v>62</v>
      </c>
      <c r="F189" s="9" t="s">
        <v>242</v>
      </c>
      <c r="G189" s="9">
        <v>2</v>
      </c>
      <c r="H189" s="6" t="s">
        <v>548</v>
      </c>
      <c r="I189" s="9" t="s">
        <v>388</v>
      </c>
      <c r="J189" s="9" t="s">
        <v>145</v>
      </c>
    </row>
    <row r="190" spans="1:10">
      <c r="A190" s="5" t="s">
        <v>551</v>
      </c>
      <c r="B190" s="6" t="s">
        <v>552</v>
      </c>
      <c r="C190" s="7">
        <v>46041</v>
      </c>
      <c r="D190" s="9" t="s">
        <v>299</v>
      </c>
      <c r="E190" s="8" t="s">
        <v>22</v>
      </c>
      <c r="F190" s="9" t="s">
        <v>242</v>
      </c>
      <c r="G190" s="9">
        <v>1</v>
      </c>
      <c r="H190" s="6" t="s">
        <v>249</v>
      </c>
      <c r="I190" s="9" t="s">
        <v>258</v>
      </c>
      <c r="J190" s="9" t="s">
        <v>145</v>
      </c>
    </row>
    <row r="191" spans="1:10">
      <c r="A191" s="5" t="s">
        <v>553</v>
      </c>
      <c r="B191" s="6" t="s">
        <v>552</v>
      </c>
      <c r="C191" s="7">
        <v>46041</v>
      </c>
      <c r="D191" s="9" t="s">
        <v>299</v>
      </c>
      <c r="E191" s="8" t="s">
        <v>22</v>
      </c>
      <c r="F191" s="9" t="s">
        <v>246</v>
      </c>
      <c r="G191" s="9">
        <v>1</v>
      </c>
      <c r="H191" s="6" t="s">
        <v>249</v>
      </c>
      <c r="I191" s="9" t="s">
        <v>258</v>
      </c>
      <c r="J191" s="9" t="s">
        <v>145</v>
      </c>
    </row>
    <row r="192" spans="1:10">
      <c r="A192" s="5" t="s">
        <v>554</v>
      </c>
      <c r="B192" s="6" t="s">
        <v>552</v>
      </c>
      <c r="C192" s="7">
        <v>46041</v>
      </c>
      <c r="D192" s="9" t="s">
        <v>503</v>
      </c>
      <c r="E192" s="4" t="s">
        <v>206</v>
      </c>
      <c r="F192" s="9" t="s">
        <v>242</v>
      </c>
      <c r="G192" s="9">
        <v>2</v>
      </c>
      <c r="H192" s="6" t="s">
        <v>249</v>
      </c>
      <c r="I192" s="9" t="s">
        <v>258</v>
      </c>
      <c r="J192" s="9" t="s">
        <v>145</v>
      </c>
    </row>
    <row r="193" spans="1:10">
      <c r="A193" s="5" t="s">
        <v>555</v>
      </c>
      <c r="B193" s="6" t="s">
        <v>556</v>
      </c>
      <c r="C193" s="7">
        <v>46042</v>
      </c>
      <c r="D193" s="9" t="s">
        <v>241</v>
      </c>
      <c r="E193" s="8" t="s">
        <v>28</v>
      </c>
      <c r="F193" s="9" t="s">
        <v>242</v>
      </c>
      <c r="G193" s="9">
        <v>1</v>
      </c>
      <c r="H193" s="6" t="s">
        <v>518</v>
      </c>
      <c r="I193" s="9" t="s">
        <v>289</v>
      </c>
      <c r="J193" s="9" t="s">
        <v>145</v>
      </c>
    </row>
    <row r="194" spans="1:10">
      <c r="A194" s="5" t="s">
        <v>557</v>
      </c>
      <c r="B194" s="6" t="s">
        <v>556</v>
      </c>
      <c r="C194" s="7">
        <v>46042</v>
      </c>
      <c r="D194" s="9" t="s">
        <v>241</v>
      </c>
      <c r="E194" s="8" t="s">
        <v>29</v>
      </c>
      <c r="F194" s="9" t="s">
        <v>246</v>
      </c>
      <c r="G194" s="9">
        <v>1</v>
      </c>
      <c r="H194" s="6" t="s">
        <v>518</v>
      </c>
      <c r="I194" s="9" t="s">
        <v>289</v>
      </c>
      <c r="J194" s="9" t="s">
        <v>145</v>
      </c>
    </row>
    <row r="195" spans="1:10">
      <c r="A195" s="5" t="s">
        <v>558</v>
      </c>
      <c r="B195" s="6" t="s">
        <v>559</v>
      </c>
      <c r="C195" s="7">
        <v>46043</v>
      </c>
      <c r="D195" s="9" t="s">
        <v>241</v>
      </c>
      <c r="E195" s="8" t="s">
        <v>28</v>
      </c>
      <c r="F195" s="9" t="s">
        <v>242</v>
      </c>
      <c r="G195" s="9">
        <v>1</v>
      </c>
      <c r="H195" s="6" t="s">
        <v>560</v>
      </c>
      <c r="I195" s="9" t="s">
        <v>244</v>
      </c>
      <c r="J195" s="9" t="s">
        <v>145</v>
      </c>
    </row>
    <row r="196" spans="1:10">
      <c r="A196" s="5" t="s">
        <v>561</v>
      </c>
      <c r="B196" s="6" t="s">
        <v>559</v>
      </c>
      <c r="C196" s="7">
        <v>46043</v>
      </c>
      <c r="D196" s="9" t="s">
        <v>241</v>
      </c>
      <c r="E196" s="8" t="s">
        <v>29</v>
      </c>
      <c r="F196" s="9" t="s">
        <v>246</v>
      </c>
      <c r="G196" s="9">
        <v>1</v>
      </c>
      <c r="H196" s="6" t="s">
        <v>560</v>
      </c>
      <c r="I196" s="9" t="s">
        <v>244</v>
      </c>
      <c r="J196" s="9" t="s">
        <v>145</v>
      </c>
    </row>
    <row r="197" spans="1:10">
      <c r="A197" s="5" t="s">
        <v>562</v>
      </c>
      <c r="B197" s="6" t="s">
        <v>563</v>
      </c>
      <c r="C197" s="7">
        <v>46043</v>
      </c>
      <c r="D197" s="9" t="s">
        <v>564</v>
      </c>
      <c r="E197" s="8" t="s">
        <v>565</v>
      </c>
      <c r="F197" s="9" t="s">
        <v>242</v>
      </c>
      <c r="G197" s="9">
        <v>1</v>
      </c>
      <c r="H197" s="6" t="s">
        <v>566</v>
      </c>
      <c r="I197" s="9" t="s">
        <v>532</v>
      </c>
      <c r="J197" s="9" t="s">
        <v>145</v>
      </c>
    </row>
    <row r="198" spans="1:10">
      <c r="A198" s="5" t="s">
        <v>567</v>
      </c>
      <c r="B198" s="6" t="s">
        <v>563</v>
      </c>
      <c r="C198" s="7">
        <v>46043</v>
      </c>
      <c r="D198" s="9" t="s">
        <v>564</v>
      </c>
      <c r="E198" s="4" t="s">
        <v>41</v>
      </c>
      <c r="F198" s="9" t="s">
        <v>246</v>
      </c>
      <c r="G198" s="9">
        <v>1</v>
      </c>
      <c r="H198" s="6" t="s">
        <v>566</v>
      </c>
      <c r="I198" s="9" t="s">
        <v>532</v>
      </c>
      <c r="J198" s="9" t="s">
        <v>145</v>
      </c>
    </row>
    <row r="199" spans="1:10">
      <c r="A199" s="5" t="s">
        <v>568</v>
      </c>
      <c r="B199" s="6" t="s">
        <v>563</v>
      </c>
      <c r="C199" s="7">
        <v>46043</v>
      </c>
      <c r="D199" s="9" t="s">
        <v>261</v>
      </c>
      <c r="E199" s="8" t="s">
        <v>64</v>
      </c>
      <c r="F199" s="9" t="s">
        <v>242</v>
      </c>
      <c r="G199" s="9">
        <v>1</v>
      </c>
      <c r="H199" s="6" t="s">
        <v>566</v>
      </c>
      <c r="I199" s="9" t="s">
        <v>532</v>
      </c>
      <c r="J199" s="9" t="s">
        <v>145</v>
      </c>
    </row>
    <row r="200" spans="1:10">
      <c r="A200" s="5" t="s">
        <v>569</v>
      </c>
      <c r="B200" s="6" t="s">
        <v>563</v>
      </c>
      <c r="C200" s="7">
        <v>46043</v>
      </c>
      <c r="D200" s="9" t="s">
        <v>270</v>
      </c>
      <c r="E200" s="8" t="s">
        <v>271</v>
      </c>
      <c r="F200" s="9" t="s">
        <v>242</v>
      </c>
      <c r="G200" s="9">
        <v>1</v>
      </c>
      <c r="H200" s="6" t="s">
        <v>566</v>
      </c>
      <c r="I200" s="9" t="s">
        <v>532</v>
      </c>
      <c r="J200" s="9" t="s">
        <v>145</v>
      </c>
    </row>
    <row r="201" spans="1:10">
      <c r="A201" s="5" t="s">
        <v>570</v>
      </c>
      <c r="B201" s="6" t="s">
        <v>563</v>
      </c>
      <c r="C201" s="7">
        <v>46043</v>
      </c>
      <c r="D201" s="9" t="s">
        <v>503</v>
      </c>
      <c r="E201" s="8" t="s">
        <v>160</v>
      </c>
      <c r="F201" s="9" t="s">
        <v>242</v>
      </c>
      <c r="G201" s="9">
        <v>5</v>
      </c>
      <c r="H201" s="6" t="s">
        <v>566</v>
      </c>
      <c r="I201" s="9" t="s">
        <v>532</v>
      </c>
      <c r="J201" s="9" t="s">
        <v>145</v>
      </c>
    </row>
    <row r="202" spans="1:10">
      <c r="A202" s="5" t="s">
        <v>571</v>
      </c>
      <c r="B202" s="6" t="s">
        <v>572</v>
      </c>
      <c r="C202" s="7">
        <v>46043</v>
      </c>
      <c r="D202" s="9" t="s">
        <v>564</v>
      </c>
      <c r="E202" s="8" t="s">
        <v>565</v>
      </c>
      <c r="F202" s="9" t="s">
        <v>242</v>
      </c>
      <c r="G202" s="9">
        <v>1</v>
      </c>
      <c r="H202" s="6" t="s">
        <v>566</v>
      </c>
      <c r="I202" s="9" t="s">
        <v>532</v>
      </c>
      <c r="J202" s="9" t="s">
        <v>145</v>
      </c>
    </row>
    <row r="203" spans="1:10">
      <c r="A203" s="5" t="s">
        <v>573</v>
      </c>
      <c r="B203" s="6" t="s">
        <v>572</v>
      </c>
      <c r="C203" s="7">
        <v>46043</v>
      </c>
      <c r="D203" s="9" t="s">
        <v>564</v>
      </c>
      <c r="E203" s="4" t="s">
        <v>41</v>
      </c>
      <c r="F203" s="9" t="s">
        <v>246</v>
      </c>
      <c r="G203" s="9">
        <v>1</v>
      </c>
      <c r="H203" s="6" t="s">
        <v>566</v>
      </c>
      <c r="I203" s="9" t="s">
        <v>532</v>
      </c>
      <c r="J203" s="9" t="s">
        <v>145</v>
      </c>
    </row>
    <row r="204" spans="1:10">
      <c r="A204" s="5" t="s">
        <v>574</v>
      </c>
      <c r="B204" s="6" t="s">
        <v>572</v>
      </c>
      <c r="C204" s="7">
        <v>46043</v>
      </c>
      <c r="D204" s="9" t="s">
        <v>261</v>
      </c>
      <c r="E204" s="8" t="s">
        <v>64</v>
      </c>
      <c r="F204" s="9" t="s">
        <v>242</v>
      </c>
      <c r="G204" s="9">
        <v>1</v>
      </c>
      <c r="H204" s="6" t="s">
        <v>566</v>
      </c>
      <c r="I204" s="9" t="s">
        <v>532</v>
      </c>
      <c r="J204" s="9" t="s">
        <v>145</v>
      </c>
    </row>
    <row r="205" spans="1:10">
      <c r="A205" s="5" t="s">
        <v>575</v>
      </c>
      <c r="B205" s="6" t="s">
        <v>572</v>
      </c>
      <c r="C205" s="7">
        <v>46043</v>
      </c>
      <c r="D205" s="9" t="s">
        <v>270</v>
      </c>
      <c r="E205" s="8" t="s">
        <v>271</v>
      </c>
      <c r="F205" s="9" t="s">
        <v>242</v>
      </c>
      <c r="G205" s="9">
        <v>1</v>
      </c>
      <c r="H205" s="6" t="s">
        <v>566</v>
      </c>
      <c r="I205" s="9" t="s">
        <v>532</v>
      </c>
      <c r="J205" s="9" t="s">
        <v>145</v>
      </c>
    </row>
    <row r="206" spans="1:10">
      <c r="A206" s="5" t="s">
        <v>576</v>
      </c>
      <c r="B206" s="6" t="s">
        <v>572</v>
      </c>
      <c r="C206" s="7">
        <v>46043</v>
      </c>
      <c r="D206" s="9" t="s">
        <v>503</v>
      </c>
      <c r="E206" s="8" t="s">
        <v>160</v>
      </c>
      <c r="F206" s="9" t="s">
        <v>242</v>
      </c>
      <c r="G206" s="9">
        <v>5</v>
      </c>
      <c r="H206" s="6" t="s">
        <v>566</v>
      </c>
      <c r="I206" s="9" t="s">
        <v>532</v>
      </c>
      <c r="J206" s="9" t="s">
        <v>145</v>
      </c>
    </row>
    <row r="207" spans="1:10">
      <c r="A207" s="5" t="s">
        <v>577</v>
      </c>
      <c r="B207" s="6" t="s">
        <v>578</v>
      </c>
      <c r="C207" s="7">
        <v>46043</v>
      </c>
      <c r="D207" s="9" t="s">
        <v>241</v>
      </c>
      <c r="E207" s="8" t="s">
        <v>28</v>
      </c>
      <c r="F207" s="9" t="s">
        <v>242</v>
      </c>
      <c r="G207" s="9">
        <v>1</v>
      </c>
      <c r="H207" s="6" t="s">
        <v>579</v>
      </c>
      <c r="I207" s="9" t="s">
        <v>253</v>
      </c>
      <c r="J207" s="9" t="s">
        <v>145</v>
      </c>
    </row>
    <row r="208" spans="1:10">
      <c r="A208" s="5" t="s">
        <v>580</v>
      </c>
      <c r="B208" s="6" t="s">
        <v>578</v>
      </c>
      <c r="C208" s="7">
        <v>46043</v>
      </c>
      <c r="D208" s="9" t="s">
        <v>241</v>
      </c>
      <c r="E208" s="8" t="s">
        <v>29</v>
      </c>
      <c r="F208" s="9" t="s">
        <v>246</v>
      </c>
      <c r="G208" s="9">
        <v>1</v>
      </c>
      <c r="H208" s="6" t="s">
        <v>579</v>
      </c>
      <c r="I208" s="9" t="s">
        <v>253</v>
      </c>
      <c r="J208" s="9" t="s">
        <v>145</v>
      </c>
    </row>
    <row r="209" spans="1:10">
      <c r="A209" s="5" t="s">
        <v>581</v>
      </c>
      <c r="B209" s="6" t="s">
        <v>582</v>
      </c>
      <c r="C209" s="7">
        <v>46044</v>
      </c>
      <c r="D209" s="9" t="s">
        <v>241</v>
      </c>
      <c r="E209" s="8" t="s">
        <v>28</v>
      </c>
      <c r="F209" s="9" t="s">
        <v>242</v>
      </c>
      <c r="G209" s="9">
        <v>1</v>
      </c>
      <c r="H209" s="6" t="s">
        <v>243</v>
      </c>
      <c r="I209" s="9" t="s">
        <v>244</v>
      </c>
      <c r="J209" s="9" t="s">
        <v>145</v>
      </c>
    </row>
    <row r="210" spans="1:10">
      <c r="A210" s="5" t="s">
        <v>583</v>
      </c>
      <c r="B210" s="6" t="s">
        <v>582</v>
      </c>
      <c r="C210" s="7">
        <v>46044</v>
      </c>
      <c r="D210" s="9" t="s">
        <v>241</v>
      </c>
      <c r="E210" s="8" t="s">
        <v>29</v>
      </c>
      <c r="F210" s="9" t="s">
        <v>246</v>
      </c>
      <c r="G210" s="9">
        <v>1</v>
      </c>
      <c r="H210" s="6" t="s">
        <v>243</v>
      </c>
      <c r="I210" s="9" t="s">
        <v>244</v>
      </c>
      <c r="J210" s="9" t="s">
        <v>145</v>
      </c>
    </row>
    <row r="211" spans="1:10">
      <c r="A211" s="5" t="s">
        <v>584</v>
      </c>
      <c r="B211" s="6" t="s">
        <v>585</v>
      </c>
      <c r="C211" s="7">
        <v>46044</v>
      </c>
      <c r="D211" s="9" t="s">
        <v>241</v>
      </c>
      <c r="E211" s="8" t="s">
        <v>28</v>
      </c>
      <c r="F211" s="9" t="s">
        <v>586</v>
      </c>
      <c r="G211" s="9">
        <v>1</v>
      </c>
      <c r="H211" s="6" t="s">
        <v>587</v>
      </c>
      <c r="I211" s="9" t="s">
        <v>284</v>
      </c>
      <c r="J211" s="9" t="s">
        <v>145</v>
      </c>
    </row>
    <row r="212" spans="1:10">
      <c r="A212" s="5" t="s">
        <v>588</v>
      </c>
      <c r="B212" s="6" t="s">
        <v>589</v>
      </c>
      <c r="C212" s="7">
        <v>46045</v>
      </c>
      <c r="D212" s="9" t="s">
        <v>241</v>
      </c>
      <c r="E212" s="8" t="s">
        <v>28</v>
      </c>
      <c r="F212" s="9" t="s">
        <v>242</v>
      </c>
      <c r="G212" s="9">
        <v>1</v>
      </c>
      <c r="H212" s="6" t="s">
        <v>590</v>
      </c>
      <c r="I212" s="9" t="s">
        <v>284</v>
      </c>
      <c r="J212" s="9" t="s">
        <v>145</v>
      </c>
    </row>
    <row r="213" spans="1:10">
      <c r="A213" s="5" t="s">
        <v>591</v>
      </c>
      <c r="B213" s="6" t="s">
        <v>589</v>
      </c>
      <c r="C213" s="7">
        <v>46045</v>
      </c>
      <c r="D213" s="9" t="s">
        <v>241</v>
      </c>
      <c r="E213" s="8" t="s">
        <v>29</v>
      </c>
      <c r="F213" s="9" t="s">
        <v>246</v>
      </c>
      <c r="G213" s="9">
        <v>1</v>
      </c>
      <c r="H213" s="6" t="s">
        <v>590</v>
      </c>
      <c r="I213" s="9" t="s">
        <v>284</v>
      </c>
      <c r="J213" s="9" t="s">
        <v>145</v>
      </c>
    </row>
    <row r="214" spans="1:10">
      <c r="A214" s="5" t="s">
        <v>592</v>
      </c>
      <c r="B214" s="6" t="s">
        <v>589</v>
      </c>
      <c r="C214" s="7">
        <v>46045</v>
      </c>
      <c r="D214" s="9" t="s">
        <v>261</v>
      </c>
      <c r="E214" s="8" t="s">
        <v>281</v>
      </c>
      <c r="F214" s="9" t="s">
        <v>242</v>
      </c>
      <c r="G214" s="9">
        <v>2</v>
      </c>
      <c r="H214" s="6" t="s">
        <v>590</v>
      </c>
      <c r="I214" s="9" t="s">
        <v>284</v>
      </c>
      <c r="J214" s="9" t="s">
        <v>145</v>
      </c>
    </row>
    <row r="215" spans="1:10">
      <c r="A215" s="5" t="s">
        <v>593</v>
      </c>
      <c r="B215" s="6" t="s">
        <v>594</v>
      </c>
      <c r="C215" s="7">
        <v>46045</v>
      </c>
      <c r="D215" s="9" t="s">
        <v>241</v>
      </c>
      <c r="E215" s="8" t="s">
        <v>28</v>
      </c>
      <c r="F215" s="9" t="s">
        <v>242</v>
      </c>
      <c r="G215" s="9">
        <v>1</v>
      </c>
      <c r="H215" s="6" t="s">
        <v>579</v>
      </c>
      <c r="I215" s="9" t="s">
        <v>357</v>
      </c>
      <c r="J215" s="9" t="s">
        <v>145</v>
      </c>
    </row>
    <row r="216" spans="1:10">
      <c r="A216" s="5" t="s">
        <v>595</v>
      </c>
      <c r="B216" s="6" t="s">
        <v>594</v>
      </c>
      <c r="C216" s="7">
        <v>46045</v>
      </c>
      <c r="D216" s="9" t="s">
        <v>241</v>
      </c>
      <c r="E216" s="8" t="s">
        <v>29</v>
      </c>
      <c r="F216" s="9" t="s">
        <v>246</v>
      </c>
      <c r="G216" s="9">
        <v>1</v>
      </c>
      <c r="H216" s="6" t="s">
        <v>579</v>
      </c>
      <c r="I216" s="9" t="s">
        <v>357</v>
      </c>
      <c r="J216" s="9" t="s">
        <v>145</v>
      </c>
    </row>
    <row r="217" spans="1:10">
      <c r="A217" s="5" t="s">
        <v>596</v>
      </c>
      <c r="B217" s="6" t="s">
        <v>597</v>
      </c>
      <c r="C217" s="7">
        <v>46045</v>
      </c>
      <c r="D217" s="9" t="s">
        <v>241</v>
      </c>
      <c r="E217" s="8" t="s">
        <v>28</v>
      </c>
      <c r="F217" s="9" t="s">
        <v>242</v>
      </c>
      <c r="G217" s="9">
        <v>1</v>
      </c>
      <c r="H217" s="6" t="s">
        <v>598</v>
      </c>
      <c r="I217" s="9" t="s">
        <v>514</v>
      </c>
      <c r="J217" s="9" t="s">
        <v>145</v>
      </c>
    </row>
    <row r="218" spans="1:10">
      <c r="A218" s="5" t="s">
        <v>599</v>
      </c>
      <c r="B218" s="6" t="s">
        <v>597</v>
      </c>
      <c r="C218" s="7">
        <v>46045</v>
      </c>
      <c r="D218" s="9" t="s">
        <v>241</v>
      </c>
      <c r="E218" s="8" t="s">
        <v>27</v>
      </c>
      <c r="F218" s="9" t="s">
        <v>246</v>
      </c>
      <c r="G218" s="9">
        <v>1</v>
      </c>
      <c r="H218" s="6" t="s">
        <v>598</v>
      </c>
      <c r="I218" s="9" t="s">
        <v>514</v>
      </c>
      <c r="J218" s="9" t="s">
        <v>145</v>
      </c>
    </row>
    <row r="219" spans="1:10">
      <c r="A219" s="5" t="s">
        <v>600</v>
      </c>
      <c r="B219" s="6" t="s">
        <v>601</v>
      </c>
      <c r="C219" s="7">
        <v>46045</v>
      </c>
      <c r="D219" s="9" t="s">
        <v>241</v>
      </c>
      <c r="E219" s="8" t="s">
        <v>28</v>
      </c>
      <c r="F219" s="9" t="s">
        <v>242</v>
      </c>
      <c r="G219" s="9">
        <v>1</v>
      </c>
      <c r="H219" s="6" t="s">
        <v>328</v>
      </c>
      <c r="I219" s="9" t="s">
        <v>415</v>
      </c>
      <c r="J219" s="9" t="s">
        <v>145</v>
      </c>
    </row>
    <row r="220" spans="1:10">
      <c r="A220" s="5" t="s">
        <v>602</v>
      </c>
      <c r="B220" s="6" t="s">
        <v>601</v>
      </c>
      <c r="C220" s="7">
        <v>46045</v>
      </c>
      <c r="D220" s="9" t="s">
        <v>241</v>
      </c>
      <c r="E220" s="8" t="s">
        <v>29</v>
      </c>
      <c r="F220" s="9" t="s">
        <v>246</v>
      </c>
      <c r="G220" s="9">
        <v>1</v>
      </c>
      <c r="H220" s="6" t="s">
        <v>328</v>
      </c>
      <c r="I220" s="9" t="s">
        <v>415</v>
      </c>
      <c r="J220" s="9" t="s">
        <v>145</v>
      </c>
    </row>
    <row r="221" spans="1:10">
      <c r="A221" s="5" t="s">
        <v>603</v>
      </c>
      <c r="B221" s="6" t="s">
        <v>604</v>
      </c>
      <c r="C221" s="7">
        <v>46045</v>
      </c>
      <c r="D221" s="9" t="s">
        <v>241</v>
      </c>
      <c r="E221" s="8" t="s">
        <v>28</v>
      </c>
      <c r="F221" s="9" t="s">
        <v>242</v>
      </c>
      <c r="G221" s="9">
        <v>1</v>
      </c>
      <c r="H221" s="6" t="s">
        <v>423</v>
      </c>
      <c r="I221" s="9" t="s">
        <v>605</v>
      </c>
      <c r="J221" s="9" t="s">
        <v>145</v>
      </c>
    </row>
    <row r="222" spans="1:10">
      <c r="A222" s="5" t="s">
        <v>606</v>
      </c>
      <c r="B222" s="6" t="s">
        <v>604</v>
      </c>
      <c r="C222" s="7">
        <v>46045</v>
      </c>
      <c r="D222" s="9" t="s">
        <v>241</v>
      </c>
      <c r="E222" s="8" t="s">
        <v>28</v>
      </c>
      <c r="F222" s="9" t="s">
        <v>246</v>
      </c>
      <c r="G222" s="9">
        <v>1</v>
      </c>
      <c r="H222" s="6" t="s">
        <v>423</v>
      </c>
      <c r="I222" s="9" t="s">
        <v>605</v>
      </c>
      <c r="J222" s="9" t="s">
        <v>145</v>
      </c>
    </row>
    <row r="223" spans="1:10">
      <c r="A223" s="5" t="s">
        <v>607</v>
      </c>
      <c r="B223" s="6" t="s">
        <v>608</v>
      </c>
      <c r="C223" s="7">
        <v>46045</v>
      </c>
      <c r="D223" s="9" t="s">
        <v>241</v>
      </c>
      <c r="E223" s="8" t="s">
        <v>28</v>
      </c>
      <c r="F223" s="9" t="s">
        <v>242</v>
      </c>
      <c r="G223" s="9">
        <v>1</v>
      </c>
      <c r="H223" s="6" t="s">
        <v>257</v>
      </c>
      <c r="I223" s="9" t="s">
        <v>609</v>
      </c>
      <c r="J223" s="9" t="s">
        <v>145</v>
      </c>
    </row>
    <row r="224" spans="1:10">
      <c r="A224" s="5" t="s">
        <v>610</v>
      </c>
      <c r="B224" s="6" t="s">
        <v>608</v>
      </c>
      <c r="C224" s="7">
        <v>46045</v>
      </c>
      <c r="D224" s="9" t="s">
        <v>241</v>
      </c>
      <c r="E224" s="4" t="s">
        <v>27</v>
      </c>
      <c r="F224" s="9" t="s">
        <v>246</v>
      </c>
      <c r="G224" s="9">
        <v>1</v>
      </c>
      <c r="H224" s="6" t="s">
        <v>257</v>
      </c>
      <c r="I224" s="9" t="s">
        <v>609</v>
      </c>
      <c r="J224" s="9" t="s">
        <v>145</v>
      </c>
    </row>
    <row r="225" spans="1:10">
      <c r="A225" s="5" t="s">
        <v>611</v>
      </c>
      <c r="B225" s="6" t="s">
        <v>608</v>
      </c>
      <c r="C225" s="7">
        <v>46045</v>
      </c>
      <c r="D225" s="9" t="s">
        <v>261</v>
      </c>
      <c r="E225" s="8" t="s">
        <v>281</v>
      </c>
      <c r="F225" s="9" t="s">
        <v>242</v>
      </c>
      <c r="G225" s="9">
        <v>4</v>
      </c>
      <c r="H225" s="6" t="s">
        <v>257</v>
      </c>
      <c r="I225" s="9" t="s">
        <v>609</v>
      </c>
      <c r="J225" s="9" t="s">
        <v>145</v>
      </c>
    </row>
    <row r="226" spans="1:10">
      <c r="A226" s="5" t="s">
        <v>612</v>
      </c>
      <c r="B226" s="6" t="s">
        <v>608</v>
      </c>
      <c r="C226" s="7">
        <v>46045</v>
      </c>
      <c r="D226" s="9" t="s">
        <v>261</v>
      </c>
      <c r="E226" s="8" t="s">
        <v>62</v>
      </c>
      <c r="F226" s="9" t="s">
        <v>242</v>
      </c>
      <c r="G226" s="9">
        <v>1</v>
      </c>
      <c r="H226" s="6" t="s">
        <v>257</v>
      </c>
      <c r="I226" s="9" t="s">
        <v>609</v>
      </c>
      <c r="J226" s="9" t="s">
        <v>145</v>
      </c>
    </row>
    <row r="227" spans="1:10">
      <c r="A227" s="5" t="s">
        <v>613</v>
      </c>
      <c r="B227" s="6" t="s">
        <v>614</v>
      </c>
      <c r="C227" s="7">
        <v>46048</v>
      </c>
      <c r="D227" s="9" t="s">
        <v>241</v>
      </c>
      <c r="E227" s="8" t="s">
        <v>28</v>
      </c>
      <c r="F227" s="9" t="s">
        <v>242</v>
      </c>
      <c r="G227" s="9">
        <v>1</v>
      </c>
      <c r="H227" s="6" t="s">
        <v>615</v>
      </c>
      <c r="I227" s="9" t="s">
        <v>616</v>
      </c>
      <c r="J227" s="9" t="s">
        <v>145</v>
      </c>
    </row>
    <row r="228" spans="1:10">
      <c r="A228" s="5" t="s">
        <v>617</v>
      </c>
      <c r="B228" s="6" t="s">
        <v>614</v>
      </c>
      <c r="C228" s="7">
        <v>46048</v>
      </c>
      <c r="D228" s="9" t="s">
        <v>241</v>
      </c>
      <c r="E228" s="4" t="s">
        <v>29</v>
      </c>
      <c r="F228" s="9" t="s">
        <v>246</v>
      </c>
      <c r="G228" s="9">
        <v>1</v>
      </c>
      <c r="H228" s="6" t="s">
        <v>615</v>
      </c>
      <c r="I228" s="9" t="s">
        <v>616</v>
      </c>
      <c r="J228" s="9" t="s">
        <v>145</v>
      </c>
    </row>
    <row r="229" spans="1:10">
      <c r="A229" s="5" t="s">
        <v>618</v>
      </c>
      <c r="B229" s="6" t="s">
        <v>619</v>
      </c>
      <c r="C229" s="7">
        <v>46048</v>
      </c>
      <c r="D229" s="9" t="s">
        <v>241</v>
      </c>
      <c r="E229" s="8" t="s">
        <v>28</v>
      </c>
      <c r="F229" s="9" t="s">
        <v>242</v>
      </c>
      <c r="G229" s="9">
        <v>1</v>
      </c>
      <c r="H229" s="6" t="s">
        <v>423</v>
      </c>
      <c r="I229" s="9" t="s">
        <v>289</v>
      </c>
      <c r="J229" s="9" t="s">
        <v>145</v>
      </c>
    </row>
    <row r="230" spans="1:10">
      <c r="A230" s="5" t="s">
        <v>620</v>
      </c>
      <c r="B230" s="6" t="s">
        <v>619</v>
      </c>
      <c r="C230" s="7">
        <v>46048</v>
      </c>
      <c r="D230" s="9" t="s">
        <v>241</v>
      </c>
      <c r="E230" s="4" t="s">
        <v>27</v>
      </c>
      <c r="F230" s="9" t="s">
        <v>246</v>
      </c>
      <c r="G230" s="9">
        <v>1</v>
      </c>
      <c r="H230" s="6" t="s">
        <v>423</v>
      </c>
      <c r="I230" s="9" t="s">
        <v>289</v>
      </c>
      <c r="J230" s="9" t="s">
        <v>145</v>
      </c>
    </row>
    <row r="231" spans="1:10">
      <c r="A231" s="5" t="s">
        <v>621</v>
      </c>
      <c r="B231" s="6" t="s">
        <v>622</v>
      </c>
      <c r="C231" s="7">
        <v>46048</v>
      </c>
      <c r="D231" s="9" t="s">
        <v>241</v>
      </c>
      <c r="E231" s="8" t="s">
        <v>28</v>
      </c>
      <c r="F231" s="9" t="s">
        <v>242</v>
      </c>
      <c r="G231" s="9">
        <v>1</v>
      </c>
      <c r="H231" s="6" t="s">
        <v>623</v>
      </c>
      <c r="I231" s="9" t="s">
        <v>258</v>
      </c>
      <c r="J231" s="9" t="s">
        <v>145</v>
      </c>
    </row>
    <row r="232" spans="1:10">
      <c r="A232" s="5" t="s">
        <v>624</v>
      </c>
      <c r="B232" s="6" t="s">
        <v>622</v>
      </c>
      <c r="C232" s="7">
        <v>46048</v>
      </c>
      <c r="D232" s="9" t="s">
        <v>241</v>
      </c>
      <c r="E232" s="4" t="s">
        <v>27</v>
      </c>
      <c r="F232" s="9" t="s">
        <v>246</v>
      </c>
      <c r="G232" s="9">
        <v>1</v>
      </c>
      <c r="H232" s="6" t="s">
        <v>623</v>
      </c>
      <c r="I232" s="9" t="s">
        <v>258</v>
      </c>
      <c r="J232" s="9" t="s">
        <v>145</v>
      </c>
    </row>
    <row r="233" spans="1:10">
      <c r="A233" s="5" t="s">
        <v>625</v>
      </c>
      <c r="B233" s="6" t="s">
        <v>622</v>
      </c>
      <c r="C233" s="7">
        <v>46048</v>
      </c>
      <c r="D233" s="9" t="s">
        <v>261</v>
      </c>
      <c r="E233" s="8" t="s">
        <v>62</v>
      </c>
      <c r="F233" s="9" t="s">
        <v>242</v>
      </c>
      <c r="G233" s="9">
        <v>2</v>
      </c>
      <c r="H233" s="6" t="s">
        <v>623</v>
      </c>
      <c r="I233" s="9" t="s">
        <v>258</v>
      </c>
      <c r="J233" s="9" t="s">
        <v>145</v>
      </c>
    </row>
    <row r="234" spans="1:10">
      <c r="A234" s="5" t="s">
        <v>626</v>
      </c>
      <c r="B234" s="6" t="s">
        <v>627</v>
      </c>
      <c r="C234" s="7">
        <v>46049</v>
      </c>
      <c r="D234" s="9" t="s">
        <v>241</v>
      </c>
      <c r="E234" s="8" t="s">
        <v>28</v>
      </c>
      <c r="F234" s="9" t="s">
        <v>242</v>
      </c>
      <c r="G234" s="9">
        <v>1</v>
      </c>
      <c r="H234" s="6" t="s">
        <v>328</v>
      </c>
      <c r="I234" s="9" t="s">
        <v>628</v>
      </c>
      <c r="J234" s="9" t="s">
        <v>145</v>
      </c>
    </row>
    <row r="235" spans="1:10">
      <c r="A235" s="5" t="s">
        <v>629</v>
      </c>
      <c r="B235" s="6" t="s">
        <v>627</v>
      </c>
      <c r="C235" s="7">
        <v>46049</v>
      </c>
      <c r="D235" s="9" t="s">
        <v>241</v>
      </c>
      <c r="E235" s="8" t="s">
        <v>29</v>
      </c>
      <c r="F235" s="9" t="s">
        <v>246</v>
      </c>
      <c r="G235" s="9">
        <v>1</v>
      </c>
      <c r="H235" s="6" t="s">
        <v>328</v>
      </c>
      <c r="I235" s="9" t="s">
        <v>628</v>
      </c>
      <c r="J235" s="9" t="s">
        <v>145</v>
      </c>
    </row>
    <row r="236" spans="1:10">
      <c r="A236" s="5" t="s">
        <v>630</v>
      </c>
      <c r="B236" s="6" t="s">
        <v>627</v>
      </c>
      <c r="C236" s="7">
        <v>46049</v>
      </c>
      <c r="D236" s="9" t="s">
        <v>261</v>
      </c>
      <c r="E236" s="4" t="s">
        <v>281</v>
      </c>
      <c r="F236" s="9" t="s">
        <v>242</v>
      </c>
      <c r="G236" s="9">
        <v>2</v>
      </c>
      <c r="H236" s="6" t="s">
        <v>328</v>
      </c>
      <c r="I236" s="9" t="s">
        <v>628</v>
      </c>
      <c r="J236" s="9" t="s">
        <v>145</v>
      </c>
    </row>
    <row r="237" spans="1:10">
      <c r="A237" s="5" t="s">
        <v>631</v>
      </c>
      <c r="B237" s="6" t="s">
        <v>632</v>
      </c>
      <c r="C237" s="7">
        <v>46049</v>
      </c>
      <c r="D237" s="9" t="s">
        <v>241</v>
      </c>
      <c r="E237" s="8" t="s">
        <v>28</v>
      </c>
      <c r="F237" s="9" t="s">
        <v>242</v>
      </c>
      <c r="G237" s="9">
        <v>2</v>
      </c>
      <c r="H237" s="6" t="s">
        <v>633</v>
      </c>
      <c r="I237" s="9" t="s">
        <v>289</v>
      </c>
      <c r="J237" s="9" t="s">
        <v>145</v>
      </c>
    </row>
    <row r="238" spans="1:10">
      <c r="A238" s="5" t="s">
        <v>634</v>
      </c>
      <c r="B238" s="6" t="s">
        <v>632</v>
      </c>
      <c r="C238" s="7">
        <v>46049</v>
      </c>
      <c r="D238" s="9" t="s">
        <v>241</v>
      </c>
      <c r="E238" s="8" t="s">
        <v>27</v>
      </c>
      <c r="F238" s="9" t="s">
        <v>246</v>
      </c>
      <c r="G238" s="9">
        <v>1</v>
      </c>
      <c r="H238" s="6" t="s">
        <v>633</v>
      </c>
      <c r="I238" s="9" t="s">
        <v>289</v>
      </c>
      <c r="J238" s="9" t="s">
        <v>145</v>
      </c>
    </row>
    <row r="239" spans="1:10">
      <c r="A239" s="5" t="s">
        <v>635</v>
      </c>
      <c r="B239" s="6" t="s">
        <v>636</v>
      </c>
      <c r="C239" s="7">
        <v>46049</v>
      </c>
      <c r="D239" s="9" t="s">
        <v>241</v>
      </c>
      <c r="E239" s="8" t="s">
        <v>28</v>
      </c>
      <c r="F239" s="9" t="s">
        <v>242</v>
      </c>
      <c r="G239" s="9">
        <v>1</v>
      </c>
      <c r="H239" s="6" t="s">
        <v>243</v>
      </c>
      <c r="I239" s="9" t="s">
        <v>289</v>
      </c>
      <c r="J239" s="9" t="s">
        <v>145</v>
      </c>
    </row>
    <row r="240" spans="1:10">
      <c r="A240" s="5" t="s">
        <v>637</v>
      </c>
      <c r="B240" s="6" t="s">
        <v>636</v>
      </c>
      <c r="C240" s="7">
        <v>46049</v>
      </c>
      <c r="D240" s="9" t="s">
        <v>241</v>
      </c>
      <c r="E240" s="8" t="s">
        <v>27</v>
      </c>
      <c r="F240" s="9" t="s">
        <v>246</v>
      </c>
      <c r="G240" s="9">
        <v>1</v>
      </c>
      <c r="H240" s="6" t="s">
        <v>243</v>
      </c>
      <c r="I240" s="9" t="s">
        <v>289</v>
      </c>
      <c r="J240" s="9" t="s">
        <v>145</v>
      </c>
    </row>
    <row r="241" spans="1:10">
      <c r="A241" s="5" t="s">
        <v>638</v>
      </c>
      <c r="B241" s="6" t="s">
        <v>639</v>
      </c>
      <c r="C241" s="7">
        <v>46049</v>
      </c>
      <c r="D241" s="9" t="s">
        <v>241</v>
      </c>
      <c r="E241" s="4" t="s">
        <v>28</v>
      </c>
      <c r="F241" s="9" t="s">
        <v>242</v>
      </c>
      <c r="G241" s="9">
        <v>1</v>
      </c>
      <c r="H241" s="6" t="s">
        <v>367</v>
      </c>
      <c r="I241" s="9" t="s">
        <v>388</v>
      </c>
      <c r="J241" s="9" t="s">
        <v>145</v>
      </c>
    </row>
    <row r="242" spans="1:10">
      <c r="A242" s="5" t="s">
        <v>640</v>
      </c>
      <c r="B242" s="6" t="s">
        <v>639</v>
      </c>
      <c r="C242" s="7">
        <v>46049</v>
      </c>
      <c r="D242" s="9" t="s">
        <v>241</v>
      </c>
      <c r="E242" s="4" t="s">
        <v>27</v>
      </c>
      <c r="F242" s="9" t="s">
        <v>246</v>
      </c>
      <c r="G242" s="9">
        <v>1</v>
      </c>
      <c r="H242" s="6" t="s">
        <v>367</v>
      </c>
      <c r="I242" s="9" t="s">
        <v>388</v>
      </c>
      <c r="J242" s="9" t="s">
        <v>145</v>
      </c>
    </row>
    <row r="243" spans="1:10">
      <c r="A243" s="5" t="s">
        <v>641</v>
      </c>
      <c r="B243" s="6" t="s">
        <v>639</v>
      </c>
      <c r="C243" s="7">
        <v>46049</v>
      </c>
      <c r="D243" s="9" t="s">
        <v>261</v>
      </c>
      <c r="E243" s="8" t="s">
        <v>62</v>
      </c>
      <c r="F243" s="9" t="s">
        <v>242</v>
      </c>
      <c r="G243" s="9">
        <v>1</v>
      </c>
      <c r="H243" s="6" t="s">
        <v>367</v>
      </c>
      <c r="I243" s="9" t="s">
        <v>388</v>
      </c>
      <c r="J243" s="9" t="s">
        <v>145</v>
      </c>
    </row>
    <row r="244" spans="1:10">
      <c r="A244" s="5" t="s">
        <v>642</v>
      </c>
      <c r="B244" s="6" t="s">
        <v>643</v>
      </c>
      <c r="C244" s="7">
        <v>46049</v>
      </c>
      <c r="D244" s="9" t="s">
        <v>299</v>
      </c>
      <c r="E244" s="8" t="s">
        <v>22</v>
      </c>
      <c r="F244" s="9" t="s">
        <v>242</v>
      </c>
      <c r="G244" s="9">
        <v>1</v>
      </c>
      <c r="H244" s="6" t="s">
        <v>249</v>
      </c>
      <c r="I244" s="9" t="s">
        <v>388</v>
      </c>
      <c r="J244" s="9" t="s">
        <v>145</v>
      </c>
    </row>
    <row r="245" spans="1:10">
      <c r="A245" s="5" t="s">
        <v>644</v>
      </c>
      <c r="B245" s="6" t="s">
        <v>643</v>
      </c>
      <c r="C245" s="7">
        <v>46049</v>
      </c>
      <c r="D245" s="9" t="s">
        <v>299</v>
      </c>
      <c r="E245" s="4" t="s">
        <v>22</v>
      </c>
      <c r="F245" s="9" t="s">
        <v>246</v>
      </c>
      <c r="G245" s="9">
        <v>1</v>
      </c>
      <c r="H245" s="6" t="s">
        <v>249</v>
      </c>
      <c r="I245" s="9" t="s">
        <v>388</v>
      </c>
      <c r="J245" s="9" t="s">
        <v>145</v>
      </c>
    </row>
    <row r="246" spans="1:10">
      <c r="A246" s="5" t="s">
        <v>645</v>
      </c>
      <c r="B246" s="6" t="s">
        <v>646</v>
      </c>
      <c r="C246" s="7">
        <v>46049</v>
      </c>
      <c r="D246" s="9" t="s">
        <v>241</v>
      </c>
      <c r="E246" s="8" t="s">
        <v>28</v>
      </c>
      <c r="F246" s="9" t="s">
        <v>242</v>
      </c>
      <c r="G246" s="9">
        <v>1</v>
      </c>
      <c r="H246" s="6" t="s">
        <v>249</v>
      </c>
      <c r="I246" s="9" t="s">
        <v>253</v>
      </c>
      <c r="J246" s="9" t="s">
        <v>145</v>
      </c>
    </row>
    <row r="247" spans="1:10">
      <c r="A247" s="5" t="s">
        <v>647</v>
      </c>
      <c r="B247" s="6" t="s">
        <v>646</v>
      </c>
      <c r="C247" s="7">
        <v>46049</v>
      </c>
      <c r="D247" s="9" t="s">
        <v>241</v>
      </c>
      <c r="E247" s="8" t="s">
        <v>29</v>
      </c>
      <c r="F247" s="9" t="s">
        <v>246</v>
      </c>
      <c r="G247" s="9">
        <v>1</v>
      </c>
      <c r="H247" s="6" t="s">
        <v>249</v>
      </c>
      <c r="I247" s="9" t="s">
        <v>253</v>
      </c>
      <c r="J247" s="9" t="s">
        <v>145</v>
      </c>
    </row>
    <row r="248" spans="1:10">
      <c r="A248" s="5" t="s">
        <v>648</v>
      </c>
      <c r="B248" s="6" t="s">
        <v>649</v>
      </c>
      <c r="C248" s="7">
        <v>46049</v>
      </c>
      <c r="D248" s="9" t="s">
        <v>299</v>
      </c>
      <c r="E248" s="8" t="s">
        <v>22</v>
      </c>
      <c r="F248" s="9" t="s">
        <v>242</v>
      </c>
      <c r="G248" s="9">
        <v>1</v>
      </c>
      <c r="H248" s="6" t="s">
        <v>650</v>
      </c>
      <c r="I248" s="9" t="s">
        <v>609</v>
      </c>
      <c r="J248" s="9" t="s">
        <v>145</v>
      </c>
    </row>
    <row r="249" spans="1:10">
      <c r="A249" s="5" t="s">
        <v>651</v>
      </c>
      <c r="B249" s="6" t="s">
        <v>649</v>
      </c>
      <c r="C249" s="7">
        <v>46049</v>
      </c>
      <c r="D249" s="9" t="s">
        <v>299</v>
      </c>
      <c r="E249" s="8" t="s">
        <v>22</v>
      </c>
      <c r="F249" s="9" t="s">
        <v>246</v>
      </c>
      <c r="G249" s="9">
        <v>1</v>
      </c>
      <c r="H249" s="6" t="s">
        <v>650</v>
      </c>
      <c r="I249" s="9" t="s">
        <v>609</v>
      </c>
      <c r="J249" s="9" t="s">
        <v>145</v>
      </c>
    </row>
    <row r="250" spans="1:10">
      <c r="A250" s="5" t="s">
        <v>652</v>
      </c>
      <c r="B250" s="6" t="s">
        <v>653</v>
      </c>
      <c r="C250" s="7">
        <v>46048</v>
      </c>
      <c r="D250" s="9" t="s">
        <v>299</v>
      </c>
      <c r="E250" s="4" t="s">
        <v>376</v>
      </c>
      <c r="F250" s="9" t="s">
        <v>242</v>
      </c>
      <c r="G250" s="9">
        <v>1</v>
      </c>
      <c r="H250" s="6" t="s">
        <v>526</v>
      </c>
      <c r="I250" s="9" t="s">
        <v>609</v>
      </c>
      <c r="J250" s="9" t="s">
        <v>145</v>
      </c>
    </row>
    <row r="251" spans="1:10">
      <c r="A251" s="5" t="s">
        <v>654</v>
      </c>
      <c r="B251" s="6" t="s">
        <v>653</v>
      </c>
      <c r="C251" s="7">
        <v>46048</v>
      </c>
      <c r="D251" s="9" t="s">
        <v>299</v>
      </c>
      <c r="E251" s="8" t="s">
        <v>376</v>
      </c>
      <c r="F251" s="9" t="s">
        <v>246</v>
      </c>
      <c r="G251" s="9">
        <v>1</v>
      </c>
      <c r="H251" s="6" t="s">
        <v>526</v>
      </c>
      <c r="I251" s="9" t="s">
        <v>609</v>
      </c>
      <c r="J251" s="9" t="s">
        <v>145</v>
      </c>
    </row>
    <row r="252" spans="1:10">
      <c r="A252" s="5" t="s">
        <v>655</v>
      </c>
      <c r="B252" s="6" t="s">
        <v>656</v>
      </c>
      <c r="C252" s="7">
        <v>46049</v>
      </c>
      <c r="D252" s="9" t="s">
        <v>1</v>
      </c>
      <c r="E252" s="8" t="s">
        <v>657</v>
      </c>
      <c r="F252" s="9" t="s">
        <v>242</v>
      </c>
      <c r="G252" s="9">
        <v>1</v>
      </c>
      <c r="H252" s="6" t="s">
        <v>243</v>
      </c>
      <c r="I252" s="9" t="s">
        <v>311</v>
      </c>
      <c r="J252" s="9" t="s">
        <v>145</v>
      </c>
    </row>
    <row r="253" spans="1:10">
      <c r="A253" s="5" t="s">
        <v>658</v>
      </c>
      <c r="B253" s="6" t="s">
        <v>656</v>
      </c>
      <c r="C253" s="7">
        <v>46049</v>
      </c>
      <c r="D253" s="9" t="s">
        <v>1</v>
      </c>
      <c r="E253" s="8" t="s">
        <v>659</v>
      </c>
      <c r="F253" s="9" t="s">
        <v>246</v>
      </c>
      <c r="G253" s="9">
        <v>1</v>
      </c>
      <c r="H253" s="6" t="s">
        <v>243</v>
      </c>
      <c r="I253" s="9" t="s">
        <v>311</v>
      </c>
      <c r="J253" s="9" t="s">
        <v>145</v>
      </c>
    </row>
    <row r="254" spans="1:10">
      <c r="A254" s="5" t="s">
        <v>660</v>
      </c>
      <c r="B254" s="6" t="s">
        <v>656</v>
      </c>
      <c r="C254" s="7">
        <v>46049</v>
      </c>
      <c r="D254" s="9" t="s">
        <v>261</v>
      </c>
      <c r="E254" s="8" t="s">
        <v>64</v>
      </c>
      <c r="F254" s="9" t="s">
        <v>242</v>
      </c>
      <c r="G254" s="9">
        <v>4</v>
      </c>
      <c r="H254" s="6" t="s">
        <v>243</v>
      </c>
      <c r="I254" s="9" t="s">
        <v>311</v>
      </c>
      <c r="J254" s="9" t="s">
        <v>145</v>
      </c>
    </row>
    <row r="255" spans="1:10">
      <c r="A255" s="5" t="s">
        <v>661</v>
      </c>
      <c r="B255" s="6" t="s">
        <v>656</v>
      </c>
      <c r="C255" s="7">
        <v>46049</v>
      </c>
      <c r="D255" s="9" t="s">
        <v>270</v>
      </c>
      <c r="E255" s="8" t="s">
        <v>271</v>
      </c>
      <c r="F255" s="9" t="s">
        <v>242</v>
      </c>
      <c r="G255" s="9">
        <v>4</v>
      </c>
      <c r="H255" s="6" t="s">
        <v>243</v>
      </c>
      <c r="I255" s="9" t="s">
        <v>311</v>
      </c>
      <c r="J255" s="9" t="s">
        <v>145</v>
      </c>
    </row>
    <row r="256" spans="1:10">
      <c r="A256" s="5" t="s">
        <v>662</v>
      </c>
      <c r="B256" s="6" t="s">
        <v>656</v>
      </c>
      <c r="C256" s="7">
        <v>46049</v>
      </c>
      <c r="D256" s="9" t="s">
        <v>270</v>
      </c>
      <c r="E256" s="8" t="s">
        <v>663</v>
      </c>
      <c r="F256" s="9" t="s">
        <v>242</v>
      </c>
      <c r="G256" s="9">
        <v>1</v>
      </c>
      <c r="H256" s="6" t="s">
        <v>243</v>
      </c>
      <c r="I256" s="9" t="s">
        <v>311</v>
      </c>
      <c r="J256" s="9" t="s">
        <v>145</v>
      </c>
    </row>
    <row r="257" spans="1:10">
      <c r="A257" s="5" t="s">
        <v>664</v>
      </c>
      <c r="B257" s="6" t="s">
        <v>656</v>
      </c>
      <c r="C257" s="7">
        <v>46049</v>
      </c>
      <c r="D257" s="9" t="s">
        <v>665</v>
      </c>
      <c r="E257" s="8" t="s">
        <v>666</v>
      </c>
      <c r="F257" s="9" t="s">
        <v>242</v>
      </c>
      <c r="G257" s="9">
        <v>1</v>
      </c>
      <c r="H257" s="6" t="s">
        <v>667</v>
      </c>
      <c r="I257" s="9" t="s">
        <v>311</v>
      </c>
      <c r="J257" s="9" t="s">
        <v>145</v>
      </c>
    </row>
    <row r="258" spans="1:10">
      <c r="A258" s="5" t="s">
        <v>668</v>
      </c>
      <c r="B258" s="6" t="s">
        <v>656</v>
      </c>
      <c r="C258" s="7">
        <v>46049</v>
      </c>
      <c r="D258" s="9" t="s">
        <v>261</v>
      </c>
      <c r="E258" s="8" t="s">
        <v>64</v>
      </c>
      <c r="F258" s="9" t="s">
        <v>242</v>
      </c>
      <c r="G258" s="9">
        <v>1</v>
      </c>
      <c r="H258" s="6" t="s">
        <v>667</v>
      </c>
      <c r="I258" s="9" t="s">
        <v>311</v>
      </c>
      <c r="J258" s="9" t="s">
        <v>145</v>
      </c>
    </row>
    <row r="259" spans="1:10">
      <c r="A259" s="5" t="s">
        <v>669</v>
      </c>
      <c r="B259" s="6" t="s">
        <v>656</v>
      </c>
      <c r="C259" s="7">
        <v>46049</v>
      </c>
      <c r="D259" s="9" t="s">
        <v>270</v>
      </c>
      <c r="E259" s="8" t="s">
        <v>271</v>
      </c>
      <c r="F259" s="9" t="s">
        <v>242</v>
      </c>
      <c r="G259" s="9">
        <v>1</v>
      </c>
      <c r="H259" s="6" t="s">
        <v>667</v>
      </c>
      <c r="I259" s="9" t="s">
        <v>311</v>
      </c>
      <c r="J259" s="9" t="s">
        <v>145</v>
      </c>
    </row>
    <row r="260" spans="1:10">
      <c r="A260" s="5" t="s">
        <v>670</v>
      </c>
      <c r="B260" s="6" t="s">
        <v>671</v>
      </c>
      <c r="C260" s="7">
        <v>46050</v>
      </c>
      <c r="D260" s="9" t="s">
        <v>1</v>
      </c>
      <c r="E260" s="8" t="s">
        <v>672</v>
      </c>
      <c r="F260" s="9" t="s">
        <v>242</v>
      </c>
      <c r="G260" s="9">
        <v>1</v>
      </c>
      <c r="H260" s="6" t="s">
        <v>673</v>
      </c>
      <c r="I260" s="9" t="s">
        <v>258</v>
      </c>
      <c r="J260" s="9" t="s">
        <v>145</v>
      </c>
    </row>
    <row r="261" spans="1:10">
      <c r="A261" s="5" t="s">
        <v>674</v>
      </c>
      <c r="B261" s="6" t="s">
        <v>671</v>
      </c>
      <c r="C261" s="7">
        <v>46050</v>
      </c>
      <c r="D261" s="9" t="s">
        <v>1</v>
      </c>
      <c r="E261" s="8" t="s">
        <v>14</v>
      </c>
      <c r="F261" s="9" t="s">
        <v>246</v>
      </c>
      <c r="G261" s="9">
        <v>1</v>
      </c>
      <c r="H261" s="6" t="s">
        <v>673</v>
      </c>
      <c r="I261" s="9" t="s">
        <v>258</v>
      </c>
      <c r="J261" s="9" t="s">
        <v>145</v>
      </c>
    </row>
    <row r="262" spans="1:10">
      <c r="A262" s="5" t="s">
        <v>675</v>
      </c>
      <c r="B262" s="6" t="s">
        <v>671</v>
      </c>
      <c r="C262" s="7">
        <v>46050</v>
      </c>
      <c r="D262" s="9" t="s">
        <v>261</v>
      </c>
      <c r="E262" s="8" t="s">
        <v>64</v>
      </c>
      <c r="F262" s="9" t="s">
        <v>242</v>
      </c>
      <c r="G262" s="9">
        <v>2</v>
      </c>
      <c r="H262" s="6" t="s">
        <v>673</v>
      </c>
      <c r="I262" s="9" t="s">
        <v>258</v>
      </c>
      <c r="J262" s="9" t="s">
        <v>145</v>
      </c>
    </row>
    <row r="263" spans="1:10">
      <c r="A263" s="5" t="s">
        <v>676</v>
      </c>
      <c r="B263" s="6" t="s">
        <v>671</v>
      </c>
      <c r="C263" s="7">
        <v>46050</v>
      </c>
      <c r="D263" s="9" t="s">
        <v>270</v>
      </c>
      <c r="E263" s="8" t="s">
        <v>271</v>
      </c>
      <c r="F263" s="9" t="s">
        <v>242</v>
      </c>
      <c r="G263" s="9">
        <v>2</v>
      </c>
      <c r="H263" s="6" t="s">
        <v>673</v>
      </c>
      <c r="I263" s="9" t="s">
        <v>258</v>
      </c>
      <c r="J263" s="9" t="s">
        <v>145</v>
      </c>
    </row>
    <row r="264" spans="1:10">
      <c r="A264" s="5" t="s">
        <v>677</v>
      </c>
      <c r="B264" s="6" t="s">
        <v>671</v>
      </c>
      <c r="C264" s="7">
        <v>46050</v>
      </c>
      <c r="D264" s="9" t="s">
        <v>270</v>
      </c>
      <c r="E264" s="8" t="s">
        <v>663</v>
      </c>
      <c r="F264" s="9" t="s">
        <v>242</v>
      </c>
      <c r="G264" s="9">
        <v>1</v>
      </c>
      <c r="H264" s="6" t="s">
        <v>673</v>
      </c>
      <c r="I264" s="9" t="s">
        <v>258</v>
      </c>
      <c r="J264" s="9" t="s">
        <v>145</v>
      </c>
    </row>
    <row r="265" spans="1:10">
      <c r="A265" s="5" t="s">
        <v>678</v>
      </c>
      <c r="B265" s="6" t="s">
        <v>671</v>
      </c>
      <c r="C265" s="7">
        <v>46050</v>
      </c>
      <c r="D265" s="9" t="s">
        <v>503</v>
      </c>
      <c r="E265" s="8" t="s">
        <v>206</v>
      </c>
      <c r="F265" s="9" t="s">
        <v>242</v>
      </c>
      <c r="G265" s="9">
        <v>2</v>
      </c>
      <c r="H265" s="6" t="s">
        <v>673</v>
      </c>
      <c r="I265" s="9" t="s">
        <v>258</v>
      </c>
      <c r="J265" s="9" t="s">
        <v>145</v>
      </c>
    </row>
    <row r="266" spans="1:10">
      <c r="A266" s="5" t="s">
        <v>679</v>
      </c>
      <c r="B266" s="6" t="s">
        <v>671</v>
      </c>
      <c r="C266" s="7">
        <v>46050</v>
      </c>
      <c r="D266" s="9" t="s">
        <v>503</v>
      </c>
      <c r="E266" s="8" t="s">
        <v>162</v>
      </c>
      <c r="F266" s="9" t="s">
        <v>242</v>
      </c>
      <c r="G266" s="9">
        <v>2</v>
      </c>
      <c r="H266" s="6" t="s">
        <v>673</v>
      </c>
      <c r="I266" s="9" t="s">
        <v>258</v>
      </c>
      <c r="J266" s="9" t="s">
        <v>145</v>
      </c>
    </row>
    <row r="267" spans="1:10">
      <c r="A267" s="5" t="s">
        <v>680</v>
      </c>
      <c r="B267" s="6" t="s">
        <v>681</v>
      </c>
      <c r="C267" s="7">
        <v>46050</v>
      </c>
      <c r="D267" s="9" t="s">
        <v>1</v>
      </c>
      <c r="E267" s="4" t="s">
        <v>657</v>
      </c>
      <c r="F267" s="9" t="s">
        <v>242</v>
      </c>
      <c r="G267" s="9">
        <v>1</v>
      </c>
      <c r="H267" s="6" t="s">
        <v>243</v>
      </c>
      <c r="I267" s="9" t="s">
        <v>311</v>
      </c>
      <c r="J267" s="9" t="s">
        <v>145</v>
      </c>
    </row>
    <row r="268" spans="1:10">
      <c r="A268" s="5" t="s">
        <v>682</v>
      </c>
      <c r="B268" s="6" t="s">
        <v>681</v>
      </c>
      <c r="C268" s="7">
        <v>46050</v>
      </c>
      <c r="D268" s="9" t="s">
        <v>1</v>
      </c>
      <c r="E268" s="8" t="s">
        <v>17</v>
      </c>
      <c r="F268" s="9" t="s">
        <v>246</v>
      </c>
      <c r="G268" s="9">
        <v>1</v>
      </c>
      <c r="H268" s="6" t="s">
        <v>243</v>
      </c>
      <c r="I268" s="9" t="s">
        <v>311</v>
      </c>
      <c r="J268" s="9" t="s">
        <v>145</v>
      </c>
    </row>
    <row r="269" spans="1:10">
      <c r="A269" s="5" t="s">
        <v>683</v>
      </c>
      <c r="B269" s="6" t="s">
        <v>681</v>
      </c>
      <c r="C269" s="7">
        <v>46050</v>
      </c>
      <c r="D269" s="9" t="s">
        <v>261</v>
      </c>
      <c r="E269" s="8" t="s">
        <v>64</v>
      </c>
      <c r="F269" s="9" t="s">
        <v>242</v>
      </c>
      <c r="G269" s="9">
        <v>4</v>
      </c>
      <c r="H269" s="6" t="s">
        <v>243</v>
      </c>
      <c r="I269" s="9" t="s">
        <v>311</v>
      </c>
      <c r="J269" s="9" t="s">
        <v>145</v>
      </c>
    </row>
    <row r="270" spans="1:10">
      <c r="A270" s="5" t="s">
        <v>684</v>
      </c>
      <c r="B270" s="6" t="s">
        <v>681</v>
      </c>
      <c r="C270" s="7">
        <v>46050</v>
      </c>
      <c r="D270" s="9" t="s">
        <v>270</v>
      </c>
      <c r="E270" s="8" t="s">
        <v>271</v>
      </c>
      <c r="F270" s="9" t="s">
        <v>242</v>
      </c>
      <c r="G270" s="9">
        <v>4</v>
      </c>
      <c r="H270" s="6" t="s">
        <v>243</v>
      </c>
      <c r="I270" s="9" t="s">
        <v>311</v>
      </c>
      <c r="J270" s="9" t="s">
        <v>145</v>
      </c>
    </row>
    <row r="271" spans="1:10">
      <c r="A271" s="5" t="s">
        <v>685</v>
      </c>
      <c r="B271" s="6" t="s">
        <v>681</v>
      </c>
      <c r="C271" s="7">
        <v>46050</v>
      </c>
      <c r="D271" s="9" t="s">
        <v>270</v>
      </c>
      <c r="E271" s="8" t="s">
        <v>663</v>
      </c>
      <c r="F271" s="9" t="s">
        <v>242</v>
      </c>
      <c r="G271" s="9">
        <v>1</v>
      </c>
      <c r="H271" s="6" t="s">
        <v>243</v>
      </c>
      <c r="I271" s="9" t="s">
        <v>311</v>
      </c>
      <c r="J271" s="9" t="s">
        <v>145</v>
      </c>
    </row>
    <row r="272" spans="1:10">
      <c r="A272" s="5" t="s">
        <v>686</v>
      </c>
      <c r="B272" s="6" t="s">
        <v>687</v>
      </c>
      <c r="C272" s="7">
        <v>46020</v>
      </c>
      <c r="D272" s="9" t="s">
        <v>500</v>
      </c>
      <c r="E272" s="8" t="s">
        <v>48</v>
      </c>
      <c r="F272" s="9" t="s">
        <v>242</v>
      </c>
      <c r="G272" s="9">
        <v>1</v>
      </c>
      <c r="H272" s="6" t="s">
        <v>688</v>
      </c>
      <c r="I272" s="9" t="s">
        <v>628</v>
      </c>
      <c r="J272" s="9" t="s">
        <v>145</v>
      </c>
    </row>
    <row r="273" spans="1:10">
      <c r="A273" s="5" t="s">
        <v>689</v>
      </c>
      <c r="B273" s="6" t="s">
        <v>687</v>
      </c>
      <c r="C273" s="7">
        <v>46020</v>
      </c>
      <c r="D273" s="9" t="s">
        <v>261</v>
      </c>
      <c r="E273" s="8" t="s">
        <v>64</v>
      </c>
      <c r="F273" s="9" t="s">
        <v>242</v>
      </c>
      <c r="G273" s="9">
        <v>3</v>
      </c>
      <c r="H273" s="6" t="s">
        <v>688</v>
      </c>
      <c r="I273" s="9" t="s">
        <v>628</v>
      </c>
      <c r="J273" s="9" t="s">
        <v>145</v>
      </c>
    </row>
    <row r="274" spans="1:10">
      <c r="A274" s="5" t="s">
        <v>690</v>
      </c>
      <c r="B274" s="6" t="s">
        <v>687</v>
      </c>
      <c r="C274" s="7">
        <v>46020</v>
      </c>
      <c r="D274" s="9" t="s">
        <v>270</v>
      </c>
      <c r="E274" s="8" t="s">
        <v>271</v>
      </c>
      <c r="F274" s="9" t="s">
        <v>242</v>
      </c>
      <c r="G274" s="9">
        <v>3</v>
      </c>
      <c r="H274" s="6" t="s">
        <v>688</v>
      </c>
      <c r="I274" s="9" t="s">
        <v>628</v>
      </c>
      <c r="J274" s="9" t="s">
        <v>145</v>
      </c>
    </row>
    <row r="275" spans="1:10">
      <c r="A275" s="5" t="s">
        <v>691</v>
      </c>
      <c r="B275" s="6" t="s">
        <v>692</v>
      </c>
      <c r="C275" s="7">
        <v>46020</v>
      </c>
      <c r="D275" s="9" t="s">
        <v>500</v>
      </c>
      <c r="E275" s="8" t="s">
        <v>53</v>
      </c>
      <c r="F275" s="9" t="s">
        <v>242</v>
      </c>
      <c r="G275" s="9">
        <v>1</v>
      </c>
      <c r="H275" s="6" t="s">
        <v>693</v>
      </c>
      <c r="I275" s="9" t="s">
        <v>628</v>
      </c>
      <c r="J275" s="9" t="s">
        <v>145</v>
      </c>
    </row>
    <row r="276" spans="1:10">
      <c r="A276" s="5" t="s">
        <v>694</v>
      </c>
      <c r="B276" s="6" t="s">
        <v>695</v>
      </c>
      <c r="C276" s="7">
        <v>46020</v>
      </c>
      <c r="D276" s="9" t="s">
        <v>696</v>
      </c>
      <c r="E276" s="8" t="s">
        <v>86</v>
      </c>
      <c r="F276" s="9" t="s">
        <v>242</v>
      </c>
      <c r="G276" s="9">
        <v>160</v>
      </c>
      <c r="H276" s="6" t="s">
        <v>697</v>
      </c>
      <c r="I276" s="9" t="s">
        <v>514</v>
      </c>
      <c r="J276" s="9" t="s">
        <v>145</v>
      </c>
    </row>
    <row r="277" spans="1:10">
      <c r="A277" s="5" t="s">
        <v>698</v>
      </c>
      <c r="B277" s="6" t="s">
        <v>695</v>
      </c>
      <c r="C277" s="7">
        <v>46020</v>
      </c>
      <c r="D277" s="9" t="s">
        <v>261</v>
      </c>
      <c r="E277" s="8" t="s">
        <v>62</v>
      </c>
      <c r="F277" s="9" t="s">
        <v>242</v>
      </c>
      <c r="G277" s="9">
        <v>4</v>
      </c>
      <c r="H277" s="6" t="s">
        <v>697</v>
      </c>
      <c r="I277" s="9" t="s">
        <v>514</v>
      </c>
      <c r="J277" s="9" t="s">
        <v>145</v>
      </c>
    </row>
    <row r="278" spans="1:10">
      <c r="A278" s="5" t="s">
        <v>699</v>
      </c>
      <c r="B278" s="6" t="s">
        <v>700</v>
      </c>
      <c r="C278" s="7">
        <v>46020</v>
      </c>
      <c r="D278" s="9" t="s">
        <v>500</v>
      </c>
      <c r="E278" s="8" t="s">
        <v>51</v>
      </c>
      <c r="F278" s="9" t="s">
        <v>242</v>
      </c>
      <c r="G278" s="9">
        <v>1</v>
      </c>
      <c r="H278" s="6" t="s">
        <v>693</v>
      </c>
      <c r="I278" s="9" t="s">
        <v>253</v>
      </c>
      <c r="J278" s="9" t="s">
        <v>145</v>
      </c>
    </row>
    <row r="279" spans="1:10">
      <c r="A279" s="5" t="s">
        <v>701</v>
      </c>
      <c r="B279" s="6" t="s">
        <v>702</v>
      </c>
      <c r="C279" s="7">
        <v>46020</v>
      </c>
      <c r="D279" s="9" t="s">
        <v>500</v>
      </c>
      <c r="E279" s="8" t="s">
        <v>51</v>
      </c>
      <c r="F279" s="9" t="s">
        <v>242</v>
      </c>
      <c r="G279" s="9">
        <v>1</v>
      </c>
      <c r="H279" s="6" t="s">
        <v>693</v>
      </c>
      <c r="I279" s="9" t="s">
        <v>253</v>
      </c>
      <c r="J279" s="9" t="s">
        <v>145</v>
      </c>
    </row>
    <row r="280" spans="1:10">
      <c r="A280" s="5" t="s">
        <v>703</v>
      </c>
      <c r="B280" s="6" t="s">
        <v>702</v>
      </c>
      <c r="C280" s="7">
        <v>46020</v>
      </c>
      <c r="D280" s="9" t="s">
        <v>261</v>
      </c>
      <c r="E280" s="8" t="s">
        <v>64</v>
      </c>
      <c r="F280" s="9" t="s">
        <v>242</v>
      </c>
      <c r="G280" s="9">
        <v>2</v>
      </c>
      <c r="H280" s="6" t="s">
        <v>693</v>
      </c>
      <c r="I280" s="9" t="s">
        <v>253</v>
      </c>
      <c r="J280" s="9" t="s">
        <v>145</v>
      </c>
    </row>
    <row r="281" spans="1:10">
      <c r="A281" s="5" t="s">
        <v>704</v>
      </c>
      <c r="B281" s="6" t="s">
        <v>702</v>
      </c>
      <c r="C281" s="7">
        <v>46020</v>
      </c>
      <c r="D281" s="9" t="s">
        <v>270</v>
      </c>
      <c r="E281" s="8" t="s">
        <v>271</v>
      </c>
      <c r="F281" s="9" t="s">
        <v>242</v>
      </c>
      <c r="G281" s="9">
        <v>2</v>
      </c>
      <c r="H281" s="6" t="s">
        <v>693</v>
      </c>
      <c r="I281" s="9" t="s">
        <v>253</v>
      </c>
      <c r="J281" s="9" t="s">
        <v>145</v>
      </c>
    </row>
    <row r="282" spans="1:10">
      <c r="A282" s="5" t="s">
        <v>705</v>
      </c>
      <c r="B282" s="6" t="s">
        <v>702</v>
      </c>
      <c r="C282" s="7">
        <v>46020</v>
      </c>
      <c r="D282" s="9" t="s">
        <v>500</v>
      </c>
      <c r="E282" s="8" t="s">
        <v>53</v>
      </c>
      <c r="F282" s="9" t="s">
        <v>242</v>
      </c>
      <c r="G282" s="9">
        <v>1</v>
      </c>
      <c r="H282" s="6" t="s">
        <v>693</v>
      </c>
      <c r="I282" s="9" t="s">
        <v>258</v>
      </c>
      <c r="J282" s="9" t="s">
        <v>145</v>
      </c>
    </row>
    <row r="283" spans="1:10">
      <c r="A283" s="5" t="s">
        <v>706</v>
      </c>
      <c r="B283" s="6" t="s">
        <v>707</v>
      </c>
      <c r="C283" s="7">
        <v>46020</v>
      </c>
      <c r="D283" s="9" t="s">
        <v>261</v>
      </c>
      <c r="E283" s="8" t="s">
        <v>64</v>
      </c>
      <c r="F283" s="9" t="s">
        <v>242</v>
      </c>
      <c r="G283" s="9">
        <v>1</v>
      </c>
      <c r="H283" s="6" t="s">
        <v>693</v>
      </c>
      <c r="I283" s="9" t="s">
        <v>258</v>
      </c>
      <c r="J283" s="9" t="s">
        <v>145</v>
      </c>
    </row>
    <row r="284" spans="1:10">
      <c r="A284" s="5" t="s">
        <v>708</v>
      </c>
      <c r="B284" s="6" t="s">
        <v>707</v>
      </c>
      <c r="C284" s="7">
        <v>46020</v>
      </c>
      <c r="D284" s="9" t="s">
        <v>270</v>
      </c>
      <c r="E284" s="8" t="s">
        <v>271</v>
      </c>
      <c r="F284" s="9" t="s">
        <v>242</v>
      </c>
      <c r="G284" s="9">
        <v>1</v>
      </c>
      <c r="H284" s="6" t="s">
        <v>693</v>
      </c>
      <c r="I284" s="9" t="s">
        <v>258</v>
      </c>
      <c r="J284" s="9" t="s">
        <v>145</v>
      </c>
    </row>
    <row r="285" spans="1:10">
      <c r="A285" s="5" t="s">
        <v>709</v>
      </c>
      <c r="B285" s="6" t="s">
        <v>710</v>
      </c>
      <c r="C285" s="7">
        <v>46020</v>
      </c>
      <c r="D285" s="9" t="s">
        <v>711</v>
      </c>
      <c r="E285" s="4" t="s">
        <v>111</v>
      </c>
      <c r="F285" s="9" t="s">
        <v>242</v>
      </c>
      <c r="G285" s="9">
        <v>1</v>
      </c>
      <c r="H285" s="6" t="s">
        <v>712</v>
      </c>
      <c r="I285" s="9" t="s">
        <v>258</v>
      </c>
      <c r="J285" s="9" t="s">
        <v>145</v>
      </c>
    </row>
    <row r="286" spans="1:10">
      <c r="A286" s="5" t="s">
        <v>713</v>
      </c>
      <c r="B286" s="6" t="s">
        <v>710</v>
      </c>
      <c r="C286" s="7">
        <v>46020</v>
      </c>
      <c r="D286" s="9" t="s">
        <v>714</v>
      </c>
      <c r="E286" s="4" t="s">
        <v>715</v>
      </c>
      <c r="F286" s="9" t="s">
        <v>242</v>
      </c>
      <c r="G286" s="9">
        <v>1</v>
      </c>
      <c r="H286" s="6" t="s">
        <v>712</v>
      </c>
      <c r="I286" s="9" t="s">
        <v>258</v>
      </c>
      <c r="J286" s="9" t="s">
        <v>145</v>
      </c>
    </row>
    <row r="287" spans="1:10">
      <c r="A287" s="5" t="s">
        <v>716</v>
      </c>
      <c r="B287" s="6" t="s">
        <v>717</v>
      </c>
      <c r="C287" s="7">
        <v>46021</v>
      </c>
      <c r="D287" s="9" t="s">
        <v>696</v>
      </c>
      <c r="E287" s="8" t="s">
        <v>86</v>
      </c>
      <c r="F287" s="9" t="s">
        <v>242</v>
      </c>
      <c r="G287" s="9">
        <v>75</v>
      </c>
      <c r="H287" s="6" t="s">
        <v>697</v>
      </c>
      <c r="I287" s="9" t="s">
        <v>514</v>
      </c>
      <c r="J287" s="9" t="s">
        <v>145</v>
      </c>
    </row>
    <row r="288" spans="1:10">
      <c r="A288" s="5" t="s">
        <v>718</v>
      </c>
      <c r="B288" s="6" t="s">
        <v>717</v>
      </c>
      <c r="C288" s="7">
        <v>46021</v>
      </c>
      <c r="D288" s="9" t="s">
        <v>261</v>
      </c>
      <c r="E288" s="8" t="s">
        <v>62</v>
      </c>
      <c r="F288" s="9" t="s">
        <v>242</v>
      </c>
      <c r="G288" s="9">
        <v>2</v>
      </c>
      <c r="H288" s="6" t="s">
        <v>697</v>
      </c>
      <c r="I288" s="9" t="s">
        <v>514</v>
      </c>
      <c r="J288" s="9" t="s">
        <v>145</v>
      </c>
    </row>
    <row r="289" spans="1:10">
      <c r="A289" s="5" t="s">
        <v>719</v>
      </c>
      <c r="B289" s="6" t="s">
        <v>717</v>
      </c>
      <c r="C289" s="7">
        <v>46021</v>
      </c>
      <c r="D289" s="9" t="s">
        <v>503</v>
      </c>
      <c r="E289" s="8" t="s">
        <v>162</v>
      </c>
      <c r="F289" s="9" t="s">
        <v>242</v>
      </c>
      <c r="G289" s="9">
        <v>1</v>
      </c>
      <c r="H289" s="6" t="s">
        <v>697</v>
      </c>
      <c r="I289" s="9" t="s">
        <v>514</v>
      </c>
      <c r="J289" s="9" t="s">
        <v>145</v>
      </c>
    </row>
    <row r="290" spans="1:10">
      <c r="A290" s="5" t="s">
        <v>720</v>
      </c>
      <c r="B290" s="6" t="s">
        <v>721</v>
      </c>
      <c r="C290" s="7">
        <v>46021</v>
      </c>
      <c r="D290" s="9" t="s">
        <v>261</v>
      </c>
      <c r="E290" s="8" t="s">
        <v>62</v>
      </c>
      <c r="F290" s="9" t="s">
        <v>242</v>
      </c>
      <c r="G290" s="9">
        <v>14</v>
      </c>
      <c r="H290" s="6" t="s">
        <v>722</v>
      </c>
      <c r="I290" s="9" t="s">
        <v>275</v>
      </c>
      <c r="J290" s="9" t="s">
        <v>145</v>
      </c>
    </row>
    <row r="291" spans="1:10">
      <c r="A291" s="5" t="s">
        <v>723</v>
      </c>
      <c r="B291" s="6" t="s">
        <v>724</v>
      </c>
      <c r="C291" s="7">
        <v>46022</v>
      </c>
      <c r="D291" s="9" t="s">
        <v>261</v>
      </c>
      <c r="E291" s="4" t="s">
        <v>62</v>
      </c>
      <c r="F291" s="9" t="s">
        <v>242</v>
      </c>
      <c r="G291" s="9">
        <v>5</v>
      </c>
      <c r="H291" s="6" t="s">
        <v>722</v>
      </c>
      <c r="I291" s="9" t="s">
        <v>258</v>
      </c>
      <c r="J291" s="9" t="s">
        <v>145</v>
      </c>
    </row>
    <row r="292" spans="1:10">
      <c r="A292" s="5" t="s">
        <v>725</v>
      </c>
      <c r="B292" s="6" t="s">
        <v>726</v>
      </c>
      <c r="C292" s="7">
        <v>46022</v>
      </c>
      <c r="D292" s="9" t="s">
        <v>696</v>
      </c>
      <c r="E292" s="8" t="s">
        <v>86</v>
      </c>
      <c r="F292" s="9" t="s">
        <v>242</v>
      </c>
      <c r="G292" s="9">
        <v>200</v>
      </c>
      <c r="H292" s="6" t="s">
        <v>697</v>
      </c>
      <c r="I292" s="9" t="s">
        <v>514</v>
      </c>
      <c r="J292" s="9" t="s">
        <v>145</v>
      </c>
    </row>
    <row r="293" spans="1:10">
      <c r="A293" s="5" t="s">
        <v>727</v>
      </c>
      <c r="B293" s="6" t="s">
        <v>726</v>
      </c>
      <c r="C293" s="7">
        <v>46022</v>
      </c>
      <c r="D293" s="9" t="s">
        <v>261</v>
      </c>
      <c r="E293" s="8" t="s">
        <v>62</v>
      </c>
      <c r="F293" s="9" t="s">
        <v>242</v>
      </c>
      <c r="G293" s="9">
        <v>3</v>
      </c>
      <c r="H293" s="6" t="s">
        <v>697</v>
      </c>
      <c r="I293" s="9" t="s">
        <v>514</v>
      </c>
      <c r="J293" s="9" t="s">
        <v>145</v>
      </c>
    </row>
    <row r="294" spans="1:10">
      <c r="A294" s="5" t="s">
        <v>728</v>
      </c>
      <c r="B294" s="6" t="s">
        <v>729</v>
      </c>
      <c r="C294" s="7">
        <v>46022</v>
      </c>
      <c r="D294" s="9" t="s">
        <v>261</v>
      </c>
      <c r="E294" s="4" t="s">
        <v>62</v>
      </c>
      <c r="F294" s="9" t="s">
        <v>242</v>
      </c>
      <c r="G294" s="9">
        <v>14</v>
      </c>
      <c r="H294" s="6" t="s">
        <v>722</v>
      </c>
      <c r="I294" s="9" t="s">
        <v>275</v>
      </c>
      <c r="J294" s="9" t="s">
        <v>145</v>
      </c>
    </row>
    <row r="295" spans="1:10">
      <c r="A295" s="5" t="s">
        <v>730</v>
      </c>
      <c r="B295" s="6" t="s">
        <v>731</v>
      </c>
      <c r="C295" s="7">
        <v>46024</v>
      </c>
      <c r="D295" s="9" t="s">
        <v>500</v>
      </c>
      <c r="E295" s="8" t="s">
        <v>52</v>
      </c>
      <c r="F295" s="9" t="s">
        <v>242</v>
      </c>
      <c r="G295" s="9">
        <v>1</v>
      </c>
      <c r="H295" s="6" t="s">
        <v>732</v>
      </c>
      <c r="I295" s="9" t="s">
        <v>253</v>
      </c>
      <c r="J295" s="9" t="s">
        <v>145</v>
      </c>
    </row>
    <row r="296" spans="1:10">
      <c r="A296" s="5" t="s">
        <v>733</v>
      </c>
      <c r="B296" s="6" t="s">
        <v>734</v>
      </c>
      <c r="C296" s="7">
        <v>46027</v>
      </c>
      <c r="D296" s="9" t="s">
        <v>261</v>
      </c>
      <c r="E296" s="8" t="s">
        <v>62</v>
      </c>
      <c r="F296" s="9" t="s">
        <v>242</v>
      </c>
      <c r="G296" s="9">
        <v>4</v>
      </c>
      <c r="H296" s="6" t="s">
        <v>735</v>
      </c>
      <c r="I296" s="9" t="s">
        <v>616</v>
      </c>
      <c r="J296" s="9" t="s">
        <v>145</v>
      </c>
    </row>
    <row r="297" spans="1:10">
      <c r="A297" s="5" t="s">
        <v>736</v>
      </c>
      <c r="B297" s="6" t="s">
        <v>737</v>
      </c>
      <c r="C297" s="7">
        <v>46028</v>
      </c>
      <c r="D297" s="9" t="s">
        <v>261</v>
      </c>
      <c r="E297" s="8" t="s">
        <v>62</v>
      </c>
      <c r="F297" s="9" t="s">
        <v>242</v>
      </c>
      <c r="G297" s="9">
        <v>7</v>
      </c>
      <c r="H297" s="6" t="s">
        <v>722</v>
      </c>
      <c r="I297" s="9" t="s">
        <v>258</v>
      </c>
      <c r="J297" s="9" t="s">
        <v>145</v>
      </c>
    </row>
    <row r="298" spans="1:10">
      <c r="A298" s="5" t="s">
        <v>738</v>
      </c>
      <c r="B298" s="6" t="s">
        <v>739</v>
      </c>
      <c r="C298" s="7">
        <v>46028</v>
      </c>
      <c r="D298" s="9" t="s">
        <v>261</v>
      </c>
      <c r="E298" s="8" t="s">
        <v>62</v>
      </c>
      <c r="F298" s="9" t="s">
        <v>242</v>
      </c>
      <c r="G298" s="9">
        <v>2</v>
      </c>
      <c r="H298" s="6" t="s">
        <v>722</v>
      </c>
      <c r="I298" s="9" t="s">
        <v>609</v>
      </c>
      <c r="J298" s="9" t="s">
        <v>145</v>
      </c>
    </row>
    <row r="299" spans="1:10">
      <c r="A299" s="5" t="s">
        <v>740</v>
      </c>
      <c r="B299" s="6" t="s">
        <v>741</v>
      </c>
      <c r="C299" s="7">
        <v>46028</v>
      </c>
      <c r="D299" s="9" t="s">
        <v>500</v>
      </c>
      <c r="E299" s="8" t="s">
        <v>46</v>
      </c>
      <c r="F299" s="9" t="s">
        <v>242</v>
      </c>
      <c r="G299" s="9">
        <v>1</v>
      </c>
      <c r="H299" s="6" t="s">
        <v>742</v>
      </c>
      <c r="I299" s="9" t="s">
        <v>289</v>
      </c>
      <c r="J299" s="9" t="s">
        <v>145</v>
      </c>
    </row>
    <row r="300" spans="1:10">
      <c r="A300" s="5" t="s">
        <v>743</v>
      </c>
      <c r="B300" s="6" t="s">
        <v>741</v>
      </c>
      <c r="C300" s="7">
        <v>46028</v>
      </c>
      <c r="D300" s="9" t="s">
        <v>261</v>
      </c>
      <c r="E300" s="8" t="s">
        <v>63</v>
      </c>
      <c r="F300" s="9" t="s">
        <v>242</v>
      </c>
      <c r="G300" s="9">
        <v>3</v>
      </c>
      <c r="H300" s="6" t="s">
        <v>742</v>
      </c>
      <c r="I300" s="9" t="s">
        <v>289</v>
      </c>
      <c r="J300" s="9" t="s">
        <v>145</v>
      </c>
    </row>
    <row r="301" spans="1:10">
      <c r="A301" s="5" t="s">
        <v>744</v>
      </c>
      <c r="B301" s="6" t="s">
        <v>741</v>
      </c>
      <c r="C301" s="7">
        <v>46028</v>
      </c>
      <c r="D301" s="9" t="s">
        <v>261</v>
      </c>
      <c r="E301" s="8" t="s">
        <v>64</v>
      </c>
      <c r="F301" s="9" t="s">
        <v>242</v>
      </c>
      <c r="G301" s="9">
        <v>1</v>
      </c>
      <c r="H301" s="6" t="s">
        <v>742</v>
      </c>
      <c r="I301" s="9" t="s">
        <v>289</v>
      </c>
      <c r="J301" s="9" t="s">
        <v>145</v>
      </c>
    </row>
    <row r="302" spans="1:10">
      <c r="A302" s="5" t="s">
        <v>745</v>
      </c>
      <c r="B302" s="6" t="s">
        <v>741</v>
      </c>
      <c r="C302" s="7">
        <v>46028</v>
      </c>
      <c r="D302" s="9" t="s">
        <v>270</v>
      </c>
      <c r="E302" s="8" t="s">
        <v>68</v>
      </c>
      <c r="F302" s="9" t="s">
        <v>242</v>
      </c>
      <c r="G302" s="9">
        <v>3</v>
      </c>
      <c r="H302" s="6" t="s">
        <v>742</v>
      </c>
      <c r="I302" s="9" t="s">
        <v>289</v>
      </c>
      <c r="J302" s="9" t="s">
        <v>145</v>
      </c>
    </row>
    <row r="303" spans="1:10">
      <c r="A303" s="5" t="s">
        <v>746</v>
      </c>
      <c r="B303" s="6" t="s">
        <v>741</v>
      </c>
      <c r="C303" s="7">
        <v>46028</v>
      </c>
      <c r="D303" s="9" t="s">
        <v>270</v>
      </c>
      <c r="E303" s="8" t="s">
        <v>271</v>
      </c>
      <c r="F303" s="9" t="s">
        <v>242</v>
      </c>
      <c r="G303" s="9">
        <v>1</v>
      </c>
      <c r="H303" s="6" t="s">
        <v>742</v>
      </c>
      <c r="I303" s="9" t="s">
        <v>289</v>
      </c>
      <c r="J303" s="9" t="s">
        <v>145</v>
      </c>
    </row>
    <row r="304" spans="1:10">
      <c r="A304" s="5" t="s">
        <v>747</v>
      </c>
      <c r="B304" s="6" t="s">
        <v>748</v>
      </c>
      <c r="C304" s="7">
        <v>46028</v>
      </c>
      <c r="D304" s="9" t="s">
        <v>500</v>
      </c>
      <c r="E304" s="4" t="s">
        <v>52</v>
      </c>
      <c r="F304" s="9" t="s">
        <v>242</v>
      </c>
      <c r="G304" s="9">
        <v>1</v>
      </c>
      <c r="H304" s="6" t="s">
        <v>749</v>
      </c>
      <c r="I304" s="9" t="s">
        <v>484</v>
      </c>
      <c r="J304" s="9" t="s">
        <v>145</v>
      </c>
    </row>
    <row r="305" spans="1:10">
      <c r="A305" s="5" t="s">
        <v>750</v>
      </c>
      <c r="B305" s="6" t="s">
        <v>748</v>
      </c>
      <c r="C305" s="7">
        <v>46028</v>
      </c>
      <c r="D305" s="9" t="s">
        <v>261</v>
      </c>
      <c r="E305" s="8" t="s">
        <v>63</v>
      </c>
      <c r="F305" s="9" t="s">
        <v>242</v>
      </c>
      <c r="G305" s="9">
        <v>4</v>
      </c>
      <c r="H305" s="6" t="s">
        <v>749</v>
      </c>
      <c r="I305" s="9" t="s">
        <v>484</v>
      </c>
      <c r="J305" s="9" t="s">
        <v>145</v>
      </c>
    </row>
    <row r="306" spans="1:10">
      <c r="A306" s="5" t="s">
        <v>751</v>
      </c>
      <c r="B306" s="6" t="s">
        <v>748</v>
      </c>
      <c r="C306" s="7">
        <v>46028</v>
      </c>
      <c r="D306" s="9" t="s">
        <v>270</v>
      </c>
      <c r="E306" s="4" t="s">
        <v>68</v>
      </c>
      <c r="F306" s="9" t="s">
        <v>242</v>
      </c>
      <c r="G306" s="9">
        <v>4</v>
      </c>
      <c r="H306" s="6" t="s">
        <v>749</v>
      </c>
      <c r="I306" s="9" t="s">
        <v>484</v>
      </c>
      <c r="J306" s="9" t="s">
        <v>145</v>
      </c>
    </row>
    <row r="307" spans="1:10">
      <c r="A307" s="5" t="s">
        <v>752</v>
      </c>
      <c r="B307" s="6" t="s">
        <v>748</v>
      </c>
      <c r="C307" s="7">
        <v>46028</v>
      </c>
      <c r="D307" s="9" t="s">
        <v>261</v>
      </c>
      <c r="E307" s="8" t="s">
        <v>753</v>
      </c>
      <c r="F307" s="9" t="s">
        <v>242</v>
      </c>
      <c r="G307" s="9">
        <v>3</v>
      </c>
      <c r="H307" s="6" t="s">
        <v>749</v>
      </c>
      <c r="I307" s="9" t="s">
        <v>484</v>
      </c>
      <c r="J307" s="9" t="s">
        <v>145</v>
      </c>
    </row>
    <row r="308" spans="1:10">
      <c r="A308" s="5" t="s">
        <v>754</v>
      </c>
      <c r="B308" s="6" t="s">
        <v>755</v>
      </c>
      <c r="C308" s="7">
        <v>46028</v>
      </c>
      <c r="D308" s="9" t="s">
        <v>261</v>
      </c>
      <c r="E308" s="8" t="s">
        <v>62</v>
      </c>
      <c r="F308" s="9" t="s">
        <v>242</v>
      </c>
      <c r="G308" s="9">
        <v>6</v>
      </c>
      <c r="H308" s="6" t="s">
        <v>756</v>
      </c>
      <c r="I308" s="9" t="s">
        <v>484</v>
      </c>
      <c r="J308" s="9" t="s">
        <v>145</v>
      </c>
    </row>
    <row r="309" spans="1:10">
      <c r="A309" s="5" t="s">
        <v>757</v>
      </c>
      <c r="B309" s="6" t="s">
        <v>758</v>
      </c>
      <c r="C309" s="7">
        <v>46028</v>
      </c>
      <c r="D309" s="9" t="s">
        <v>500</v>
      </c>
      <c r="E309" s="8" t="s">
        <v>54</v>
      </c>
      <c r="F309" s="9" t="s">
        <v>242</v>
      </c>
      <c r="G309" s="9">
        <v>1</v>
      </c>
      <c r="H309" s="6" t="s">
        <v>759</v>
      </c>
      <c r="I309" s="9" t="s">
        <v>284</v>
      </c>
      <c r="J309" s="9" t="s">
        <v>145</v>
      </c>
    </row>
    <row r="310" spans="1:10">
      <c r="A310" s="5" t="s">
        <v>760</v>
      </c>
      <c r="B310" s="6" t="s">
        <v>758</v>
      </c>
      <c r="C310" s="7">
        <v>46028</v>
      </c>
      <c r="D310" s="9" t="s">
        <v>261</v>
      </c>
      <c r="E310" s="8" t="s">
        <v>62</v>
      </c>
      <c r="F310" s="9" t="s">
        <v>242</v>
      </c>
      <c r="G310" s="9">
        <v>1</v>
      </c>
      <c r="H310" s="6" t="s">
        <v>759</v>
      </c>
      <c r="I310" s="9" t="s">
        <v>284</v>
      </c>
      <c r="J310" s="9" t="s">
        <v>145</v>
      </c>
    </row>
    <row r="311" spans="1:10">
      <c r="A311" s="5" t="s">
        <v>761</v>
      </c>
      <c r="B311" s="6" t="s">
        <v>762</v>
      </c>
      <c r="C311" s="7">
        <v>46029</v>
      </c>
      <c r="D311" s="9" t="s">
        <v>500</v>
      </c>
      <c r="E311" s="8" t="s">
        <v>50</v>
      </c>
      <c r="F311" s="9" t="s">
        <v>242</v>
      </c>
      <c r="G311" s="9">
        <v>1</v>
      </c>
      <c r="H311" s="6" t="s">
        <v>693</v>
      </c>
      <c r="I311" s="9" t="s">
        <v>253</v>
      </c>
      <c r="J311" s="9" t="s">
        <v>145</v>
      </c>
    </row>
    <row r="312" spans="1:10">
      <c r="A312" s="5" t="s">
        <v>763</v>
      </c>
      <c r="B312" s="6" t="s">
        <v>762</v>
      </c>
      <c r="C312" s="7">
        <v>46029</v>
      </c>
      <c r="D312" s="9" t="s">
        <v>261</v>
      </c>
      <c r="E312" s="8" t="s">
        <v>64</v>
      </c>
      <c r="F312" s="9" t="s">
        <v>242</v>
      </c>
      <c r="G312" s="9">
        <v>2</v>
      </c>
      <c r="H312" s="6" t="s">
        <v>693</v>
      </c>
      <c r="I312" s="9" t="s">
        <v>253</v>
      </c>
      <c r="J312" s="9" t="s">
        <v>145</v>
      </c>
    </row>
    <row r="313" spans="1:10">
      <c r="A313" s="5" t="s">
        <v>764</v>
      </c>
      <c r="B313" s="6" t="s">
        <v>762</v>
      </c>
      <c r="C313" s="7">
        <v>46029</v>
      </c>
      <c r="D313" s="9" t="s">
        <v>270</v>
      </c>
      <c r="E313" s="8" t="s">
        <v>271</v>
      </c>
      <c r="F313" s="9" t="s">
        <v>242</v>
      </c>
      <c r="G313" s="9">
        <v>2</v>
      </c>
      <c r="H313" s="6" t="s">
        <v>693</v>
      </c>
      <c r="I313" s="9" t="s">
        <v>253</v>
      </c>
      <c r="J313" s="9" t="s">
        <v>145</v>
      </c>
    </row>
    <row r="314" spans="1:10">
      <c r="A314" s="5" t="s">
        <v>765</v>
      </c>
      <c r="B314" s="6" t="s">
        <v>766</v>
      </c>
      <c r="C314" s="7">
        <v>46029</v>
      </c>
      <c r="D314" s="9" t="s">
        <v>500</v>
      </c>
      <c r="E314" s="8" t="s">
        <v>48</v>
      </c>
      <c r="F314" s="9" t="s">
        <v>242</v>
      </c>
      <c r="G314" s="9">
        <v>1</v>
      </c>
      <c r="H314" s="6" t="s">
        <v>688</v>
      </c>
      <c r="I314" s="9" t="s">
        <v>415</v>
      </c>
      <c r="J314" s="9" t="s">
        <v>145</v>
      </c>
    </row>
    <row r="315" spans="1:10">
      <c r="A315" s="5" t="s">
        <v>767</v>
      </c>
      <c r="B315" s="6" t="s">
        <v>766</v>
      </c>
      <c r="C315" s="7">
        <v>46029</v>
      </c>
      <c r="D315" s="9" t="s">
        <v>261</v>
      </c>
      <c r="E315" s="8" t="s">
        <v>64</v>
      </c>
      <c r="F315" s="9" t="s">
        <v>242</v>
      </c>
      <c r="G315" s="9">
        <v>3</v>
      </c>
      <c r="H315" s="6" t="s">
        <v>688</v>
      </c>
      <c r="I315" s="9" t="s">
        <v>415</v>
      </c>
      <c r="J315" s="9" t="s">
        <v>145</v>
      </c>
    </row>
    <row r="316" spans="1:10">
      <c r="A316" s="5" t="s">
        <v>768</v>
      </c>
      <c r="B316" s="6" t="s">
        <v>766</v>
      </c>
      <c r="C316" s="7">
        <v>46029</v>
      </c>
      <c r="D316" s="9" t="s">
        <v>270</v>
      </c>
      <c r="E316" s="4" t="s">
        <v>271</v>
      </c>
      <c r="F316" s="9" t="s">
        <v>242</v>
      </c>
      <c r="G316" s="9">
        <v>3</v>
      </c>
      <c r="H316" s="6" t="s">
        <v>688</v>
      </c>
      <c r="I316" s="9" t="s">
        <v>415</v>
      </c>
      <c r="J316" s="9" t="s">
        <v>145</v>
      </c>
    </row>
    <row r="317" spans="1:10">
      <c r="A317" s="5" t="s">
        <v>769</v>
      </c>
      <c r="B317" s="6" t="s">
        <v>770</v>
      </c>
      <c r="C317" s="7">
        <v>46029</v>
      </c>
      <c r="D317" s="9" t="s">
        <v>500</v>
      </c>
      <c r="E317" s="8" t="s">
        <v>50</v>
      </c>
      <c r="F317" s="9" t="s">
        <v>242</v>
      </c>
      <c r="G317" s="9">
        <v>1</v>
      </c>
      <c r="H317" s="6" t="s">
        <v>771</v>
      </c>
      <c r="I317" s="9" t="s">
        <v>514</v>
      </c>
      <c r="J317" s="9" t="s">
        <v>145</v>
      </c>
    </row>
    <row r="318" spans="1:10">
      <c r="A318" s="5" t="s">
        <v>772</v>
      </c>
      <c r="B318" s="6" t="s">
        <v>770</v>
      </c>
      <c r="C318" s="7">
        <v>46029</v>
      </c>
      <c r="D318" s="9" t="s">
        <v>261</v>
      </c>
      <c r="E318" s="8" t="s">
        <v>64</v>
      </c>
      <c r="F318" s="9" t="s">
        <v>242</v>
      </c>
      <c r="G318" s="9">
        <v>2</v>
      </c>
      <c r="H318" s="6" t="s">
        <v>771</v>
      </c>
      <c r="I318" s="9" t="s">
        <v>514</v>
      </c>
      <c r="J318" s="9" t="s">
        <v>145</v>
      </c>
    </row>
    <row r="319" spans="1:10">
      <c r="A319" s="5" t="s">
        <v>773</v>
      </c>
      <c r="B319" s="6" t="s">
        <v>770</v>
      </c>
      <c r="C319" s="7">
        <v>46029</v>
      </c>
      <c r="D319" s="9" t="s">
        <v>270</v>
      </c>
      <c r="E319" s="8" t="s">
        <v>271</v>
      </c>
      <c r="F319" s="9" t="s">
        <v>242</v>
      </c>
      <c r="G319" s="9">
        <v>2</v>
      </c>
      <c r="H319" s="6" t="s">
        <v>771</v>
      </c>
      <c r="I319" s="9" t="s">
        <v>514</v>
      </c>
      <c r="J319" s="9" t="s">
        <v>145</v>
      </c>
    </row>
    <row r="320" spans="1:10">
      <c r="A320" s="5" t="s">
        <v>774</v>
      </c>
      <c r="B320" s="6" t="s">
        <v>775</v>
      </c>
      <c r="C320" s="7">
        <v>46029</v>
      </c>
      <c r="D320" s="9" t="s">
        <v>261</v>
      </c>
      <c r="E320" s="8" t="s">
        <v>62</v>
      </c>
      <c r="F320" s="9" t="s">
        <v>242</v>
      </c>
      <c r="G320" s="9">
        <v>6</v>
      </c>
      <c r="H320" s="6" t="s">
        <v>722</v>
      </c>
      <c r="I320" s="9" t="s">
        <v>253</v>
      </c>
      <c r="J320" s="9" t="s">
        <v>145</v>
      </c>
    </row>
    <row r="321" spans="1:10">
      <c r="A321" s="5" t="s">
        <v>776</v>
      </c>
      <c r="B321" s="6" t="s">
        <v>777</v>
      </c>
      <c r="C321" s="7">
        <v>46030</v>
      </c>
      <c r="D321" s="9" t="s">
        <v>261</v>
      </c>
      <c r="E321" s="8" t="s">
        <v>65</v>
      </c>
      <c r="F321" s="9" t="s">
        <v>242</v>
      </c>
      <c r="G321" s="9">
        <v>2</v>
      </c>
      <c r="H321" s="6" t="s">
        <v>778</v>
      </c>
      <c r="I321" s="9" t="s">
        <v>484</v>
      </c>
      <c r="J321" s="9" t="s">
        <v>145</v>
      </c>
    </row>
    <row r="322" spans="1:10">
      <c r="A322" s="5" t="s">
        <v>779</v>
      </c>
      <c r="B322" s="6" t="s">
        <v>777</v>
      </c>
      <c r="C322" s="7">
        <v>46030</v>
      </c>
      <c r="D322" s="9" t="s">
        <v>270</v>
      </c>
      <c r="E322" s="4" t="s">
        <v>271</v>
      </c>
      <c r="F322" s="9" t="s">
        <v>242</v>
      </c>
      <c r="G322" s="9">
        <v>4</v>
      </c>
      <c r="H322" s="6" t="s">
        <v>778</v>
      </c>
      <c r="I322" s="9" t="s">
        <v>484</v>
      </c>
      <c r="J322" s="9" t="s">
        <v>145</v>
      </c>
    </row>
    <row r="323" spans="1:10">
      <c r="A323" s="5" t="s">
        <v>780</v>
      </c>
      <c r="B323" s="6" t="s">
        <v>781</v>
      </c>
      <c r="C323" s="7">
        <v>46031</v>
      </c>
      <c r="D323" s="9" t="s">
        <v>261</v>
      </c>
      <c r="E323" s="8" t="s">
        <v>62</v>
      </c>
      <c r="F323" s="9" t="s">
        <v>242</v>
      </c>
      <c r="G323" s="9">
        <v>5</v>
      </c>
      <c r="H323" s="6" t="s">
        <v>722</v>
      </c>
      <c r="I323" s="9" t="s">
        <v>284</v>
      </c>
      <c r="J323" s="9" t="s">
        <v>145</v>
      </c>
    </row>
    <row r="324" spans="1:10">
      <c r="A324" s="5" t="s">
        <v>782</v>
      </c>
      <c r="B324" s="6" t="s">
        <v>783</v>
      </c>
      <c r="C324" s="7">
        <v>46031</v>
      </c>
      <c r="D324" s="9" t="s">
        <v>711</v>
      </c>
      <c r="E324" s="8" t="s">
        <v>111</v>
      </c>
      <c r="F324" s="9" t="s">
        <v>242</v>
      </c>
      <c r="G324" s="9">
        <v>1</v>
      </c>
      <c r="H324" s="6" t="s">
        <v>784</v>
      </c>
      <c r="I324" s="9" t="s">
        <v>258</v>
      </c>
      <c r="J324" s="9" t="s">
        <v>145</v>
      </c>
    </row>
    <row r="325" spans="1:10">
      <c r="A325" s="5" t="s">
        <v>785</v>
      </c>
      <c r="B325" s="6" t="s">
        <v>783</v>
      </c>
      <c r="C325" s="7">
        <v>46031</v>
      </c>
      <c r="D325" s="9" t="s">
        <v>714</v>
      </c>
      <c r="E325" s="8" t="s">
        <v>715</v>
      </c>
      <c r="F325" s="9" t="s">
        <v>242</v>
      </c>
      <c r="G325" s="9">
        <v>1</v>
      </c>
      <c r="H325" s="6" t="s">
        <v>784</v>
      </c>
      <c r="I325" s="9" t="s">
        <v>258</v>
      </c>
      <c r="J325" s="9" t="s">
        <v>145</v>
      </c>
    </row>
    <row r="326" spans="1:10">
      <c r="A326" s="5" t="s">
        <v>786</v>
      </c>
      <c r="B326" s="6" t="s">
        <v>787</v>
      </c>
      <c r="C326" s="7">
        <v>46031</v>
      </c>
      <c r="D326" s="9" t="s">
        <v>500</v>
      </c>
      <c r="E326" s="4" t="s">
        <v>48</v>
      </c>
      <c r="F326" s="9" t="s">
        <v>242</v>
      </c>
      <c r="G326" s="9">
        <v>1</v>
      </c>
      <c r="H326" s="6" t="s">
        <v>688</v>
      </c>
      <c r="I326" s="9" t="s">
        <v>258</v>
      </c>
      <c r="J326" s="9" t="s">
        <v>145</v>
      </c>
    </row>
    <row r="327" spans="1:10">
      <c r="A327" s="5" t="s">
        <v>788</v>
      </c>
      <c r="B327" s="6" t="s">
        <v>787</v>
      </c>
      <c r="C327" s="7">
        <v>46031</v>
      </c>
      <c r="D327" s="9" t="s">
        <v>261</v>
      </c>
      <c r="E327" s="8" t="s">
        <v>64</v>
      </c>
      <c r="F327" s="9" t="s">
        <v>242</v>
      </c>
      <c r="G327" s="9">
        <v>3</v>
      </c>
      <c r="H327" s="6" t="s">
        <v>688</v>
      </c>
      <c r="I327" s="9" t="s">
        <v>258</v>
      </c>
      <c r="J327" s="9" t="s">
        <v>145</v>
      </c>
    </row>
    <row r="328" spans="1:10">
      <c r="A328" s="5" t="s">
        <v>789</v>
      </c>
      <c r="B328" s="6" t="s">
        <v>787</v>
      </c>
      <c r="C328" s="7">
        <v>46031</v>
      </c>
      <c r="D328" s="9" t="s">
        <v>270</v>
      </c>
      <c r="E328" s="8" t="s">
        <v>271</v>
      </c>
      <c r="F328" s="9" t="s">
        <v>242</v>
      </c>
      <c r="G328" s="9">
        <v>3</v>
      </c>
      <c r="H328" s="6" t="s">
        <v>688</v>
      </c>
      <c r="I328" s="9" t="s">
        <v>258</v>
      </c>
      <c r="J328" s="9" t="s">
        <v>145</v>
      </c>
    </row>
    <row r="329" spans="1:10">
      <c r="A329" s="5" t="s">
        <v>790</v>
      </c>
      <c r="B329" s="6" t="s">
        <v>791</v>
      </c>
      <c r="C329" s="7">
        <v>46031</v>
      </c>
      <c r="D329" s="9" t="s">
        <v>500</v>
      </c>
      <c r="E329" s="8" t="s">
        <v>50</v>
      </c>
      <c r="F329" s="9" t="s">
        <v>242</v>
      </c>
      <c r="G329" s="9">
        <v>1</v>
      </c>
      <c r="H329" s="6" t="s">
        <v>693</v>
      </c>
      <c r="I329" s="9" t="s">
        <v>258</v>
      </c>
      <c r="J329" s="9" t="s">
        <v>145</v>
      </c>
    </row>
    <row r="330" spans="1:10">
      <c r="A330" s="5" t="s">
        <v>792</v>
      </c>
      <c r="B330" s="6" t="s">
        <v>791</v>
      </c>
      <c r="C330" s="7">
        <v>46031</v>
      </c>
      <c r="D330" s="9" t="s">
        <v>261</v>
      </c>
      <c r="E330" s="8" t="s">
        <v>64</v>
      </c>
      <c r="F330" s="9" t="s">
        <v>242</v>
      </c>
      <c r="G330" s="9">
        <v>2</v>
      </c>
      <c r="H330" s="6" t="s">
        <v>693</v>
      </c>
      <c r="I330" s="9" t="s">
        <v>258</v>
      </c>
      <c r="J330" s="9" t="s">
        <v>145</v>
      </c>
    </row>
    <row r="331" spans="1:10">
      <c r="A331" s="5" t="s">
        <v>793</v>
      </c>
      <c r="B331" s="6" t="s">
        <v>791</v>
      </c>
      <c r="C331" s="7">
        <v>46031</v>
      </c>
      <c r="D331" s="9" t="s">
        <v>270</v>
      </c>
      <c r="E331" s="8" t="s">
        <v>271</v>
      </c>
      <c r="F331" s="9" t="s">
        <v>242</v>
      </c>
      <c r="G331" s="9">
        <v>2</v>
      </c>
      <c r="H331" s="6" t="s">
        <v>693</v>
      </c>
      <c r="I331" s="9" t="s">
        <v>258</v>
      </c>
      <c r="J331" s="9" t="s">
        <v>145</v>
      </c>
    </row>
    <row r="332" spans="1:10">
      <c r="A332" s="5" t="s">
        <v>794</v>
      </c>
      <c r="B332" s="6" t="s">
        <v>795</v>
      </c>
      <c r="C332" s="7">
        <v>46034</v>
      </c>
      <c r="D332" s="9" t="s">
        <v>500</v>
      </c>
      <c r="E332" s="8" t="s">
        <v>52</v>
      </c>
      <c r="F332" s="9" t="s">
        <v>242</v>
      </c>
      <c r="G332" s="9">
        <v>1</v>
      </c>
      <c r="H332" s="6" t="s">
        <v>771</v>
      </c>
      <c r="I332" s="9" t="s">
        <v>289</v>
      </c>
      <c r="J332" s="9" t="s">
        <v>145</v>
      </c>
    </row>
    <row r="333" spans="1:10">
      <c r="A333" s="5" t="s">
        <v>796</v>
      </c>
      <c r="B333" s="6" t="s">
        <v>795</v>
      </c>
      <c r="C333" s="7">
        <v>46034</v>
      </c>
      <c r="D333" s="9" t="s">
        <v>261</v>
      </c>
      <c r="E333" s="8" t="s">
        <v>64</v>
      </c>
      <c r="F333" s="9" t="s">
        <v>242</v>
      </c>
      <c r="G333" s="9">
        <v>1</v>
      </c>
      <c r="H333" s="6" t="s">
        <v>771</v>
      </c>
      <c r="I333" s="9" t="s">
        <v>289</v>
      </c>
      <c r="J333" s="9" t="s">
        <v>145</v>
      </c>
    </row>
    <row r="334" spans="1:10">
      <c r="A334" s="5" t="s">
        <v>797</v>
      </c>
      <c r="B334" s="6" t="s">
        <v>795</v>
      </c>
      <c r="C334" s="7">
        <v>46034</v>
      </c>
      <c r="D334" s="9" t="s">
        <v>261</v>
      </c>
      <c r="E334" s="8" t="s">
        <v>63</v>
      </c>
      <c r="F334" s="9" t="s">
        <v>242</v>
      </c>
      <c r="G334" s="9">
        <v>1</v>
      </c>
      <c r="H334" s="6" t="s">
        <v>771</v>
      </c>
      <c r="I334" s="9" t="s">
        <v>289</v>
      </c>
      <c r="J334" s="9" t="s">
        <v>145</v>
      </c>
    </row>
    <row r="335" spans="1:10">
      <c r="A335" s="5" t="s">
        <v>798</v>
      </c>
      <c r="B335" s="6" t="s">
        <v>795</v>
      </c>
      <c r="C335" s="7">
        <v>46034</v>
      </c>
      <c r="D335" s="9" t="s">
        <v>270</v>
      </c>
      <c r="E335" s="8" t="s">
        <v>271</v>
      </c>
      <c r="F335" s="9" t="s">
        <v>242</v>
      </c>
      <c r="G335" s="9">
        <v>1</v>
      </c>
      <c r="H335" s="6" t="s">
        <v>771</v>
      </c>
      <c r="I335" s="9" t="s">
        <v>289</v>
      </c>
      <c r="J335" s="9" t="s">
        <v>145</v>
      </c>
    </row>
    <row r="336" spans="1:10">
      <c r="A336" s="5" t="s">
        <v>799</v>
      </c>
      <c r="B336" s="6" t="s">
        <v>795</v>
      </c>
      <c r="C336" s="7">
        <v>46034</v>
      </c>
      <c r="D336" s="9" t="s">
        <v>270</v>
      </c>
      <c r="E336" s="8" t="s">
        <v>68</v>
      </c>
      <c r="F336" s="9" t="s">
        <v>242</v>
      </c>
      <c r="G336" s="9">
        <v>1</v>
      </c>
      <c r="H336" s="6" t="s">
        <v>771</v>
      </c>
      <c r="I336" s="9" t="s">
        <v>289</v>
      </c>
      <c r="J336" s="9" t="s">
        <v>145</v>
      </c>
    </row>
    <row r="337" spans="1:10">
      <c r="A337" s="5" t="s">
        <v>800</v>
      </c>
      <c r="B337" s="6" t="s">
        <v>801</v>
      </c>
      <c r="C337" s="7">
        <v>46035</v>
      </c>
      <c r="D337" s="9" t="s">
        <v>500</v>
      </c>
      <c r="E337" s="8" t="s">
        <v>53</v>
      </c>
      <c r="F337" s="9" t="s">
        <v>242</v>
      </c>
      <c r="G337" s="9">
        <v>1</v>
      </c>
      <c r="H337" s="6" t="s">
        <v>693</v>
      </c>
      <c r="I337" s="9" t="s">
        <v>628</v>
      </c>
      <c r="J337" s="9" t="s">
        <v>145</v>
      </c>
    </row>
    <row r="338" spans="1:10">
      <c r="A338" s="5" t="s">
        <v>802</v>
      </c>
      <c r="B338" s="6" t="s">
        <v>801</v>
      </c>
      <c r="C338" s="7">
        <v>46035</v>
      </c>
      <c r="D338" s="9" t="s">
        <v>261</v>
      </c>
      <c r="E338" s="8" t="s">
        <v>62</v>
      </c>
      <c r="F338" s="9" t="s">
        <v>242</v>
      </c>
      <c r="G338" s="9">
        <v>2</v>
      </c>
      <c r="H338" s="6" t="s">
        <v>693</v>
      </c>
      <c r="I338" s="9" t="s">
        <v>628</v>
      </c>
      <c r="J338" s="9" t="s">
        <v>145</v>
      </c>
    </row>
    <row r="339" spans="1:10">
      <c r="A339" s="5" t="s">
        <v>803</v>
      </c>
      <c r="B339" s="6" t="s">
        <v>804</v>
      </c>
      <c r="C339" s="7">
        <v>46035</v>
      </c>
      <c r="D339" s="9" t="s">
        <v>261</v>
      </c>
      <c r="E339" s="8" t="s">
        <v>62</v>
      </c>
      <c r="F339" s="9" t="s">
        <v>242</v>
      </c>
      <c r="G339" s="9">
        <v>4</v>
      </c>
      <c r="H339" s="6" t="s">
        <v>722</v>
      </c>
      <c r="I339" s="9" t="s">
        <v>514</v>
      </c>
      <c r="J339" s="9" t="s">
        <v>145</v>
      </c>
    </row>
    <row r="340" spans="1:10">
      <c r="A340" s="5" t="s">
        <v>805</v>
      </c>
      <c r="B340" s="6" t="s">
        <v>806</v>
      </c>
      <c r="C340" s="7">
        <v>46035</v>
      </c>
      <c r="D340" s="9" t="s">
        <v>261</v>
      </c>
      <c r="E340" s="8" t="s">
        <v>65</v>
      </c>
      <c r="F340" s="9" t="s">
        <v>242</v>
      </c>
      <c r="G340" s="9">
        <v>2</v>
      </c>
      <c r="H340" s="6" t="s">
        <v>807</v>
      </c>
      <c r="I340" s="9" t="s">
        <v>253</v>
      </c>
      <c r="J340" s="9" t="s">
        <v>145</v>
      </c>
    </row>
    <row r="341" spans="1:10">
      <c r="A341" s="5" t="s">
        <v>808</v>
      </c>
      <c r="B341" s="6" t="s">
        <v>806</v>
      </c>
      <c r="C341" s="7">
        <v>46035</v>
      </c>
      <c r="D341" s="9" t="s">
        <v>261</v>
      </c>
      <c r="E341" s="8" t="s">
        <v>64</v>
      </c>
      <c r="F341" s="9" t="s">
        <v>242</v>
      </c>
      <c r="G341" s="9">
        <v>2</v>
      </c>
      <c r="H341" s="6" t="s">
        <v>807</v>
      </c>
      <c r="I341" s="9" t="s">
        <v>253</v>
      </c>
      <c r="J341" s="9" t="s">
        <v>145</v>
      </c>
    </row>
    <row r="342" spans="1:10">
      <c r="A342" s="5" t="s">
        <v>809</v>
      </c>
      <c r="B342" s="6" t="s">
        <v>806</v>
      </c>
      <c r="C342" s="7">
        <v>46035</v>
      </c>
      <c r="D342" s="9" t="s">
        <v>270</v>
      </c>
      <c r="E342" s="8" t="s">
        <v>271</v>
      </c>
      <c r="F342" s="9" t="s">
        <v>242</v>
      </c>
      <c r="G342" s="9">
        <v>6</v>
      </c>
      <c r="H342" s="6" t="s">
        <v>807</v>
      </c>
      <c r="I342" s="9" t="s">
        <v>253</v>
      </c>
      <c r="J342" s="9" t="s">
        <v>145</v>
      </c>
    </row>
    <row r="343" spans="1:10">
      <c r="A343" s="5" t="s">
        <v>810</v>
      </c>
      <c r="B343" s="6" t="s">
        <v>811</v>
      </c>
      <c r="C343" s="7">
        <v>46035</v>
      </c>
      <c r="D343" s="9" t="s">
        <v>711</v>
      </c>
      <c r="E343" s="8" t="s">
        <v>111</v>
      </c>
      <c r="F343" s="9" t="s">
        <v>242</v>
      </c>
      <c r="G343" s="9">
        <v>1</v>
      </c>
      <c r="H343" s="6" t="s">
        <v>784</v>
      </c>
      <c r="I343" s="9" t="s">
        <v>258</v>
      </c>
      <c r="J343" s="9" t="s">
        <v>145</v>
      </c>
    </row>
    <row r="344" spans="1:10">
      <c r="A344" s="5" t="s">
        <v>812</v>
      </c>
      <c r="B344" s="6" t="s">
        <v>811</v>
      </c>
      <c r="C344" s="7">
        <v>46035</v>
      </c>
      <c r="D344" s="9" t="s">
        <v>714</v>
      </c>
      <c r="E344" s="4" t="s">
        <v>715</v>
      </c>
      <c r="F344" s="9" t="s">
        <v>242</v>
      </c>
      <c r="G344" s="9">
        <v>1</v>
      </c>
      <c r="H344" s="6" t="s">
        <v>784</v>
      </c>
      <c r="I344" s="9" t="s">
        <v>258</v>
      </c>
      <c r="J344" s="9" t="s">
        <v>145</v>
      </c>
    </row>
    <row r="345" spans="1:10">
      <c r="A345" s="5" t="s">
        <v>813</v>
      </c>
      <c r="B345" s="6" t="s">
        <v>814</v>
      </c>
      <c r="C345" s="7">
        <v>46036</v>
      </c>
      <c r="D345" s="9" t="s">
        <v>500</v>
      </c>
      <c r="E345" s="4" t="s">
        <v>53</v>
      </c>
      <c r="F345" s="9" t="s">
        <v>242</v>
      </c>
      <c r="G345" s="9">
        <v>1</v>
      </c>
      <c r="H345" s="6" t="s">
        <v>693</v>
      </c>
      <c r="I345" s="9" t="s">
        <v>258</v>
      </c>
      <c r="J345" s="9" t="s">
        <v>145</v>
      </c>
    </row>
    <row r="346" spans="1:10">
      <c r="A346" s="5" t="s">
        <v>815</v>
      </c>
      <c r="B346" s="6" t="s">
        <v>814</v>
      </c>
      <c r="C346" s="7">
        <v>46036</v>
      </c>
      <c r="D346" s="9" t="s">
        <v>261</v>
      </c>
      <c r="E346" s="8" t="s">
        <v>64</v>
      </c>
      <c r="F346" s="9" t="s">
        <v>242</v>
      </c>
      <c r="G346" s="9">
        <v>1</v>
      </c>
      <c r="H346" s="6" t="s">
        <v>693</v>
      </c>
      <c r="I346" s="9" t="s">
        <v>258</v>
      </c>
      <c r="J346" s="9" t="s">
        <v>145</v>
      </c>
    </row>
    <row r="347" spans="1:10">
      <c r="A347" s="5" t="s">
        <v>816</v>
      </c>
      <c r="B347" s="6" t="s">
        <v>814</v>
      </c>
      <c r="C347" s="7">
        <v>46036</v>
      </c>
      <c r="D347" s="9" t="s">
        <v>270</v>
      </c>
      <c r="E347" s="8" t="s">
        <v>271</v>
      </c>
      <c r="F347" s="9" t="s">
        <v>242</v>
      </c>
      <c r="G347" s="9">
        <v>1</v>
      </c>
      <c r="H347" s="6" t="s">
        <v>693</v>
      </c>
      <c r="I347" s="9" t="s">
        <v>258</v>
      </c>
      <c r="J347" s="9" t="s">
        <v>145</v>
      </c>
    </row>
    <row r="348" spans="1:10">
      <c r="A348" s="5" t="s">
        <v>817</v>
      </c>
      <c r="B348" s="6" t="s">
        <v>814</v>
      </c>
      <c r="C348" s="7">
        <v>46036</v>
      </c>
      <c r="D348" s="9" t="s">
        <v>261</v>
      </c>
      <c r="E348" s="8" t="s">
        <v>62</v>
      </c>
      <c r="F348" s="9" t="s">
        <v>242</v>
      </c>
      <c r="G348" s="9">
        <v>4</v>
      </c>
      <c r="H348" s="6" t="s">
        <v>693</v>
      </c>
      <c r="I348" s="9" t="s">
        <v>258</v>
      </c>
      <c r="J348" s="9" t="s">
        <v>145</v>
      </c>
    </row>
    <row r="349" spans="1:10">
      <c r="A349" s="5" t="s">
        <v>818</v>
      </c>
      <c r="B349" s="6" t="s">
        <v>819</v>
      </c>
      <c r="C349" s="7">
        <v>46036</v>
      </c>
      <c r="D349" s="9" t="s">
        <v>500</v>
      </c>
      <c r="E349" s="4" t="s">
        <v>52</v>
      </c>
      <c r="F349" s="9" t="s">
        <v>242</v>
      </c>
      <c r="G349" s="9">
        <v>1</v>
      </c>
      <c r="H349" s="6" t="s">
        <v>693</v>
      </c>
      <c r="I349" s="9" t="s">
        <v>484</v>
      </c>
      <c r="J349" s="9" t="s">
        <v>145</v>
      </c>
    </row>
    <row r="350" spans="1:10">
      <c r="A350" s="5" t="s">
        <v>820</v>
      </c>
      <c r="B350" s="6" t="s">
        <v>819</v>
      </c>
      <c r="C350" s="7">
        <v>46036</v>
      </c>
      <c r="D350" s="9" t="s">
        <v>261</v>
      </c>
      <c r="E350" s="8" t="s">
        <v>64</v>
      </c>
      <c r="F350" s="9" t="s">
        <v>242</v>
      </c>
      <c r="G350" s="9">
        <v>2</v>
      </c>
      <c r="H350" s="6" t="s">
        <v>693</v>
      </c>
      <c r="I350" s="9" t="s">
        <v>484</v>
      </c>
      <c r="J350" s="9" t="s">
        <v>145</v>
      </c>
    </row>
    <row r="351" spans="1:10">
      <c r="A351" s="5" t="s">
        <v>821</v>
      </c>
      <c r="B351" s="6" t="s">
        <v>819</v>
      </c>
      <c r="C351" s="7">
        <v>46036</v>
      </c>
      <c r="D351" s="9" t="s">
        <v>270</v>
      </c>
      <c r="E351" s="4" t="s">
        <v>271</v>
      </c>
      <c r="F351" s="9" t="s">
        <v>242</v>
      </c>
      <c r="G351" s="9">
        <v>2</v>
      </c>
      <c r="H351" s="6" t="s">
        <v>693</v>
      </c>
      <c r="I351" s="9" t="s">
        <v>484</v>
      </c>
      <c r="J351" s="9" t="s">
        <v>145</v>
      </c>
    </row>
    <row r="352" spans="1:10">
      <c r="A352" s="5" t="s">
        <v>822</v>
      </c>
      <c r="B352" s="6" t="s">
        <v>823</v>
      </c>
      <c r="C352" s="7">
        <v>46037</v>
      </c>
      <c r="D352" s="9" t="s">
        <v>261</v>
      </c>
      <c r="E352" s="8" t="s">
        <v>62</v>
      </c>
      <c r="F352" s="9" t="s">
        <v>242</v>
      </c>
      <c r="G352" s="9">
        <v>2</v>
      </c>
      <c r="H352" s="6" t="s">
        <v>735</v>
      </c>
      <c r="I352" s="9" t="s">
        <v>484</v>
      </c>
      <c r="J352" s="9" t="s">
        <v>145</v>
      </c>
    </row>
    <row r="353" spans="1:10">
      <c r="A353" s="5" t="s">
        <v>824</v>
      </c>
      <c r="B353" s="6" t="s">
        <v>825</v>
      </c>
      <c r="C353" s="7">
        <v>46036</v>
      </c>
      <c r="D353" s="9" t="s">
        <v>241</v>
      </c>
      <c r="E353" s="4" t="s">
        <v>28</v>
      </c>
      <c r="F353" s="9" t="s">
        <v>242</v>
      </c>
      <c r="G353" s="9">
        <v>20</v>
      </c>
      <c r="H353" s="6" t="s">
        <v>826</v>
      </c>
      <c r="I353" s="9" t="s">
        <v>827</v>
      </c>
      <c r="J353" s="9" t="s">
        <v>145</v>
      </c>
    </row>
    <row r="354" spans="1:10">
      <c r="A354" s="5" t="s">
        <v>828</v>
      </c>
      <c r="B354" s="6" t="s">
        <v>829</v>
      </c>
      <c r="C354" s="7">
        <v>46024</v>
      </c>
      <c r="D354" s="9" t="s">
        <v>241</v>
      </c>
      <c r="E354" s="8" t="s">
        <v>28</v>
      </c>
      <c r="F354" s="9" t="s">
        <v>242</v>
      </c>
      <c r="G354" s="9">
        <v>20</v>
      </c>
      <c r="H354" s="6" t="s">
        <v>826</v>
      </c>
      <c r="I354" s="9" t="s">
        <v>830</v>
      </c>
      <c r="J354" s="9" t="s">
        <v>145</v>
      </c>
    </row>
    <row r="355" spans="1:10">
      <c r="A355" s="5" t="s">
        <v>831</v>
      </c>
      <c r="B355" s="6" t="s">
        <v>832</v>
      </c>
      <c r="C355" s="7">
        <v>46037</v>
      </c>
      <c r="D355" s="9" t="s">
        <v>261</v>
      </c>
      <c r="E355" s="8" t="s">
        <v>62</v>
      </c>
      <c r="F355" s="9" t="s">
        <v>242</v>
      </c>
      <c r="G355" s="9">
        <v>4</v>
      </c>
      <c r="H355" s="6" t="s">
        <v>722</v>
      </c>
      <c r="I355" s="9" t="s">
        <v>609</v>
      </c>
      <c r="J355" s="9" t="s">
        <v>145</v>
      </c>
    </row>
    <row r="356" spans="1:10">
      <c r="A356" s="5" t="s">
        <v>833</v>
      </c>
      <c r="B356" s="6" t="s">
        <v>834</v>
      </c>
      <c r="C356" s="7">
        <v>46037</v>
      </c>
      <c r="D356" s="9" t="s">
        <v>261</v>
      </c>
      <c r="E356" s="8" t="s">
        <v>62</v>
      </c>
      <c r="F356" s="9" t="s">
        <v>242</v>
      </c>
      <c r="G356" s="9">
        <v>20</v>
      </c>
      <c r="H356" s="6" t="s">
        <v>835</v>
      </c>
      <c r="I356" s="9" t="s">
        <v>253</v>
      </c>
      <c r="J356" s="9" t="s">
        <v>145</v>
      </c>
    </row>
    <row r="357" spans="1:10">
      <c r="A357" s="5" t="s">
        <v>836</v>
      </c>
      <c r="B357" s="6" t="s">
        <v>837</v>
      </c>
      <c r="C357" s="7">
        <v>46038</v>
      </c>
      <c r="D357" s="9" t="s">
        <v>500</v>
      </c>
      <c r="E357" s="8" t="s">
        <v>3</v>
      </c>
      <c r="F357" s="9" t="s">
        <v>242</v>
      </c>
      <c r="G357" s="9">
        <v>1</v>
      </c>
      <c r="H357" s="6" t="s">
        <v>838</v>
      </c>
      <c r="I357" s="9" t="s">
        <v>258</v>
      </c>
      <c r="J357" s="9" t="s">
        <v>145</v>
      </c>
    </row>
    <row r="358" spans="1:10">
      <c r="A358" s="5" t="s">
        <v>839</v>
      </c>
      <c r="B358" s="6" t="s">
        <v>837</v>
      </c>
      <c r="C358" s="7">
        <v>46038</v>
      </c>
      <c r="D358" s="9" t="s">
        <v>261</v>
      </c>
      <c r="E358" s="8" t="s">
        <v>65</v>
      </c>
      <c r="F358" s="9" t="s">
        <v>242</v>
      </c>
      <c r="G358" s="9">
        <v>4</v>
      </c>
      <c r="H358" s="6" t="s">
        <v>838</v>
      </c>
      <c r="I358" s="9" t="s">
        <v>258</v>
      </c>
      <c r="J358" s="9" t="s">
        <v>145</v>
      </c>
    </row>
    <row r="359" spans="1:10">
      <c r="A359" s="5" t="s">
        <v>840</v>
      </c>
      <c r="B359" s="6" t="s">
        <v>837</v>
      </c>
      <c r="C359" s="7">
        <v>46038</v>
      </c>
      <c r="D359" s="9" t="s">
        <v>261</v>
      </c>
      <c r="E359" s="4" t="s">
        <v>64</v>
      </c>
      <c r="F359" s="9" t="s">
        <v>242</v>
      </c>
      <c r="G359" s="9">
        <v>3</v>
      </c>
      <c r="H359" s="6" t="s">
        <v>838</v>
      </c>
      <c r="I359" s="9" t="s">
        <v>258</v>
      </c>
      <c r="J359" s="9" t="s">
        <v>145</v>
      </c>
    </row>
    <row r="360" spans="1:10">
      <c r="A360" s="5" t="s">
        <v>841</v>
      </c>
      <c r="B360" s="6" t="s">
        <v>837</v>
      </c>
      <c r="C360" s="7">
        <v>46038</v>
      </c>
      <c r="D360" s="9" t="s">
        <v>270</v>
      </c>
      <c r="E360" s="8" t="s">
        <v>271</v>
      </c>
      <c r="F360" s="9" t="s">
        <v>242</v>
      </c>
      <c r="G360" s="9">
        <v>12</v>
      </c>
      <c r="H360" s="6" t="s">
        <v>838</v>
      </c>
      <c r="I360" s="9" t="s">
        <v>258</v>
      </c>
      <c r="J360" s="9" t="s">
        <v>145</v>
      </c>
    </row>
    <row r="361" spans="1:10">
      <c r="A361" s="5" t="s">
        <v>842</v>
      </c>
      <c r="B361" s="6" t="s">
        <v>837</v>
      </c>
      <c r="C361" s="7">
        <v>46038</v>
      </c>
      <c r="D361" s="9" t="s">
        <v>696</v>
      </c>
      <c r="E361" s="8" t="s">
        <v>843</v>
      </c>
      <c r="F361" s="9" t="s">
        <v>242</v>
      </c>
      <c r="G361" s="9">
        <v>25</v>
      </c>
      <c r="H361" s="6" t="s">
        <v>838</v>
      </c>
      <c r="I361" s="9" t="s">
        <v>258</v>
      </c>
      <c r="J361" s="9" t="s">
        <v>145</v>
      </c>
    </row>
    <row r="362" spans="1:10">
      <c r="A362" s="5" t="s">
        <v>844</v>
      </c>
      <c r="B362" s="6" t="s">
        <v>845</v>
      </c>
      <c r="C362" s="7">
        <v>46038</v>
      </c>
      <c r="D362" s="9" t="s">
        <v>261</v>
      </c>
      <c r="E362" s="8" t="s">
        <v>62</v>
      </c>
      <c r="F362" s="9" t="s">
        <v>242</v>
      </c>
      <c r="G362" s="9">
        <v>2</v>
      </c>
      <c r="H362" s="6" t="s">
        <v>846</v>
      </c>
      <c r="I362" s="9" t="s">
        <v>484</v>
      </c>
      <c r="J362" s="9" t="s">
        <v>145</v>
      </c>
    </row>
    <row r="363" spans="1:10">
      <c r="A363" s="5" t="s">
        <v>847</v>
      </c>
      <c r="B363" s="6" t="s">
        <v>848</v>
      </c>
      <c r="C363" s="7">
        <v>46038</v>
      </c>
      <c r="D363" s="9" t="s">
        <v>261</v>
      </c>
      <c r="E363" s="8" t="s">
        <v>62</v>
      </c>
      <c r="F363" s="9" t="s">
        <v>242</v>
      </c>
      <c r="G363" s="9">
        <v>4</v>
      </c>
      <c r="H363" s="6" t="s">
        <v>722</v>
      </c>
      <c r="I363" s="9" t="s">
        <v>275</v>
      </c>
      <c r="J363" s="9" t="s">
        <v>145</v>
      </c>
    </row>
    <row r="364" spans="1:10">
      <c r="A364" s="5" t="s">
        <v>849</v>
      </c>
      <c r="B364" s="6" t="s">
        <v>850</v>
      </c>
      <c r="C364" s="7">
        <v>46038</v>
      </c>
      <c r="D364" s="9" t="s">
        <v>696</v>
      </c>
      <c r="E364" s="8" t="s">
        <v>86</v>
      </c>
      <c r="F364" s="9" t="s">
        <v>242</v>
      </c>
      <c r="G364" s="9">
        <v>55</v>
      </c>
      <c r="H364" s="6" t="s">
        <v>851</v>
      </c>
      <c r="I364" s="9" t="s">
        <v>258</v>
      </c>
      <c r="J364" s="9" t="s">
        <v>145</v>
      </c>
    </row>
    <row r="365" spans="1:10">
      <c r="A365" s="5" t="s">
        <v>852</v>
      </c>
      <c r="B365" s="6" t="s">
        <v>850</v>
      </c>
      <c r="C365" s="7">
        <v>46038</v>
      </c>
      <c r="D365" s="9" t="s">
        <v>261</v>
      </c>
      <c r="E365" s="8" t="s">
        <v>62</v>
      </c>
      <c r="F365" s="9" t="s">
        <v>242</v>
      </c>
      <c r="G365" s="9">
        <v>4</v>
      </c>
      <c r="H365" s="6" t="s">
        <v>851</v>
      </c>
      <c r="I365" s="9" t="s">
        <v>258</v>
      </c>
      <c r="J365" s="9" t="s">
        <v>145</v>
      </c>
    </row>
    <row r="366" spans="1:10">
      <c r="A366" s="5" t="s">
        <v>853</v>
      </c>
      <c r="B366" s="6" t="s">
        <v>854</v>
      </c>
      <c r="C366" s="7">
        <v>46041</v>
      </c>
      <c r="D366" s="9" t="s">
        <v>500</v>
      </c>
      <c r="E366" s="8" t="s">
        <v>54</v>
      </c>
      <c r="F366" s="9" t="s">
        <v>242</v>
      </c>
      <c r="G366" s="9">
        <v>1</v>
      </c>
      <c r="H366" s="6" t="s">
        <v>855</v>
      </c>
      <c r="I366" s="9" t="s">
        <v>616</v>
      </c>
      <c r="J366" s="9" t="s">
        <v>145</v>
      </c>
    </row>
    <row r="367" spans="1:10">
      <c r="A367" s="5" t="s">
        <v>856</v>
      </c>
      <c r="B367" s="6" t="s">
        <v>854</v>
      </c>
      <c r="C367" s="7">
        <v>46041</v>
      </c>
      <c r="D367" s="9" t="s">
        <v>500</v>
      </c>
      <c r="E367" s="8" t="s">
        <v>53</v>
      </c>
      <c r="F367" s="9" t="s">
        <v>242</v>
      </c>
      <c r="G367" s="9">
        <v>1</v>
      </c>
      <c r="H367" s="6" t="s">
        <v>855</v>
      </c>
      <c r="I367" s="9" t="s">
        <v>616</v>
      </c>
      <c r="J367" s="9" t="s">
        <v>145</v>
      </c>
    </row>
    <row r="368" spans="1:10">
      <c r="A368" s="5" t="s">
        <v>857</v>
      </c>
      <c r="B368" s="6" t="s">
        <v>854</v>
      </c>
      <c r="C368" s="7">
        <v>46041</v>
      </c>
      <c r="D368" s="9" t="s">
        <v>261</v>
      </c>
      <c r="E368" s="4" t="s">
        <v>62</v>
      </c>
      <c r="F368" s="9" t="s">
        <v>242</v>
      </c>
      <c r="G368" s="9">
        <v>3</v>
      </c>
      <c r="H368" s="6" t="s">
        <v>855</v>
      </c>
      <c r="I368" s="9" t="s">
        <v>616</v>
      </c>
      <c r="J368" s="9" t="s">
        <v>145</v>
      </c>
    </row>
    <row r="369" spans="1:10">
      <c r="A369" s="5" t="s">
        <v>858</v>
      </c>
      <c r="B369" s="6" t="s">
        <v>859</v>
      </c>
      <c r="C369" s="7">
        <v>46041</v>
      </c>
      <c r="D369" s="9" t="s">
        <v>261</v>
      </c>
      <c r="E369" s="8" t="s">
        <v>62</v>
      </c>
      <c r="F369" s="9" t="s">
        <v>242</v>
      </c>
      <c r="G369" s="9">
        <v>10</v>
      </c>
      <c r="H369" s="6" t="s">
        <v>722</v>
      </c>
      <c r="I369" s="9" t="s">
        <v>275</v>
      </c>
      <c r="J369" s="9" t="s">
        <v>145</v>
      </c>
    </row>
    <row r="370" spans="1:10">
      <c r="A370" s="5" t="s">
        <v>860</v>
      </c>
      <c r="B370" s="6" t="s">
        <v>861</v>
      </c>
      <c r="C370" s="7">
        <v>46041</v>
      </c>
      <c r="D370" s="9" t="s">
        <v>500</v>
      </c>
      <c r="E370" s="8" t="s">
        <v>48</v>
      </c>
      <c r="F370" s="9" t="s">
        <v>242</v>
      </c>
      <c r="G370" s="9">
        <v>1</v>
      </c>
      <c r="H370" s="6" t="s">
        <v>688</v>
      </c>
      <c r="I370" s="9" t="s">
        <v>258</v>
      </c>
      <c r="J370" s="9" t="s">
        <v>145</v>
      </c>
    </row>
    <row r="371" spans="1:10">
      <c r="A371" s="5" t="s">
        <v>862</v>
      </c>
      <c r="B371" s="6" t="s">
        <v>861</v>
      </c>
      <c r="C371" s="7">
        <v>46041</v>
      </c>
      <c r="D371" s="9" t="s">
        <v>261</v>
      </c>
      <c r="E371" s="8" t="s">
        <v>64</v>
      </c>
      <c r="F371" s="9" t="s">
        <v>242</v>
      </c>
      <c r="G371" s="9">
        <v>3</v>
      </c>
      <c r="H371" s="6" t="s">
        <v>688</v>
      </c>
      <c r="I371" s="9" t="s">
        <v>258</v>
      </c>
      <c r="J371" s="9" t="s">
        <v>145</v>
      </c>
    </row>
    <row r="372" spans="1:10">
      <c r="A372" s="5" t="s">
        <v>863</v>
      </c>
      <c r="B372" s="6" t="s">
        <v>861</v>
      </c>
      <c r="C372" s="7">
        <v>46041</v>
      </c>
      <c r="D372" s="9" t="s">
        <v>270</v>
      </c>
      <c r="E372" s="8" t="s">
        <v>271</v>
      </c>
      <c r="F372" s="9" t="s">
        <v>242</v>
      </c>
      <c r="G372" s="9">
        <v>3</v>
      </c>
      <c r="H372" s="6" t="s">
        <v>688</v>
      </c>
      <c r="I372" s="9" t="s">
        <v>258</v>
      </c>
      <c r="J372" s="9" t="s">
        <v>145</v>
      </c>
    </row>
    <row r="373" spans="1:10">
      <c r="A373" s="5" t="s">
        <v>864</v>
      </c>
      <c r="B373" s="6" t="s">
        <v>865</v>
      </c>
      <c r="C373" s="7">
        <v>46041</v>
      </c>
      <c r="D373" s="9" t="s">
        <v>500</v>
      </c>
      <c r="E373" s="8" t="s">
        <v>4</v>
      </c>
      <c r="F373" s="9" t="s">
        <v>242</v>
      </c>
      <c r="G373" s="9">
        <v>1</v>
      </c>
      <c r="H373" s="6" t="s">
        <v>866</v>
      </c>
      <c r="I373" s="9" t="s">
        <v>258</v>
      </c>
      <c r="J373" s="9" t="s">
        <v>145</v>
      </c>
    </row>
    <row r="374" spans="1:10">
      <c r="A374" s="5" t="s">
        <v>867</v>
      </c>
      <c r="B374" s="6" t="s">
        <v>865</v>
      </c>
      <c r="C374" s="7">
        <v>46041</v>
      </c>
      <c r="D374" s="9" t="s">
        <v>261</v>
      </c>
      <c r="E374" s="8" t="s">
        <v>64</v>
      </c>
      <c r="F374" s="9" t="s">
        <v>242</v>
      </c>
      <c r="G374" s="9">
        <v>3</v>
      </c>
      <c r="H374" s="6" t="s">
        <v>866</v>
      </c>
      <c r="I374" s="9" t="s">
        <v>258</v>
      </c>
      <c r="J374" s="9" t="s">
        <v>145</v>
      </c>
    </row>
    <row r="375" spans="1:10">
      <c r="A375" s="5" t="s">
        <v>868</v>
      </c>
      <c r="B375" s="6" t="s">
        <v>865</v>
      </c>
      <c r="C375" s="7">
        <v>46041</v>
      </c>
      <c r="D375" s="9" t="s">
        <v>270</v>
      </c>
      <c r="E375" s="8" t="s">
        <v>271</v>
      </c>
      <c r="F375" s="9" t="s">
        <v>242</v>
      </c>
      <c r="G375" s="9">
        <v>3</v>
      </c>
      <c r="H375" s="6" t="s">
        <v>866</v>
      </c>
      <c r="I375" s="9" t="s">
        <v>258</v>
      </c>
      <c r="J375" s="9" t="s">
        <v>145</v>
      </c>
    </row>
    <row r="376" spans="1:10">
      <c r="A376" s="5" t="s">
        <v>869</v>
      </c>
      <c r="B376" s="6" t="s">
        <v>870</v>
      </c>
      <c r="C376" s="7">
        <v>46042</v>
      </c>
      <c r="D376" s="9" t="s">
        <v>261</v>
      </c>
      <c r="E376" s="4" t="s">
        <v>62</v>
      </c>
      <c r="F376" s="9" t="s">
        <v>242</v>
      </c>
      <c r="G376" s="9">
        <v>3</v>
      </c>
      <c r="H376" s="6" t="s">
        <v>871</v>
      </c>
      <c r="I376" s="9" t="s">
        <v>514</v>
      </c>
      <c r="J376" s="9" t="s">
        <v>145</v>
      </c>
    </row>
    <row r="377" spans="1:10">
      <c r="A377" s="5" t="s">
        <v>872</v>
      </c>
      <c r="B377" s="6" t="s">
        <v>873</v>
      </c>
      <c r="C377" s="7">
        <v>46042</v>
      </c>
      <c r="D377" s="9" t="s">
        <v>261</v>
      </c>
      <c r="E377" s="8" t="s">
        <v>62</v>
      </c>
      <c r="F377" s="9" t="s">
        <v>242</v>
      </c>
      <c r="G377" s="9">
        <v>2</v>
      </c>
      <c r="H377" s="6" t="s">
        <v>756</v>
      </c>
      <c r="I377" s="9" t="s">
        <v>284</v>
      </c>
      <c r="J377" s="9" t="s">
        <v>145</v>
      </c>
    </row>
    <row r="378" spans="1:10">
      <c r="A378" s="5" t="s">
        <v>874</v>
      </c>
      <c r="B378" s="6" t="s">
        <v>875</v>
      </c>
      <c r="C378" s="7">
        <v>46042</v>
      </c>
      <c r="D378" s="9" t="s">
        <v>500</v>
      </c>
      <c r="E378" s="8" t="s">
        <v>54</v>
      </c>
      <c r="F378" s="9" t="s">
        <v>242</v>
      </c>
      <c r="G378" s="9">
        <v>1</v>
      </c>
      <c r="H378" s="6" t="s">
        <v>876</v>
      </c>
      <c r="I378" s="9" t="s">
        <v>253</v>
      </c>
      <c r="J378" s="9" t="s">
        <v>145</v>
      </c>
    </row>
    <row r="379" spans="1:10">
      <c r="A379" s="5" t="s">
        <v>877</v>
      </c>
      <c r="B379" s="6" t="s">
        <v>875</v>
      </c>
      <c r="C379" s="7">
        <v>46042</v>
      </c>
      <c r="D379" s="9" t="s">
        <v>261</v>
      </c>
      <c r="E379" s="8" t="s">
        <v>62</v>
      </c>
      <c r="F379" s="9" t="s">
        <v>242</v>
      </c>
      <c r="G379" s="9">
        <v>2</v>
      </c>
      <c r="H379" s="6" t="s">
        <v>876</v>
      </c>
      <c r="I379" s="9" t="s">
        <v>253</v>
      </c>
      <c r="J379" s="9" t="s">
        <v>145</v>
      </c>
    </row>
    <row r="380" spans="1:10">
      <c r="A380" s="5" t="s">
        <v>878</v>
      </c>
      <c r="B380" s="6" t="s">
        <v>879</v>
      </c>
      <c r="C380" s="7">
        <v>46042</v>
      </c>
      <c r="D380" s="9" t="s">
        <v>261</v>
      </c>
      <c r="E380" s="8" t="s">
        <v>62</v>
      </c>
      <c r="F380" s="9" t="s">
        <v>242</v>
      </c>
      <c r="G380" s="9">
        <v>6</v>
      </c>
      <c r="H380" s="6" t="s">
        <v>722</v>
      </c>
      <c r="I380" s="9" t="s">
        <v>258</v>
      </c>
      <c r="J380" s="9" t="s">
        <v>145</v>
      </c>
    </row>
    <row r="381" spans="1:10">
      <c r="A381" s="5" t="s">
        <v>880</v>
      </c>
      <c r="B381" s="6" t="s">
        <v>881</v>
      </c>
      <c r="C381" s="7">
        <v>46042</v>
      </c>
      <c r="D381" s="9" t="s">
        <v>261</v>
      </c>
      <c r="E381" s="8" t="s">
        <v>62</v>
      </c>
      <c r="F381" s="9" t="s">
        <v>242</v>
      </c>
      <c r="G381" s="9">
        <v>3</v>
      </c>
      <c r="H381" s="6" t="s">
        <v>722</v>
      </c>
      <c r="I381" s="9" t="s">
        <v>258</v>
      </c>
      <c r="J381" s="9" t="s">
        <v>145</v>
      </c>
    </row>
    <row r="382" spans="1:10">
      <c r="A382" s="5" t="s">
        <v>882</v>
      </c>
      <c r="B382" s="6" t="s">
        <v>883</v>
      </c>
      <c r="C382" s="7">
        <v>46044</v>
      </c>
      <c r="D382" s="9" t="s">
        <v>261</v>
      </c>
      <c r="E382" s="8" t="s">
        <v>62</v>
      </c>
      <c r="F382" s="9" t="s">
        <v>242</v>
      </c>
      <c r="G382" s="9">
        <v>6</v>
      </c>
      <c r="H382" s="6" t="s">
        <v>722</v>
      </c>
      <c r="I382" s="9" t="s">
        <v>275</v>
      </c>
      <c r="J382" s="9" t="s">
        <v>145</v>
      </c>
    </row>
    <row r="383" spans="1:10">
      <c r="A383" s="5" t="s">
        <v>884</v>
      </c>
      <c r="B383" s="6" t="s">
        <v>885</v>
      </c>
      <c r="C383" s="7">
        <v>46045</v>
      </c>
      <c r="D383" s="9" t="s">
        <v>261</v>
      </c>
      <c r="E383" s="8" t="s">
        <v>65</v>
      </c>
      <c r="F383" s="9" t="s">
        <v>242</v>
      </c>
      <c r="G383" s="9">
        <v>2</v>
      </c>
      <c r="H383" s="6" t="s">
        <v>838</v>
      </c>
      <c r="I383" s="9" t="s">
        <v>253</v>
      </c>
      <c r="J383" s="9" t="s">
        <v>145</v>
      </c>
    </row>
    <row r="384" spans="1:10">
      <c r="A384" s="5" t="s">
        <v>886</v>
      </c>
      <c r="B384" s="6" t="s">
        <v>885</v>
      </c>
      <c r="C384" s="7">
        <v>46045</v>
      </c>
      <c r="D384" s="9" t="s">
        <v>270</v>
      </c>
      <c r="E384" s="8" t="s">
        <v>271</v>
      </c>
      <c r="F384" s="9" t="s">
        <v>242</v>
      </c>
      <c r="G384" s="9">
        <v>4</v>
      </c>
      <c r="H384" s="6" t="s">
        <v>838</v>
      </c>
      <c r="I384" s="9" t="s">
        <v>253</v>
      </c>
      <c r="J384" s="9" t="s">
        <v>145</v>
      </c>
    </row>
    <row r="385" spans="1:10">
      <c r="A385" s="5" t="s">
        <v>887</v>
      </c>
      <c r="B385" s="6" t="s">
        <v>888</v>
      </c>
      <c r="C385" s="7">
        <v>46048</v>
      </c>
      <c r="D385" s="9" t="s">
        <v>261</v>
      </c>
      <c r="E385" s="8" t="s">
        <v>62</v>
      </c>
      <c r="F385" s="9" t="s">
        <v>242</v>
      </c>
      <c r="G385" s="9">
        <v>5</v>
      </c>
      <c r="H385" s="6" t="s">
        <v>722</v>
      </c>
      <c r="I385" s="9" t="s">
        <v>258</v>
      </c>
      <c r="J385" s="9" t="s">
        <v>145</v>
      </c>
    </row>
    <row r="386" spans="1:10">
      <c r="A386" s="5" t="s">
        <v>889</v>
      </c>
      <c r="B386" s="6" t="s">
        <v>890</v>
      </c>
      <c r="C386" s="7">
        <v>46049</v>
      </c>
      <c r="D386" s="9" t="s">
        <v>261</v>
      </c>
      <c r="E386" s="8" t="s">
        <v>62</v>
      </c>
      <c r="F386" s="9" t="s">
        <v>242</v>
      </c>
      <c r="G386" s="9">
        <v>6</v>
      </c>
      <c r="H386" s="6" t="s">
        <v>722</v>
      </c>
      <c r="I386" s="9" t="s">
        <v>616</v>
      </c>
      <c r="J386" s="9" t="s">
        <v>145</v>
      </c>
    </row>
    <row r="387" spans="1:10">
      <c r="A387" s="5" t="s">
        <v>891</v>
      </c>
      <c r="B387" s="6" t="s">
        <v>892</v>
      </c>
      <c r="C387" s="7">
        <v>46049</v>
      </c>
      <c r="D387" s="9" t="s">
        <v>261</v>
      </c>
      <c r="E387" s="8" t="s">
        <v>62</v>
      </c>
      <c r="F387" s="9" t="s">
        <v>242</v>
      </c>
      <c r="G387" s="9">
        <v>2</v>
      </c>
      <c r="H387" s="6" t="s">
        <v>722</v>
      </c>
      <c r="I387" s="9" t="s">
        <v>609</v>
      </c>
      <c r="J387" s="9" t="s">
        <v>145</v>
      </c>
    </row>
    <row r="388" spans="1:10">
      <c r="A388" s="5" t="s">
        <v>893</v>
      </c>
      <c r="B388" s="6" t="s">
        <v>894</v>
      </c>
      <c r="C388" s="7">
        <v>46049</v>
      </c>
      <c r="D388" s="9" t="s">
        <v>261</v>
      </c>
      <c r="E388" s="8" t="s">
        <v>62</v>
      </c>
      <c r="F388" s="9" t="s">
        <v>242</v>
      </c>
      <c r="G388" s="9">
        <v>2</v>
      </c>
      <c r="H388" s="6" t="s">
        <v>722</v>
      </c>
      <c r="I388" s="9" t="s">
        <v>609</v>
      </c>
      <c r="J388" s="9" t="s">
        <v>145</v>
      </c>
    </row>
    <row r="389" spans="1:10">
      <c r="A389" s="5" t="s">
        <v>895</v>
      </c>
      <c r="B389" s="6" t="s">
        <v>896</v>
      </c>
      <c r="C389" s="7">
        <v>46049</v>
      </c>
      <c r="D389" s="9" t="s">
        <v>261</v>
      </c>
      <c r="E389" s="4" t="s">
        <v>62</v>
      </c>
      <c r="F389" s="9" t="s">
        <v>242</v>
      </c>
      <c r="G389" s="9">
        <v>9</v>
      </c>
      <c r="H389" s="6" t="s">
        <v>722</v>
      </c>
      <c r="I389" s="9" t="s">
        <v>514</v>
      </c>
      <c r="J389" s="9" t="s">
        <v>145</v>
      </c>
    </row>
    <row r="390" spans="1:10">
      <c r="A390" s="5" t="s">
        <v>897</v>
      </c>
      <c r="B390" s="6" t="s">
        <v>898</v>
      </c>
      <c r="C390" s="7">
        <v>46049</v>
      </c>
      <c r="D390" s="9" t="s">
        <v>500</v>
      </c>
      <c r="E390" s="8" t="s">
        <v>53</v>
      </c>
      <c r="F390" s="9" t="s">
        <v>242</v>
      </c>
      <c r="G390" s="9">
        <v>1</v>
      </c>
      <c r="H390" s="6" t="s">
        <v>693</v>
      </c>
      <c r="I390" s="9" t="s">
        <v>514</v>
      </c>
      <c r="J390" s="9" t="s">
        <v>145</v>
      </c>
    </row>
    <row r="391" spans="1:10">
      <c r="A391" s="5" t="s">
        <v>899</v>
      </c>
      <c r="B391" s="6" t="s">
        <v>898</v>
      </c>
      <c r="C391" s="7">
        <v>46049</v>
      </c>
      <c r="D391" s="9" t="s">
        <v>261</v>
      </c>
      <c r="E391" s="8" t="s">
        <v>64</v>
      </c>
      <c r="F391" s="9" t="s">
        <v>242</v>
      </c>
      <c r="G391" s="9">
        <v>1</v>
      </c>
      <c r="H391" s="6" t="s">
        <v>693</v>
      </c>
      <c r="I391" s="9" t="s">
        <v>514</v>
      </c>
      <c r="J391" s="9" t="s">
        <v>145</v>
      </c>
    </row>
    <row r="392" spans="1:10">
      <c r="A392" s="5" t="s">
        <v>900</v>
      </c>
      <c r="B392" s="6" t="s">
        <v>898</v>
      </c>
      <c r="C392" s="7">
        <v>46049</v>
      </c>
      <c r="D392" s="9" t="s">
        <v>270</v>
      </c>
      <c r="E392" s="8" t="s">
        <v>271</v>
      </c>
      <c r="F392" s="9" t="s">
        <v>242</v>
      </c>
      <c r="G392" s="9">
        <v>1</v>
      </c>
      <c r="H392" s="6" t="s">
        <v>693</v>
      </c>
      <c r="I392" s="9" t="s">
        <v>514</v>
      </c>
      <c r="J392" s="9" t="s">
        <v>145</v>
      </c>
    </row>
    <row r="393" spans="1:10">
      <c r="A393" s="5" t="s">
        <v>901</v>
      </c>
      <c r="B393" s="6" t="s">
        <v>902</v>
      </c>
      <c r="C393" s="7">
        <v>46050</v>
      </c>
      <c r="D393" s="9" t="s">
        <v>241</v>
      </c>
      <c r="E393" s="8" t="s">
        <v>28</v>
      </c>
      <c r="F393" s="9" t="s">
        <v>242</v>
      </c>
      <c r="G393" s="9">
        <v>20</v>
      </c>
      <c r="H393" s="6" t="s">
        <v>826</v>
      </c>
      <c r="I393" s="9" t="s">
        <v>827</v>
      </c>
      <c r="J393" s="9" t="s">
        <v>145</v>
      </c>
    </row>
    <row r="394" spans="1:10">
      <c r="A394" s="5" t="s">
        <v>903</v>
      </c>
      <c r="B394" s="6" t="s">
        <v>904</v>
      </c>
      <c r="C394" s="7">
        <v>46050</v>
      </c>
      <c r="D394" s="9" t="s">
        <v>905</v>
      </c>
      <c r="E394" s="8" t="s">
        <v>208</v>
      </c>
      <c r="F394" s="9" t="s">
        <v>242</v>
      </c>
      <c r="G394" s="9">
        <v>25</v>
      </c>
      <c r="H394" s="6" t="s">
        <v>906</v>
      </c>
      <c r="I394" s="9" t="s">
        <v>827</v>
      </c>
      <c r="J394" s="9" t="s">
        <v>145</v>
      </c>
    </row>
    <row r="395" spans="1:10">
      <c r="A395" s="5" t="s">
        <v>907</v>
      </c>
      <c r="B395" s="6" t="s">
        <v>908</v>
      </c>
      <c r="C395" s="7">
        <v>46050</v>
      </c>
      <c r="D395" s="9" t="s">
        <v>905</v>
      </c>
      <c r="E395" s="4" t="s">
        <v>216</v>
      </c>
      <c r="F395" s="9" t="s">
        <v>242</v>
      </c>
      <c r="G395" s="9">
        <v>15</v>
      </c>
      <c r="H395" s="6" t="s">
        <v>906</v>
      </c>
      <c r="I395" s="9" t="s">
        <v>827</v>
      </c>
      <c r="J395" s="9" t="s">
        <v>145</v>
      </c>
    </row>
  </sheetData>
  <autoFilter ref="A6:M395" xr:uid="{2E476635-5A15-48D1-804B-1ADD578775A1}"/>
  <mergeCells count="2">
    <mergeCell ref="A2:J2"/>
    <mergeCell ref="A3:B3"/>
  </mergeCells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0DDC6-D677-4F87-9ADB-AB02478BF61A}">
  <dimension ref="A2:M410"/>
  <sheetViews>
    <sheetView workbookViewId="0">
      <selection sqref="A1:A1048576"/>
    </sheetView>
  </sheetViews>
  <sheetFormatPr defaultColWidth="9.81640625" defaultRowHeight="17"/>
  <cols>
    <col min="1" max="1" width="7.81640625" style="10" customWidth="1"/>
    <col min="2" max="2" width="35.81640625" style="3" bestFit="1" customWidth="1"/>
    <col min="3" max="3" width="16.453125" style="10" customWidth="1"/>
    <col min="4" max="4" width="20.1796875" style="10" customWidth="1"/>
    <col min="5" max="5" width="27.453125" style="93" customWidth="1"/>
    <col min="6" max="7" width="10.54296875" style="10" customWidth="1"/>
    <col min="8" max="8" width="52.1796875" style="3" customWidth="1"/>
    <col min="9" max="9" width="8.7265625" style="10" customWidth="1"/>
    <col min="10" max="10" width="20" style="10" hidden="1" customWidth="1"/>
    <col min="11" max="16384" width="9.81640625" style="3"/>
  </cols>
  <sheetData>
    <row r="2" spans="1:13" s="31" customFormat="1" ht="35.15" customHeight="1">
      <c r="A2" s="96"/>
      <c r="B2" s="96"/>
      <c r="C2" s="96"/>
      <c r="D2" s="96"/>
      <c r="E2" s="96"/>
      <c r="F2" s="96"/>
      <c r="G2" s="96"/>
      <c r="H2" s="96"/>
      <c r="I2" s="96"/>
      <c r="J2" s="96"/>
      <c r="K2" s="30"/>
      <c r="L2" s="30"/>
      <c r="M2" s="30"/>
    </row>
    <row r="3" spans="1:13" s="31" customFormat="1" ht="23.15" customHeight="1">
      <c r="A3" s="97" t="s">
        <v>227</v>
      </c>
      <c r="B3" s="97"/>
      <c r="C3" s="32"/>
      <c r="D3" s="33"/>
      <c r="E3" s="32"/>
      <c r="F3" s="32"/>
      <c r="G3" s="32"/>
      <c r="H3" s="32"/>
      <c r="I3" s="32"/>
      <c r="J3" s="32"/>
      <c r="K3" s="32"/>
      <c r="L3" s="32"/>
      <c r="M3" s="34"/>
    </row>
    <row r="4" spans="1:13" ht="5.15" customHeight="1"/>
    <row r="5" spans="1:13">
      <c r="G5" s="10">
        <f>SUBTOTAL(3,G7:G410)</f>
        <v>354</v>
      </c>
    </row>
    <row r="6" spans="1:13" ht="25.5" customHeight="1">
      <c r="A6" s="1" t="s">
        <v>102</v>
      </c>
      <c r="B6" s="2" t="s">
        <v>103</v>
      </c>
      <c r="C6" s="1" t="s">
        <v>104</v>
      </c>
      <c r="D6" s="1" t="s">
        <v>105</v>
      </c>
      <c r="E6" s="94" t="s">
        <v>106</v>
      </c>
      <c r="F6" s="1" t="s">
        <v>107</v>
      </c>
      <c r="G6" s="1" t="s">
        <v>6</v>
      </c>
      <c r="H6" s="1" t="s">
        <v>108</v>
      </c>
      <c r="I6" s="1" t="s">
        <v>109</v>
      </c>
      <c r="J6" s="1" t="s">
        <v>110</v>
      </c>
    </row>
    <row r="7" spans="1:13">
      <c r="A7" s="5" t="s">
        <v>239</v>
      </c>
      <c r="B7" s="6" t="s">
        <v>909</v>
      </c>
      <c r="C7" s="7">
        <v>46050</v>
      </c>
      <c r="D7" s="9" t="s">
        <v>299</v>
      </c>
      <c r="E7" s="95" t="s">
        <v>22</v>
      </c>
      <c r="F7" s="9" t="s">
        <v>242</v>
      </c>
      <c r="G7" s="9">
        <v>1</v>
      </c>
      <c r="H7" s="6" t="s">
        <v>910</v>
      </c>
      <c r="I7" s="9" t="s">
        <v>329</v>
      </c>
      <c r="J7" s="9" t="s">
        <v>145</v>
      </c>
    </row>
    <row r="8" spans="1:13">
      <c r="A8" s="5" t="s">
        <v>245</v>
      </c>
      <c r="B8" s="6" t="s">
        <v>909</v>
      </c>
      <c r="C8" s="7">
        <v>46050</v>
      </c>
      <c r="D8" s="9" t="s">
        <v>299</v>
      </c>
      <c r="E8" s="95" t="s">
        <v>24</v>
      </c>
      <c r="F8" s="9" t="s">
        <v>246</v>
      </c>
      <c r="G8" s="9">
        <v>1</v>
      </c>
      <c r="H8" s="6" t="s">
        <v>910</v>
      </c>
      <c r="I8" s="9" t="s">
        <v>329</v>
      </c>
      <c r="J8" s="9" t="s">
        <v>145</v>
      </c>
    </row>
    <row r="9" spans="1:13">
      <c r="A9" s="5" t="s">
        <v>247</v>
      </c>
      <c r="B9" s="6" t="s">
        <v>909</v>
      </c>
      <c r="C9" s="7">
        <v>46050</v>
      </c>
      <c r="D9" s="9" t="s">
        <v>261</v>
      </c>
      <c r="E9" s="95" t="s">
        <v>64</v>
      </c>
      <c r="F9" s="9" t="s">
        <v>242</v>
      </c>
      <c r="G9" s="9">
        <v>4</v>
      </c>
      <c r="H9" s="6" t="s">
        <v>910</v>
      </c>
      <c r="I9" s="9" t="s">
        <v>329</v>
      </c>
      <c r="J9" s="9" t="s">
        <v>145</v>
      </c>
    </row>
    <row r="10" spans="1:13">
      <c r="A10" s="5" t="s">
        <v>250</v>
      </c>
      <c r="B10" s="6" t="s">
        <v>909</v>
      </c>
      <c r="C10" s="7">
        <v>46050</v>
      </c>
      <c r="D10" s="9" t="s">
        <v>270</v>
      </c>
      <c r="E10" s="95" t="s">
        <v>271</v>
      </c>
      <c r="F10" s="9" t="s">
        <v>242</v>
      </c>
      <c r="G10" s="9">
        <v>4</v>
      </c>
      <c r="H10" s="6" t="s">
        <v>910</v>
      </c>
      <c r="I10" s="9" t="s">
        <v>329</v>
      </c>
      <c r="J10" s="9" t="s">
        <v>145</v>
      </c>
    </row>
    <row r="11" spans="1:13">
      <c r="A11" s="5" t="s">
        <v>251</v>
      </c>
      <c r="B11" s="6" t="s">
        <v>909</v>
      </c>
      <c r="C11" s="7">
        <v>46050</v>
      </c>
      <c r="D11" s="9" t="s">
        <v>503</v>
      </c>
      <c r="E11" s="95" t="s">
        <v>206</v>
      </c>
      <c r="F11" s="9" t="s">
        <v>242</v>
      </c>
      <c r="G11" s="9">
        <v>2</v>
      </c>
      <c r="H11" s="6" t="s">
        <v>910</v>
      </c>
      <c r="I11" s="9" t="s">
        <v>329</v>
      </c>
      <c r="J11" s="9" t="s">
        <v>145</v>
      </c>
    </row>
    <row r="12" spans="1:13">
      <c r="A12" s="5" t="s">
        <v>254</v>
      </c>
      <c r="B12" s="6" t="s">
        <v>911</v>
      </c>
      <c r="C12" s="7">
        <v>46050</v>
      </c>
      <c r="D12" s="9" t="s">
        <v>665</v>
      </c>
      <c r="E12" s="95" t="s">
        <v>666</v>
      </c>
      <c r="F12" s="9" t="s">
        <v>242</v>
      </c>
      <c r="G12" s="9">
        <v>1</v>
      </c>
      <c r="H12" s="6" t="s">
        <v>912</v>
      </c>
      <c r="I12" s="9" t="s">
        <v>244</v>
      </c>
      <c r="J12" s="9" t="s">
        <v>145</v>
      </c>
    </row>
    <row r="13" spans="1:13">
      <c r="A13" s="5" t="s">
        <v>255</v>
      </c>
      <c r="B13" s="6" t="s">
        <v>911</v>
      </c>
      <c r="C13" s="7">
        <v>46050</v>
      </c>
      <c r="D13" s="9" t="s">
        <v>261</v>
      </c>
      <c r="E13" s="95" t="s">
        <v>64</v>
      </c>
      <c r="F13" s="9" t="s">
        <v>242</v>
      </c>
      <c r="G13" s="9">
        <v>1</v>
      </c>
      <c r="H13" s="6" t="s">
        <v>912</v>
      </c>
      <c r="I13" s="9" t="s">
        <v>244</v>
      </c>
      <c r="J13" s="9" t="s">
        <v>145</v>
      </c>
    </row>
    <row r="14" spans="1:13">
      <c r="A14" s="5" t="s">
        <v>259</v>
      </c>
      <c r="B14" s="6" t="s">
        <v>911</v>
      </c>
      <c r="C14" s="7">
        <v>46050</v>
      </c>
      <c r="D14" s="9" t="s">
        <v>270</v>
      </c>
      <c r="E14" s="95" t="s">
        <v>271</v>
      </c>
      <c r="F14" s="9" t="s">
        <v>242</v>
      </c>
      <c r="G14" s="9">
        <v>1</v>
      </c>
      <c r="H14" s="6" t="s">
        <v>912</v>
      </c>
      <c r="I14" s="9" t="s">
        <v>244</v>
      </c>
      <c r="J14" s="9" t="s">
        <v>145</v>
      </c>
    </row>
    <row r="15" spans="1:13">
      <c r="A15" s="5" t="s">
        <v>260</v>
      </c>
      <c r="B15" s="6" t="s">
        <v>913</v>
      </c>
      <c r="C15" s="7">
        <v>46051</v>
      </c>
      <c r="D15" s="9" t="s">
        <v>241</v>
      </c>
      <c r="E15" s="95" t="s">
        <v>28</v>
      </c>
      <c r="F15" s="9" t="s">
        <v>242</v>
      </c>
      <c r="G15" s="9">
        <v>1</v>
      </c>
      <c r="H15" s="6" t="s">
        <v>243</v>
      </c>
      <c r="I15" s="9" t="s">
        <v>514</v>
      </c>
      <c r="J15" s="9" t="s">
        <v>145</v>
      </c>
    </row>
    <row r="16" spans="1:13">
      <c r="A16" s="5" t="s">
        <v>262</v>
      </c>
      <c r="B16" s="6" t="s">
        <v>913</v>
      </c>
      <c r="C16" s="7">
        <v>46051</v>
      </c>
      <c r="D16" s="9" t="s">
        <v>241</v>
      </c>
      <c r="E16" s="95" t="s">
        <v>27</v>
      </c>
      <c r="F16" s="9" t="s">
        <v>246</v>
      </c>
      <c r="G16" s="9">
        <v>1</v>
      </c>
      <c r="H16" s="6" t="s">
        <v>243</v>
      </c>
      <c r="I16" s="9" t="s">
        <v>514</v>
      </c>
      <c r="J16" s="9" t="s">
        <v>145</v>
      </c>
    </row>
    <row r="17" spans="1:10">
      <c r="A17" s="5" t="s">
        <v>267</v>
      </c>
      <c r="B17" s="6" t="s">
        <v>914</v>
      </c>
      <c r="C17" s="7">
        <v>46055</v>
      </c>
      <c r="D17" s="9" t="s">
        <v>241</v>
      </c>
      <c r="E17" s="95" t="s">
        <v>28</v>
      </c>
      <c r="F17" s="9" t="s">
        <v>242</v>
      </c>
      <c r="G17" s="9">
        <v>1</v>
      </c>
      <c r="H17" s="6" t="s">
        <v>257</v>
      </c>
      <c r="I17" s="9" t="s">
        <v>258</v>
      </c>
      <c r="J17" s="9" t="s">
        <v>145</v>
      </c>
    </row>
    <row r="18" spans="1:10">
      <c r="A18" s="5" t="s">
        <v>268</v>
      </c>
      <c r="B18" s="6" t="s">
        <v>914</v>
      </c>
      <c r="C18" s="7">
        <v>46055</v>
      </c>
      <c r="D18" s="9" t="s">
        <v>241</v>
      </c>
      <c r="E18" s="95" t="s">
        <v>29</v>
      </c>
      <c r="F18" s="9" t="s">
        <v>246</v>
      </c>
      <c r="G18" s="9">
        <v>1</v>
      </c>
      <c r="H18" s="6" t="s">
        <v>257</v>
      </c>
      <c r="I18" s="9" t="s">
        <v>258</v>
      </c>
      <c r="J18" s="9" t="s">
        <v>145</v>
      </c>
    </row>
    <row r="19" spans="1:10">
      <c r="A19" s="5" t="s">
        <v>269</v>
      </c>
      <c r="B19" s="6" t="s">
        <v>914</v>
      </c>
      <c r="C19" s="7">
        <v>46055</v>
      </c>
      <c r="D19" s="9" t="s">
        <v>395</v>
      </c>
      <c r="E19" s="95" t="s">
        <v>56</v>
      </c>
      <c r="F19" s="9" t="s">
        <v>242</v>
      </c>
      <c r="G19" s="9">
        <v>1</v>
      </c>
      <c r="H19" s="6" t="s">
        <v>257</v>
      </c>
      <c r="I19" s="9" t="s">
        <v>258</v>
      </c>
      <c r="J19" s="9" t="s">
        <v>145</v>
      </c>
    </row>
    <row r="20" spans="1:10">
      <c r="A20" s="5" t="s">
        <v>272</v>
      </c>
      <c r="B20" s="6" t="s">
        <v>915</v>
      </c>
      <c r="C20" s="7">
        <v>46055</v>
      </c>
      <c r="D20" s="9" t="s">
        <v>241</v>
      </c>
      <c r="E20" s="95" t="s">
        <v>28</v>
      </c>
      <c r="F20" s="9" t="s">
        <v>242</v>
      </c>
      <c r="G20" s="9">
        <v>1</v>
      </c>
      <c r="H20" s="6" t="s">
        <v>265</v>
      </c>
      <c r="I20" s="9" t="s">
        <v>337</v>
      </c>
      <c r="J20" s="9" t="s">
        <v>145</v>
      </c>
    </row>
    <row r="21" spans="1:10">
      <c r="A21" s="5" t="s">
        <v>276</v>
      </c>
      <c r="B21" s="6" t="s">
        <v>915</v>
      </c>
      <c r="C21" s="7">
        <v>46055</v>
      </c>
      <c r="D21" s="9" t="s">
        <v>241</v>
      </c>
      <c r="E21" s="95" t="s">
        <v>29</v>
      </c>
      <c r="F21" s="9" t="s">
        <v>246</v>
      </c>
      <c r="G21" s="9">
        <v>1</v>
      </c>
      <c r="H21" s="6" t="s">
        <v>265</v>
      </c>
      <c r="I21" s="9" t="s">
        <v>337</v>
      </c>
      <c r="J21" s="9" t="s">
        <v>145</v>
      </c>
    </row>
    <row r="22" spans="1:10">
      <c r="A22" s="5" t="s">
        <v>277</v>
      </c>
      <c r="B22" s="6" t="s">
        <v>915</v>
      </c>
      <c r="C22" s="7">
        <v>46055</v>
      </c>
      <c r="D22" s="9" t="s">
        <v>261</v>
      </c>
      <c r="E22" s="95" t="s">
        <v>62</v>
      </c>
      <c r="F22" s="9" t="s">
        <v>242</v>
      </c>
      <c r="G22" s="9">
        <v>4</v>
      </c>
      <c r="H22" s="6" t="s">
        <v>265</v>
      </c>
      <c r="I22" s="9" t="s">
        <v>337</v>
      </c>
      <c r="J22" s="9" t="s">
        <v>145</v>
      </c>
    </row>
    <row r="23" spans="1:10">
      <c r="A23" s="5" t="s">
        <v>279</v>
      </c>
      <c r="B23" s="6" t="s">
        <v>916</v>
      </c>
      <c r="C23" s="7">
        <v>46055</v>
      </c>
      <c r="D23" s="9" t="s">
        <v>1</v>
      </c>
      <c r="E23" s="95" t="s">
        <v>16</v>
      </c>
      <c r="F23" s="9" t="s">
        <v>242</v>
      </c>
      <c r="G23" s="9">
        <v>1</v>
      </c>
      <c r="H23" s="6" t="s">
        <v>917</v>
      </c>
      <c r="I23" s="9" t="s">
        <v>918</v>
      </c>
      <c r="J23" s="9" t="s">
        <v>145</v>
      </c>
    </row>
    <row r="24" spans="1:10">
      <c r="A24" s="5" t="s">
        <v>280</v>
      </c>
      <c r="B24" s="6" t="s">
        <v>916</v>
      </c>
      <c r="C24" s="7">
        <v>46055</v>
      </c>
      <c r="D24" s="9" t="s">
        <v>1</v>
      </c>
      <c r="E24" s="95" t="s">
        <v>659</v>
      </c>
      <c r="F24" s="9" t="s">
        <v>246</v>
      </c>
      <c r="G24" s="9">
        <v>1</v>
      </c>
      <c r="H24" s="6" t="s">
        <v>917</v>
      </c>
      <c r="I24" s="9" t="s">
        <v>918</v>
      </c>
      <c r="J24" s="9" t="s">
        <v>145</v>
      </c>
    </row>
    <row r="25" spans="1:10">
      <c r="A25" s="5" t="s">
        <v>282</v>
      </c>
      <c r="B25" s="6" t="s">
        <v>916</v>
      </c>
      <c r="C25" s="7">
        <v>46055</v>
      </c>
      <c r="D25" s="9" t="s">
        <v>261</v>
      </c>
      <c r="E25" s="95" t="s">
        <v>64</v>
      </c>
      <c r="F25" s="9" t="s">
        <v>242</v>
      </c>
      <c r="G25" s="9">
        <v>3</v>
      </c>
      <c r="H25" s="6" t="s">
        <v>917</v>
      </c>
      <c r="I25" s="9" t="s">
        <v>918</v>
      </c>
      <c r="J25" s="9" t="s">
        <v>145</v>
      </c>
    </row>
    <row r="26" spans="1:10">
      <c r="A26" s="5" t="s">
        <v>285</v>
      </c>
      <c r="B26" s="6" t="s">
        <v>916</v>
      </c>
      <c r="C26" s="7">
        <v>46055</v>
      </c>
      <c r="D26" s="9" t="s">
        <v>270</v>
      </c>
      <c r="E26" s="95" t="s">
        <v>271</v>
      </c>
      <c r="F26" s="9" t="s">
        <v>242</v>
      </c>
      <c r="G26" s="9">
        <v>3</v>
      </c>
      <c r="H26" s="6" t="s">
        <v>917</v>
      </c>
      <c r="I26" s="9" t="s">
        <v>918</v>
      </c>
      <c r="J26" s="9" t="s">
        <v>145</v>
      </c>
    </row>
    <row r="27" spans="1:10">
      <c r="A27" s="5" t="s">
        <v>286</v>
      </c>
      <c r="B27" s="6" t="s">
        <v>916</v>
      </c>
      <c r="C27" s="7">
        <v>46055</v>
      </c>
      <c r="D27" s="9" t="s">
        <v>270</v>
      </c>
      <c r="E27" s="95" t="s">
        <v>663</v>
      </c>
      <c r="F27" s="9" t="s">
        <v>242</v>
      </c>
      <c r="G27" s="9">
        <v>1</v>
      </c>
      <c r="H27" s="6" t="s">
        <v>917</v>
      </c>
      <c r="I27" s="9" t="s">
        <v>918</v>
      </c>
      <c r="J27" s="9" t="s">
        <v>145</v>
      </c>
    </row>
    <row r="28" spans="1:10">
      <c r="A28" s="5" t="s">
        <v>287</v>
      </c>
      <c r="B28" s="6" t="s">
        <v>916</v>
      </c>
      <c r="C28" s="7">
        <v>46055</v>
      </c>
      <c r="D28" s="9" t="s">
        <v>503</v>
      </c>
      <c r="E28" s="95" t="s">
        <v>162</v>
      </c>
      <c r="F28" s="9" t="s">
        <v>242</v>
      </c>
      <c r="G28" s="9">
        <v>1</v>
      </c>
      <c r="H28" s="6" t="s">
        <v>917</v>
      </c>
      <c r="I28" s="9" t="s">
        <v>918</v>
      </c>
      <c r="J28" s="9" t="s">
        <v>145</v>
      </c>
    </row>
    <row r="29" spans="1:10">
      <c r="A29" s="5" t="s">
        <v>290</v>
      </c>
      <c r="B29" s="6" t="s">
        <v>919</v>
      </c>
      <c r="C29" s="7">
        <v>46055</v>
      </c>
      <c r="D29" s="9" t="s">
        <v>564</v>
      </c>
      <c r="E29" s="95" t="s">
        <v>920</v>
      </c>
      <c r="F29" s="9" t="s">
        <v>242</v>
      </c>
      <c r="G29" s="9">
        <v>1</v>
      </c>
      <c r="H29" s="6" t="s">
        <v>921</v>
      </c>
      <c r="I29" s="9" t="s">
        <v>918</v>
      </c>
      <c r="J29" s="9" t="s">
        <v>145</v>
      </c>
    </row>
    <row r="30" spans="1:10">
      <c r="A30" s="5" t="s">
        <v>291</v>
      </c>
      <c r="B30" s="6" t="s">
        <v>919</v>
      </c>
      <c r="C30" s="7">
        <v>46055</v>
      </c>
      <c r="D30" s="9" t="s">
        <v>564</v>
      </c>
      <c r="E30" s="95" t="s">
        <v>920</v>
      </c>
      <c r="F30" s="9" t="s">
        <v>246</v>
      </c>
      <c r="G30" s="9">
        <v>1</v>
      </c>
      <c r="H30" s="6" t="s">
        <v>921</v>
      </c>
      <c r="I30" s="9" t="s">
        <v>918</v>
      </c>
      <c r="J30" s="9" t="s">
        <v>145</v>
      </c>
    </row>
    <row r="31" spans="1:10">
      <c r="A31" s="5" t="s">
        <v>293</v>
      </c>
      <c r="B31" s="6" t="s">
        <v>919</v>
      </c>
      <c r="C31" s="7">
        <v>46055</v>
      </c>
      <c r="D31" s="9" t="s">
        <v>261</v>
      </c>
      <c r="E31" s="95" t="s">
        <v>64</v>
      </c>
      <c r="F31" s="9" t="s">
        <v>242</v>
      </c>
      <c r="G31" s="9">
        <v>1</v>
      </c>
      <c r="H31" s="6" t="s">
        <v>921</v>
      </c>
      <c r="I31" s="9" t="s">
        <v>918</v>
      </c>
      <c r="J31" s="9" t="s">
        <v>145</v>
      </c>
    </row>
    <row r="32" spans="1:10">
      <c r="A32" s="5" t="s">
        <v>294</v>
      </c>
      <c r="B32" s="6" t="s">
        <v>919</v>
      </c>
      <c r="C32" s="7">
        <v>46055</v>
      </c>
      <c r="D32" s="9" t="s">
        <v>270</v>
      </c>
      <c r="E32" s="95" t="s">
        <v>271</v>
      </c>
      <c r="F32" s="9" t="s">
        <v>242</v>
      </c>
      <c r="G32" s="9">
        <v>1</v>
      </c>
      <c r="H32" s="6" t="s">
        <v>921</v>
      </c>
      <c r="I32" s="9" t="s">
        <v>918</v>
      </c>
      <c r="J32" s="9" t="s">
        <v>145</v>
      </c>
    </row>
    <row r="33" spans="1:10">
      <c r="A33" s="5" t="s">
        <v>296</v>
      </c>
      <c r="B33" s="6" t="s">
        <v>919</v>
      </c>
      <c r="C33" s="7">
        <v>46055</v>
      </c>
      <c r="D33" s="9" t="s">
        <v>503</v>
      </c>
      <c r="E33" s="95" t="s">
        <v>75</v>
      </c>
      <c r="F33" s="9" t="s">
        <v>242</v>
      </c>
      <c r="G33" s="9">
        <v>2</v>
      </c>
      <c r="H33" s="6" t="s">
        <v>921</v>
      </c>
      <c r="I33" s="9" t="s">
        <v>918</v>
      </c>
      <c r="J33" s="9" t="s">
        <v>145</v>
      </c>
    </row>
    <row r="34" spans="1:10">
      <c r="A34" s="5" t="s">
        <v>297</v>
      </c>
      <c r="B34" s="6" t="s">
        <v>922</v>
      </c>
      <c r="C34" s="7">
        <v>46055</v>
      </c>
      <c r="D34" s="9" t="s">
        <v>564</v>
      </c>
      <c r="E34" s="95" t="s">
        <v>565</v>
      </c>
      <c r="F34" s="9" t="s">
        <v>242</v>
      </c>
      <c r="G34" s="9">
        <v>1</v>
      </c>
      <c r="H34" s="6" t="s">
        <v>921</v>
      </c>
      <c r="I34" s="9" t="s">
        <v>918</v>
      </c>
      <c r="J34" s="9" t="s">
        <v>145</v>
      </c>
    </row>
    <row r="35" spans="1:10">
      <c r="A35" s="5" t="s">
        <v>300</v>
      </c>
      <c r="B35" s="6" t="s">
        <v>922</v>
      </c>
      <c r="C35" s="7">
        <v>46055</v>
      </c>
      <c r="D35" s="9" t="s">
        <v>564</v>
      </c>
      <c r="E35" s="95" t="s">
        <v>920</v>
      </c>
      <c r="F35" s="9" t="s">
        <v>246</v>
      </c>
      <c r="G35" s="9">
        <v>1</v>
      </c>
      <c r="H35" s="6" t="s">
        <v>921</v>
      </c>
      <c r="I35" s="9" t="s">
        <v>918</v>
      </c>
      <c r="J35" s="9" t="s">
        <v>145</v>
      </c>
    </row>
    <row r="36" spans="1:10">
      <c r="A36" s="5" t="s">
        <v>301</v>
      </c>
      <c r="B36" s="6" t="s">
        <v>922</v>
      </c>
      <c r="C36" s="7">
        <v>46055</v>
      </c>
      <c r="D36" s="9" t="s">
        <v>261</v>
      </c>
      <c r="E36" s="95" t="s">
        <v>64</v>
      </c>
      <c r="F36" s="9" t="s">
        <v>242</v>
      </c>
      <c r="G36" s="9">
        <v>1</v>
      </c>
      <c r="H36" s="6" t="s">
        <v>921</v>
      </c>
      <c r="I36" s="9" t="s">
        <v>918</v>
      </c>
      <c r="J36" s="9" t="s">
        <v>145</v>
      </c>
    </row>
    <row r="37" spans="1:10">
      <c r="A37" s="5" t="s">
        <v>302</v>
      </c>
      <c r="B37" s="6" t="s">
        <v>922</v>
      </c>
      <c r="C37" s="7">
        <v>46055</v>
      </c>
      <c r="D37" s="9" t="s">
        <v>270</v>
      </c>
      <c r="E37" s="95" t="s">
        <v>271</v>
      </c>
      <c r="F37" s="9" t="s">
        <v>242</v>
      </c>
      <c r="G37" s="9">
        <v>1</v>
      </c>
      <c r="H37" s="6" t="s">
        <v>921</v>
      </c>
      <c r="I37" s="9" t="s">
        <v>918</v>
      </c>
      <c r="J37" s="9" t="s">
        <v>145</v>
      </c>
    </row>
    <row r="38" spans="1:10">
      <c r="A38" s="5" t="s">
        <v>303</v>
      </c>
      <c r="B38" s="6" t="s">
        <v>922</v>
      </c>
      <c r="C38" s="7">
        <v>46055</v>
      </c>
      <c r="D38" s="9" t="s">
        <v>503</v>
      </c>
      <c r="E38" s="95" t="s">
        <v>75</v>
      </c>
      <c r="F38" s="9" t="s">
        <v>242</v>
      </c>
      <c r="G38" s="9">
        <v>2</v>
      </c>
      <c r="H38" s="6" t="s">
        <v>921</v>
      </c>
      <c r="I38" s="9" t="s">
        <v>918</v>
      </c>
      <c r="J38" s="9" t="s">
        <v>145</v>
      </c>
    </row>
    <row r="39" spans="1:10">
      <c r="A39" s="5" t="s">
        <v>305</v>
      </c>
      <c r="B39" s="6" t="s">
        <v>923</v>
      </c>
      <c r="C39" s="7">
        <v>46056</v>
      </c>
      <c r="D39" s="9" t="s">
        <v>241</v>
      </c>
      <c r="E39" s="95" t="s">
        <v>28</v>
      </c>
      <c r="F39" s="9" t="s">
        <v>242</v>
      </c>
      <c r="G39" s="9">
        <v>1</v>
      </c>
      <c r="H39" s="6" t="s">
        <v>243</v>
      </c>
      <c r="I39" s="9" t="s">
        <v>275</v>
      </c>
      <c r="J39" s="9" t="s">
        <v>145</v>
      </c>
    </row>
    <row r="40" spans="1:10">
      <c r="A40" s="5" t="s">
        <v>306</v>
      </c>
      <c r="B40" s="6" t="s">
        <v>923</v>
      </c>
      <c r="C40" s="7">
        <v>46056</v>
      </c>
      <c r="D40" s="9" t="s">
        <v>241</v>
      </c>
      <c r="E40" s="95" t="s">
        <v>27</v>
      </c>
      <c r="F40" s="9" t="s">
        <v>246</v>
      </c>
      <c r="G40" s="9">
        <v>1</v>
      </c>
      <c r="H40" s="6" t="s">
        <v>243</v>
      </c>
      <c r="I40" s="9" t="s">
        <v>275</v>
      </c>
      <c r="J40" s="9" t="s">
        <v>145</v>
      </c>
    </row>
    <row r="41" spans="1:10">
      <c r="A41" s="5" t="s">
        <v>307</v>
      </c>
      <c r="B41" s="6" t="s">
        <v>924</v>
      </c>
      <c r="C41" s="7">
        <v>46057</v>
      </c>
      <c r="D41" s="9" t="s">
        <v>299</v>
      </c>
      <c r="E41" s="95" t="s">
        <v>376</v>
      </c>
      <c r="F41" s="9" t="s">
        <v>242</v>
      </c>
      <c r="G41" s="9">
        <v>1</v>
      </c>
      <c r="H41" s="6" t="s">
        <v>925</v>
      </c>
      <c r="I41" s="9" t="s">
        <v>484</v>
      </c>
      <c r="J41" s="9" t="s">
        <v>145</v>
      </c>
    </row>
    <row r="42" spans="1:10">
      <c r="A42" s="5" t="s">
        <v>308</v>
      </c>
      <c r="B42" s="6" t="s">
        <v>924</v>
      </c>
      <c r="C42" s="7">
        <v>46057</v>
      </c>
      <c r="D42" s="9" t="s">
        <v>299</v>
      </c>
      <c r="E42" s="95" t="s">
        <v>22</v>
      </c>
      <c r="F42" s="9" t="s">
        <v>246</v>
      </c>
      <c r="G42" s="9">
        <v>1</v>
      </c>
      <c r="H42" s="6" t="s">
        <v>925</v>
      </c>
      <c r="I42" s="9" t="s">
        <v>484</v>
      </c>
      <c r="J42" s="9" t="s">
        <v>145</v>
      </c>
    </row>
    <row r="43" spans="1:10">
      <c r="A43" s="5" t="s">
        <v>312</v>
      </c>
      <c r="B43" s="6" t="s">
        <v>926</v>
      </c>
      <c r="C43" s="7">
        <v>46057</v>
      </c>
      <c r="D43" s="9" t="s">
        <v>241</v>
      </c>
      <c r="E43" s="95" t="s">
        <v>28</v>
      </c>
      <c r="F43" s="9" t="s">
        <v>242</v>
      </c>
      <c r="G43" s="9">
        <v>1</v>
      </c>
      <c r="H43" s="6" t="s">
        <v>243</v>
      </c>
      <c r="I43" s="9" t="s">
        <v>258</v>
      </c>
      <c r="J43" s="9" t="s">
        <v>145</v>
      </c>
    </row>
    <row r="44" spans="1:10">
      <c r="A44" s="5" t="s">
        <v>313</v>
      </c>
      <c r="B44" s="6" t="s">
        <v>926</v>
      </c>
      <c r="C44" s="7">
        <v>46057</v>
      </c>
      <c r="D44" s="9" t="s">
        <v>241</v>
      </c>
      <c r="E44" s="95" t="s">
        <v>27</v>
      </c>
      <c r="F44" s="9" t="s">
        <v>246</v>
      </c>
      <c r="G44" s="9">
        <v>1</v>
      </c>
      <c r="H44" s="6" t="s">
        <v>243</v>
      </c>
      <c r="I44" s="9" t="s">
        <v>258</v>
      </c>
      <c r="J44" s="9" t="s">
        <v>145</v>
      </c>
    </row>
    <row r="45" spans="1:10">
      <c r="A45" s="5" t="s">
        <v>314</v>
      </c>
      <c r="B45" s="6" t="s">
        <v>927</v>
      </c>
      <c r="C45" s="7">
        <v>46057</v>
      </c>
      <c r="D45" s="9" t="s">
        <v>241</v>
      </c>
      <c r="E45" s="95" t="s">
        <v>28</v>
      </c>
      <c r="F45" s="9" t="s">
        <v>242</v>
      </c>
      <c r="G45" s="9">
        <v>1</v>
      </c>
      <c r="H45" s="6" t="s">
        <v>419</v>
      </c>
      <c r="I45" s="9" t="s">
        <v>357</v>
      </c>
      <c r="J45" s="9" t="s">
        <v>145</v>
      </c>
    </row>
    <row r="46" spans="1:10">
      <c r="A46" s="5" t="s">
        <v>317</v>
      </c>
      <c r="B46" s="6" t="s">
        <v>927</v>
      </c>
      <c r="C46" s="7">
        <v>46057</v>
      </c>
      <c r="D46" s="9" t="s">
        <v>241</v>
      </c>
      <c r="E46" s="95" t="s">
        <v>29</v>
      </c>
      <c r="F46" s="9" t="s">
        <v>246</v>
      </c>
      <c r="G46" s="9">
        <v>1</v>
      </c>
      <c r="H46" s="6" t="s">
        <v>419</v>
      </c>
      <c r="I46" s="9" t="s">
        <v>357</v>
      </c>
      <c r="J46" s="9" t="s">
        <v>145</v>
      </c>
    </row>
    <row r="47" spans="1:10">
      <c r="A47" s="5" t="s">
        <v>318</v>
      </c>
      <c r="B47" s="6" t="s">
        <v>928</v>
      </c>
      <c r="C47" s="7">
        <v>46057</v>
      </c>
      <c r="D47" s="9" t="s">
        <v>1</v>
      </c>
      <c r="E47" s="95" t="s">
        <v>16</v>
      </c>
      <c r="F47" s="9" t="s">
        <v>242</v>
      </c>
      <c r="G47" s="9">
        <v>1</v>
      </c>
      <c r="H47" s="6" t="s">
        <v>929</v>
      </c>
      <c r="I47" s="9" t="s">
        <v>329</v>
      </c>
      <c r="J47" s="9" t="s">
        <v>145</v>
      </c>
    </row>
    <row r="48" spans="1:10">
      <c r="A48" s="5" t="s">
        <v>321</v>
      </c>
      <c r="B48" s="6" t="s">
        <v>928</v>
      </c>
      <c r="C48" s="7">
        <v>46057</v>
      </c>
      <c r="D48" s="9" t="s">
        <v>1</v>
      </c>
      <c r="E48" s="95" t="s">
        <v>9</v>
      </c>
      <c r="F48" s="9" t="s">
        <v>246</v>
      </c>
      <c r="G48" s="9">
        <v>1</v>
      </c>
      <c r="H48" s="6" t="s">
        <v>929</v>
      </c>
      <c r="I48" s="9" t="s">
        <v>329</v>
      </c>
      <c r="J48" s="9" t="s">
        <v>145</v>
      </c>
    </row>
    <row r="49" spans="1:10">
      <c r="A49" s="5" t="s">
        <v>322</v>
      </c>
      <c r="B49" s="6" t="s">
        <v>928</v>
      </c>
      <c r="C49" s="7">
        <v>46057</v>
      </c>
      <c r="D49" s="9" t="s">
        <v>261</v>
      </c>
      <c r="E49" s="95" t="s">
        <v>64</v>
      </c>
      <c r="F49" s="9" t="s">
        <v>242</v>
      </c>
      <c r="G49" s="9">
        <v>4</v>
      </c>
      <c r="H49" s="6" t="s">
        <v>929</v>
      </c>
      <c r="I49" s="9" t="s">
        <v>329</v>
      </c>
      <c r="J49" s="9" t="s">
        <v>145</v>
      </c>
    </row>
    <row r="50" spans="1:10">
      <c r="A50" s="5" t="s">
        <v>324</v>
      </c>
      <c r="B50" s="6" t="s">
        <v>928</v>
      </c>
      <c r="C50" s="7">
        <v>46057</v>
      </c>
      <c r="D50" s="9" t="s">
        <v>261</v>
      </c>
      <c r="E50" s="95" t="s">
        <v>65</v>
      </c>
      <c r="F50" s="9" t="s">
        <v>242</v>
      </c>
      <c r="G50" s="9">
        <v>2</v>
      </c>
      <c r="H50" s="6" t="s">
        <v>929</v>
      </c>
      <c r="I50" s="9" t="s">
        <v>329</v>
      </c>
      <c r="J50" s="9" t="s">
        <v>145</v>
      </c>
    </row>
    <row r="51" spans="1:10">
      <c r="A51" s="5" t="s">
        <v>325</v>
      </c>
      <c r="B51" s="6" t="s">
        <v>928</v>
      </c>
      <c r="C51" s="7">
        <v>46057</v>
      </c>
      <c r="D51" s="9" t="s">
        <v>270</v>
      </c>
      <c r="E51" s="95" t="s">
        <v>271</v>
      </c>
      <c r="F51" s="9" t="s">
        <v>242</v>
      </c>
      <c r="G51" s="9">
        <v>8</v>
      </c>
      <c r="H51" s="6" t="s">
        <v>929</v>
      </c>
      <c r="I51" s="9" t="s">
        <v>329</v>
      </c>
      <c r="J51" s="9" t="s">
        <v>145</v>
      </c>
    </row>
    <row r="52" spans="1:10">
      <c r="A52" s="5" t="s">
        <v>326</v>
      </c>
      <c r="B52" s="6" t="s">
        <v>928</v>
      </c>
      <c r="C52" s="7">
        <v>46057</v>
      </c>
      <c r="D52" s="9" t="s">
        <v>270</v>
      </c>
      <c r="E52" s="95" t="s">
        <v>663</v>
      </c>
      <c r="F52" s="9" t="s">
        <v>242</v>
      </c>
      <c r="G52" s="9">
        <v>1</v>
      </c>
      <c r="H52" s="6" t="s">
        <v>929</v>
      </c>
      <c r="I52" s="9" t="s">
        <v>329</v>
      </c>
      <c r="J52" s="9" t="s">
        <v>145</v>
      </c>
    </row>
    <row r="53" spans="1:10">
      <c r="A53" s="5" t="s">
        <v>330</v>
      </c>
      <c r="B53" s="6" t="s">
        <v>928</v>
      </c>
      <c r="C53" s="7">
        <v>46057</v>
      </c>
      <c r="D53" s="9" t="s">
        <v>503</v>
      </c>
      <c r="E53" s="95" t="s">
        <v>206</v>
      </c>
      <c r="F53" s="9" t="s">
        <v>242</v>
      </c>
      <c r="G53" s="9">
        <v>2</v>
      </c>
      <c r="H53" s="6" t="s">
        <v>929</v>
      </c>
      <c r="I53" s="9" t="s">
        <v>329</v>
      </c>
      <c r="J53" s="9" t="s">
        <v>145</v>
      </c>
    </row>
    <row r="54" spans="1:10">
      <c r="A54" s="5" t="s">
        <v>331</v>
      </c>
      <c r="B54" s="6" t="s">
        <v>930</v>
      </c>
      <c r="C54" s="7">
        <v>46057</v>
      </c>
      <c r="D54" s="9" t="s">
        <v>241</v>
      </c>
      <c r="E54" s="95" t="s">
        <v>28</v>
      </c>
      <c r="F54" s="9" t="s">
        <v>242</v>
      </c>
      <c r="G54" s="9">
        <v>1</v>
      </c>
      <c r="H54" s="6" t="s">
        <v>931</v>
      </c>
      <c r="I54" s="9" t="s">
        <v>284</v>
      </c>
      <c r="J54" s="9" t="s">
        <v>145</v>
      </c>
    </row>
    <row r="55" spans="1:10">
      <c r="A55" s="5" t="s">
        <v>332</v>
      </c>
      <c r="B55" s="6" t="s">
        <v>930</v>
      </c>
      <c r="C55" s="7">
        <v>46057</v>
      </c>
      <c r="D55" s="9" t="s">
        <v>241</v>
      </c>
      <c r="E55" s="95" t="s">
        <v>29</v>
      </c>
      <c r="F55" s="9" t="s">
        <v>246</v>
      </c>
      <c r="G55" s="9">
        <v>1</v>
      </c>
      <c r="H55" s="6" t="s">
        <v>931</v>
      </c>
      <c r="I55" s="9" t="s">
        <v>284</v>
      </c>
      <c r="J55" s="9" t="s">
        <v>145</v>
      </c>
    </row>
    <row r="56" spans="1:10">
      <c r="A56" s="5" t="s">
        <v>334</v>
      </c>
      <c r="B56" s="6" t="s">
        <v>930</v>
      </c>
      <c r="C56" s="7">
        <v>46057</v>
      </c>
      <c r="D56" s="9" t="s">
        <v>261</v>
      </c>
      <c r="E56" s="95" t="s">
        <v>281</v>
      </c>
      <c r="F56" s="9" t="s">
        <v>242</v>
      </c>
      <c r="G56" s="9">
        <v>2</v>
      </c>
      <c r="H56" s="6" t="s">
        <v>931</v>
      </c>
      <c r="I56" s="9" t="s">
        <v>284</v>
      </c>
      <c r="J56" s="9" t="s">
        <v>145</v>
      </c>
    </row>
    <row r="57" spans="1:10">
      <c r="A57" s="5" t="s">
        <v>335</v>
      </c>
      <c r="B57" s="6" t="s">
        <v>932</v>
      </c>
      <c r="C57" s="7">
        <v>46057</v>
      </c>
      <c r="D57" s="9" t="s">
        <v>299</v>
      </c>
      <c r="E57" s="95" t="s">
        <v>376</v>
      </c>
      <c r="F57" s="9" t="s">
        <v>242</v>
      </c>
      <c r="G57" s="9">
        <v>1</v>
      </c>
      <c r="H57" s="6" t="s">
        <v>518</v>
      </c>
      <c r="I57" s="9" t="s">
        <v>289</v>
      </c>
      <c r="J57" s="9" t="s">
        <v>145</v>
      </c>
    </row>
    <row r="58" spans="1:10">
      <c r="A58" s="5" t="s">
        <v>338</v>
      </c>
      <c r="B58" s="6" t="s">
        <v>932</v>
      </c>
      <c r="C58" s="7">
        <v>46057</v>
      </c>
      <c r="D58" s="9" t="s">
        <v>299</v>
      </c>
      <c r="E58" s="95" t="s">
        <v>376</v>
      </c>
      <c r="F58" s="9" t="s">
        <v>246</v>
      </c>
      <c r="G58" s="9">
        <v>1</v>
      </c>
      <c r="H58" s="6" t="s">
        <v>518</v>
      </c>
      <c r="I58" s="9" t="s">
        <v>289</v>
      </c>
      <c r="J58" s="9" t="s">
        <v>145</v>
      </c>
    </row>
    <row r="59" spans="1:10">
      <c r="A59" s="5" t="s">
        <v>339</v>
      </c>
      <c r="B59" s="6" t="s">
        <v>933</v>
      </c>
      <c r="C59" s="7">
        <v>46058</v>
      </c>
      <c r="D59" s="9" t="s">
        <v>241</v>
      </c>
      <c r="E59" s="95" t="s">
        <v>28</v>
      </c>
      <c r="F59" s="9" t="s">
        <v>242</v>
      </c>
      <c r="G59" s="9">
        <v>1</v>
      </c>
      <c r="H59" s="6" t="s">
        <v>419</v>
      </c>
      <c r="I59" s="9" t="s">
        <v>289</v>
      </c>
      <c r="J59" s="9" t="s">
        <v>145</v>
      </c>
    </row>
    <row r="60" spans="1:10">
      <c r="A60" s="5" t="s">
        <v>342</v>
      </c>
      <c r="B60" s="6" t="s">
        <v>933</v>
      </c>
      <c r="C60" s="7">
        <v>46058</v>
      </c>
      <c r="D60" s="9" t="s">
        <v>241</v>
      </c>
      <c r="E60" s="95" t="s">
        <v>29</v>
      </c>
      <c r="F60" s="9" t="s">
        <v>246</v>
      </c>
      <c r="G60" s="9">
        <v>1</v>
      </c>
      <c r="H60" s="6" t="s">
        <v>419</v>
      </c>
      <c r="I60" s="9" t="s">
        <v>289</v>
      </c>
      <c r="J60" s="9" t="s">
        <v>145</v>
      </c>
    </row>
    <row r="61" spans="1:10">
      <c r="A61" s="5" t="s">
        <v>343</v>
      </c>
      <c r="B61" s="6" t="s">
        <v>934</v>
      </c>
      <c r="C61" s="7">
        <v>46058</v>
      </c>
      <c r="D61" s="9" t="s">
        <v>564</v>
      </c>
      <c r="E61" s="95" t="s">
        <v>39</v>
      </c>
      <c r="F61" s="9" t="s">
        <v>242</v>
      </c>
      <c r="G61" s="9">
        <v>1</v>
      </c>
      <c r="H61" s="6" t="s">
        <v>935</v>
      </c>
      <c r="I61" s="9" t="s">
        <v>337</v>
      </c>
      <c r="J61" s="9" t="s">
        <v>145</v>
      </c>
    </row>
    <row r="62" spans="1:10">
      <c r="A62" s="5" t="s">
        <v>345</v>
      </c>
      <c r="B62" s="6" t="s">
        <v>936</v>
      </c>
      <c r="C62" s="7">
        <v>46059</v>
      </c>
      <c r="D62" s="9" t="s">
        <v>299</v>
      </c>
      <c r="E62" s="95" t="s">
        <v>376</v>
      </c>
      <c r="F62" s="9" t="s">
        <v>242</v>
      </c>
      <c r="G62" s="9">
        <v>1</v>
      </c>
      <c r="H62" s="6" t="s">
        <v>328</v>
      </c>
      <c r="I62" s="9" t="s">
        <v>253</v>
      </c>
      <c r="J62" s="9" t="s">
        <v>145</v>
      </c>
    </row>
    <row r="63" spans="1:10">
      <c r="A63" s="5" t="s">
        <v>346</v>
      </c>
      <c r="B63" s="6" t="s">
        <v>936</v>
      </c>
      <c r="C63" s="7">
        <v>46059</v>
      </c>
      <c r="D63" s="9" t="s">
        <v>299</v>
      </c>
      <c r="E63" s="95" t="s">
        <v>22</v>
      </c>
      <c r="F63" s="9" t="s">
        <v>246</v>
      </c>
      <c r="G63" s="9">
        <v>1</v>
      </c>
      <c r="H63" s="6" t="s">
        <v>328</v>
      </c>
      <c r="I63" s="9" t="s">
        <v>253</v>
      </c>
      <c r="J63" s="9" t="s">
        <v>145</v>
      </c>
    </row>
    <row r="64" spans="1:10">
      <c r="A64" s="5" t="s">
        <v>349</v>
      </c>
      <c r="B64" s="6" t="s">
        <v>937</v>
      </c>
      <c r="C64" s="7">
        <v>46059</v>
      </c>
      <c r="D64" s="9" t="s">
        <v>241</v>
      </c>
      <c r="E64" s="95" t="s">
        <v>28</v>
      </c>
      <c r="F64" s="9" t="s">
        <v>242</v>
      </c>
      <c r="G64" s="9">
        <v>1</v>
      </c>
      <c r="H64" s="6" t="s">
        <v>243</v>
      </c>
      <c r="I64" s="9" t="s">
        <v>388</v>
      </c>
      <c r="J64" s="9" t="s">
        <v>145</v>
      </c>
    </row>
    <row r="65" spans="1:10">
      <c r="A65" s="5" t="s">
        <v>350</v>
      </c>
      <c r="B65" s="6" t="s">
        <v>937</v>
      </c>
      <c r="C65" s="7">
        <v>46059</v>
      </c>
      <c r="D65" s="9" t="s">
        <v>241</v>
      </c>
      <c r="E65" s="95" t="s">
        <v>27</v>
      </c>
      <c r="F65" s="9" t="s">
        <v>246</v>
      </c>
      <c r="G65" s="9">
        <v>1</v>
      </c>
      <c r="H65" s="6" t="s">
        <v>243</v>
      </c>
      <c r="I65" s="9" t="s">
        <v>388</v>
      </c>
      <c r="J65" s="9" t="s">
        <v>145</v>
      </c>
    </row>
    <row r="66" spans="1:10">
      <c r="A66" s="5" t="s">
        <v>353</v>
      </c>
      <c r="B66" s="6" t="s">
        <v>938</v>
      </c>
      <c r="C66" s="7">
        <v>46059</v>
      </c>
      <c r="D66" s="9" t="s">
        <v>241</v>
      </c>
      <c r="E66" s="95" t="s">
        <v>28</v>
      </c>
      <c r="F66" s="9" t="s">
        <v>242</v>
      </c>
      <c r="G66" s="9">
        <v>1</v>
      </c>
      <c r="H66" s="6" t="s">
        <v>243</v>
      </c>
      <c r="I66" s="9" t="s">
        <v>289</v>
      </c>
      <c r="J66" s="9" t="s">
        <v>145</v>
      </c>
    </row>
    <row r="67" spans="1:10">
      <c r="A67" s="5" t="s">
        <v>354</v>
      </c>
      <c r="B67" s="6" t="s">
        <v>938</v>
      </c>
      <c r="C67" s="7">
        <v>46059</v>
      </c>
      <c r="D67" s="9" t="s">
        <v>241</v>
      </c>
      <c r="E67" s="95" t="s">
        <v>27</v>
      </c>
      <c r="F67" s="9" t="s">
        <v>246</v>
      </c>
      <c r="G67" s="9">
        <v>1</v>
      </c>
      <c r="H67" s="6" t="s">
        <v>243</v>
      </c>
      <c r="I67" s="9" t="s">
        <v>289</v>
      </c>
      <c r="J67" s="9" t="s">
        <v>145</v>
      </c>
    </row>
    <row r="68" spans="1:10">
      <c r="A68" s="5" t="s">
        <v>355</v>
      </c>
      <c r="B68" s="6" t="s">
        <v>939</v>
      </c>
      <c r="C68" s="7">
        <v>46059</v>
      </c>
      <c r="D68" s="9" t="s">
        <v>241</v>
      </c>
      <c r="E68" s="95" t="s">
        <v>28</v>
      </c>
      <c r="F68" s="9" t="s">
        <v>242</v>
      </c>
      <c r="G68" s="9">
        <v>1</v>
      </c>
      <c r="H68" s="6" t="s">
        <v>940</v>
      </c>
      <c r="I68" s="9" t="s">
        <v>532</v>
      </c>
      <c r="J68" s="9" t="s">
        <v>145</v>
      </c>
    </row>
    <row r="69" spans="1:10">
      <c r="A69" s="5" t="s">
        <v>358</v>
      </c>
      <c r="B69" s="6" t="s">
        <v>939</v>
      </c>
      <c r="C69" s="7">
        <v>46059</v>
      </c>
      <c r="D69" s="9" t="s">
        <v>241</v>
      </c>
      <c r="E69" s="95" t="s">
        <v>29</v>
      </c>
      <c r="F69" s="9" t="s">
        <v>246</v>
      </c>
      <c r="G69" s="9">
        <v>1</v>
      </c>
      <c r="H69" s="6" t="s">
        <v>940</v>
      </c>
      <c r="I69" s="9" t="s">
        <v>532</v>
      </c>
      <c r="J69" s="9" t="s">
        <v>145</v>
      </c>
    </row>
    <row r="70" spans="1:10">
      <c r="A70" s="5" t="s">
        <v>359</v>
      </c>
      <c r="B70" s="6" t="s">
        <v>941</v>
      </c>
      <c r="C70" s="7">
        <v>46059</v>
      </c>
      <c r="D70" s="9" t="s">
        <v>241</v>
      </c>
      <c r="E70" s="95" t="s">
        <v>28</v>
      </c>
      <c r="F70" s="9" t="s">
        <v>242</v>
      </c>
      <c r="G70" s="9">
        <v>1</v>
      </c>
      <c r="H70" s="6" t="s">
        <v>942</v>
      </c>
      <c r="I70" s="9" t="s">
        <v>258</v>
      </c>
      <c r="J70" s="9" t="s">
        <v>145</v>
      </c>
    </row>
    <row r="71" spans="1:10">
      <c r="A71" s="5" t="s">
        <v>361</v>
      </c>
      <c r="B71" s="6" t="s">
        <v>941</v>
      </c>
      <c r="C71" s="7">
        <v>46059</v>
      </c>
      <c r="D71" s="9" t="s">
        <v>241</v>
      </c>
      <c r="E71" s="95" t="s">
        <v>29</v>
      </c>
      <c r="F71" s="9" t="s">
        <v>246</v>
      </c>
      <c r="G71" s="9">
        <v>1</v>
      </c>
      <c r="H71" s="6" t="s">
        <v>942</v>
      </c>
      <c r="I71" s="9" t="s">
        <v>258</v>
      </c>
      <c r="J71" s="9" t="s">
        <v>145</v>
      </c>
    </row>
    <row r="72" spans="1:10">
      <c r="A72" s="5" t="s">
        <v>364</v>
      </c>
      <c r="B72" s="6" t="s">
        <v>943</v>
      </c>
      <c r="C72" s="7">
        <v>46062</v>
      </c>
      <c r="D72" s="9" t="s">
        <v>241</v>
      </c>
      <c r="E72" s="95" t="s">
        <v>28</v>
      </c>
      <c r="F72" s="9" t="s">
        <v>242</v>
      </c>
      <c r="G72" s="9">
        <v>1</v>
      </c>
      <c r="H72" s="6" t="s">
        <v>243</v>
      </c>
      <c r="I72" s="9" t="s">
        <v>616</v>
      </c>
      <c r="J72" s="9" t="s">
        <v>145</v>
      </c>
    </row>
    <row r="73" spans="1:10">
      <c r="A73" s="5" t="s">
        <v>365</v>
      </c>
      <c r="B73" s="6" t="s">
        <v>943</v>
      </c>
      <c r="C73" s="7">
        <v>46062</v>
      </c>
      <c r="D73" s="9" t="s">
        <v>241</v>
      </c>
      <c r="E73" s="95" t="s">
        <v>28</v>
      </c>
      <c r="F73" s="9" t="s">
        <v>246</v>
      </c>
      <c r="G73" s="9">
        <v>1</v>
      </c>
      <c r="H73" s="6" t="s">
        <v>243</v>
      </c>
      <c r="I73" s="9" t="s">
        <v>616</v>
      </c>
      <c r="J73" s="9" t="s">
        <v>145</v>
      </c>
    </row>
    <row r="74" spans="1:10">
      <c r="A74" s="5" t="s">
        <v>368</v>
      </c>
      <c r="B74" s="6" t="s">
        <v>944</v>
      </c>
      <c r="C74" s="7">
        <v>46062</v>
      </c>
      <c r="D74" s="9" t="s">
        <v>264</v>
      </c>
      <c r="E74" s="95" t="s">
        <v>38</v>
      </c>
      <c r="F74" s="9" t="s">
        <v>242</v>
      </c>
      <c r="G74" s="9">
        <v>1</v>
      </c>
      <c r="H74" s="6" t="s">
        <v>352</v>
      </c>
      <c r="I74" s="9" t="s">
        <v>329</v>
      </c>
      <c r="J74" s="9" t="s">
        <v>145</v>
      </c>
    </row>
    <row r="75" spans="1:10">
      <c r="A75" s="5" t="s">
        <v>369</v>
      </c>
      <c r="B75" s="6" t="s">
        <v>944</v>
      </c>
      <c r="C75" s="7">
        <v>46062</v>
      </c>
      <c r="D75" s="9" t="s">
        <v>264</v>
      </c>
      <c r="E75" s="95" t="s">
        <v>945</v>
      </c>
      <c r="F75" s="9" t="s">
        <v>246</v>
      </c>
      <c r="G75" s="9">
        <v>1</v>
      </c>
      <c r="H75" s="6" t="s">
        <v>352</v>
      </c>
      <c r="I75" s="9" t="s">
        <v>329</v>
      </c>
      <c r="J75" s="9" t="s">
        <v>145</v>
      </c>
    </row>
    <row r="76" spans="1:10">
      <c r="A76" s="5" t="s">
        <v>370</v>
      </c>
      <c r="B76" s="6" t="s">
        <v>944</v>
      </c>
      <c r="C76" s="7">
        <v>46062</v>
      </c>
      <c r="D76" s="9" t="s">
        <v>261</v>
      </c>
      <c r="E76" s="95" t="s">
        <v>64</v>
      </c>
      <c r="F76" s="9" t="s">
        <v>242</v>
      </c>
      <c r="G76" s="9">
        <v>1</v>
      </c>
      <c r="H76" s="6" t="s">
        <v>352</v>
      </c>
      <c r="I76" s="9" t="s">
        <v>329</v>
      </c>
      <c r="J76" s="9" t="s">
        <v>145</v>
      </c>
    </row>
    <row r="77" spans="1:10">
      <c r="A77" s="5" t="s">
        <v>372</v>
      </c>
      <c r="B77" s="6" t="s">
        <v>944</v>
      </c>
      <c r="C77" s="7">
        <v>46062</v>
      </c>
      <c r="D77" s="9" t="s">
        <v>261</v>
      </c>
      <c r="E77" s="95" t="s">
        <v>63</v>
      </c>
      <c r="F77" s="9" t="s">
        <v>242</v>
      </c>
      <c r="G77" s="9">
        <v>1</v>
      </c>
      <c r="H77" s="6" t="s">
        <v>352</v>
      </c>
      <c r="I77" s="9" t="s">
        <v>329</v>
      </c>
      <c r="J77" s="9" t="s">
        <v>145</v>
      </c>
    </row>
    <row r="78" spans="1:10">
      <c r="A78" s="5" t="s">
        <v>373</v>
      </c>
      <c r="B78" s="6" t="s">
        <v>944</v>
      </c>
      <c r="C78" s="7">
        <v>46062</v>
      </c>
      <c r="D78" s="9" t="s">
        <v>270</v>
      </c>
      <c r="E78" s="95" t="s">
        <v>271</v>
      </c>
      <c r="F78" s="9" t="s">
        <v>242</v>
      </c>
      <c r="G78" s="9">
        <v>1</v>
      </c>
      <c r="H78" s="6" t="s">
        <v>352</v>
      </c>
      <c r="I78" s="9" t="s">
        <v>329</v>
      </c>
      <c r="J78" s="9" t="s">
        <v>145</v>
      </c>
    </row>
    <row r="79" spans="1:10">
      <c r="A79" s="5" t="s">
        <v>375</v>
      </c>
      <c r="B79" s="6" t="s">
        <v>944</v>
      </c>
      <c r="C79" s="7">
        <v>46062</v>
      </c>
      <c r="D79" s="9" t="s">
        <v>270</v>
      </c>
      <c r="E79" s="95" t="s">
        <v>68</v>
      </c>
      <c r="F79" s="9" t="s">
        <v>242</v>
      </c>
      <c r="G79" s="9">
        <v>1</v>
      </c>
      <c r="H79" s="6" t="s">
        <v>352</v>
      </c>
      <c r="I79" s="9" t="s">
        <v>329</v>
      </c>
      <c r="J79" s="9" t="s">
        <v>145</v>
      </c>
    </row>
    <row r="80" spans="1:10">
      <c r="A80" s="5" t="s">
        <v>377</v>
      </c>
      <c r="B80" s="6" t="s">
        <v>946</v>
      </c>
      <c r="C80" s="7">
        <v>46062</v>
      </c>
      <c r="D80" s="9" t="s">
        <v>264</v>
      </c>
      <c r="E80" s="95" t="s">
        <v>35</v>
      </c>
      <c r="F80" s="9" t="s">
        <v>242</v>
      </c>
      <c r="G80" s="9">
        <v>1</v>
      </c>
      <c r="H80" s="6" t="s">
        <v>310</v>
      </c>
      <c r="I80" s="9" t="s">
        <v>329</v>
      </c>
      <c r="J80" s="9" t="s">
        <v>145</v>
      </c>
    </row>
    <row r="81" spans="1:10">
      <c r="A81" s="5" t="s">
        <v>378</v>
      </c>
      <c r="B81" s="6" t="s">
        <v>946</v>
      </c>
      <c r="C81" s="7">
        <v>46062</v>
      </c>
      <c r="D81" s="9" t="s">
        <v>264</v>
      </c>
      <c r="E81" s="95" t="s">
        <v>945</v>
      </c>
      <c r="F81" s="9" t="s">
        <v>246</v>
      </c>
      <c r="G81" s="9">
        <v>1</v>
      </c>
      <c r="H81" s="6" t="s">
        <v>310</v>
      </c>
      <c r="I81" s="9" t="s">
        <v>329</v>
      </c>
      <c r="J81" s="9" t="s">
        <v>145</v>
      </c>
    </row>
    <row r="82" spans="1:10">
      <c r="A82" s="5" t="s">
        <v>379</v>
      </c>
      <c r="B82" s="6" t="s">
        <v>946</v>
      </c>
      <c r="C82" s="7">
        <v>46062</v>
      </c>
      <c r="D82" s="9" t="s">
        <v>261</v>
      </c>
      <c r="E82" s="95" t="s">
        <v>64</v>
      </c>
      <c r="F82" s="9" t="s">
        <v>242</v>
      </c>
      <c r="G82" s="9">
        <v>1</v>
      </c>
      <c r="H82" s="6" t="s">
        <v>310</v>
      </c>
      <c r="I82" s="9" t="s">
        <v>329</v>
      </c>
      <c r="J82" s="9" t="s">
        <v>145</v>
      </c>
    </row>
    <row r="83" spans="1:10">
      <c r="A83" s="5" t="s">
        <v>381</v>
      </c>
      <c r="B83" s="6" t="s">
        <v>946</v>
      </c>
      <c r="C83" s="7">
        <v>46062</v>
      </c>
      <c r="D83" s="9" t="s">
        <v>261</v>
      </c>
      <c r="E83" s="95" t="s">
        <v>63</v>
      </c>
      <c r="F83" s="9" t="s">
        <v>242</v>
      </c>
      <c r="G83" s="9">
        <v>1</v>
      </c>
      <c r="H83" s="6" t="s">
        <v>310</v>
      </c>
      <c r="I83" s="9" t="s">
        <v>329</v>
      </c>
      <c r="J83" s="9" t="s">
        <v>145</v>
      </c>
    </row>
    <row r="84" spans="1:10">
      <c r="A84" s="5" t="s">
        <v>382</v>
      </c>
      <c r="B84" s="6" t="s">
        <v>946</v>
      </c>
      <c r="C84" s="7">
        <v>46062</v>
      </c>
      <c r="D84" s="9" t="s">
        <v>270</v>
      </c>
      <c r="E84" s="95" t="s">
        <v>271</v>
      </c>
      <c r="F84" s="9" t="s">
        <v>242</v>
      </c>
      <c r="G84" s="9">
        <v>1</v>
      </c>
      <c r="H84" s="6" t="s">
        <v>310</v>
      </c>
      <c r="I84" s="9" t="s">
        <v>329</v>
      </c>
      <c r="J84" s="9" t="s">
        <v>145</v>
      </c>
    </row>
    <row r="85" spans="1:10">
      <c r="A85" s="5" t="s">
        <v>384</v>
      </c>
      <c r="B85" s="6" t="s">
        <v>946</v>
      </c>
      <c r="C85" s="7">
        <v>46062</v>
      </c>
      <c r="D85" s="9" t="s">
        <v>270</v>
      </c>
      <c r="E85" s="95" t="s">
        <v>68</v>
      </c>
      <c r="F85" s="9" t="s">
        <v>242</v>
      </c>
      <c r="G85" s="9">
        <v>1</v>
      </c>
      <c r="H85" s="6" t="s">
        <v>310</v>
      </c>
      <c r="I85" s="9" t="s">
        <v>329</v>
      </c>
      <c r="J85" s="9" t="s">
        <v>145</v>
      </c>
    </row>
    <row r="86" spans="1:10">
      <c r="A86" s="5" t="s">
        <v>385</v>
      </c>
      <c r="B86" s="6" t="s">
        <v>947</v>
      </c>
      <c r="C86" s="7">
        <v>46062</v>
      </c>
      <c r="D86" s="9" t="s">
        <v>264</v>
      </c>
      <c r="E86" s="95" t="s">
        <v>36</v>
      </c>
      <c r="F86" s="9" t="s">
        <v>242</v>
      </c>
      <c r="G86" s="9">
        <v>1</v>
      </c>
      <c r="H86" s="6" t="s">
        <v>243</v>
      </c>
      <c r="I86" s="9" t="s">
        <v>329</v>
      </c>
      <c r="J86" s="9" t="s">
        <v>145</v>
      </c>
    </row>
    <row r="87" spans="1:10">
      <c r="A87" s="5" t="s">
        <v>389</v>
      </c>
      <c r="B87" s="6" t="s">
        <v>947</v>
      </c>
      <c r="C87" s="7">
        <v>46062</v>
      </c>
      <c r="D87" s="9" t="s">
        <v>264</v>
      </c>
      <c r="E87" s="95" t="s">
        <v>945</v>
      </c>
      <c r="F87" s="9" t="s">
        <v>246</v>
      </c>
      <c r="G87" s="9">
        <v>1</v>
      </c>
      <c r="H87" s="6" t="s">
        <v>243</v>
      </c>
      <c r="I87" s="9" t="s">
        <v>329</v>
      </c>
      <c r="J87" s="9" t="s">
        <v>145</v>
      </c>
    </row>
    <row r="88" spans="1:10">
      <c r="A88" s="5" t="s">
        <v>390</v>
      </c>
      <c r="B88" s="6" t="s">
        <v>947</v>
      </c>
      <c r="C88" s="7">
        <v>46062</v>
      </c>
      <c r="D88" s="9" t="s">
        <v>261</v>
      </c>
      <c r="E88" s="95" t="s">
        <v>64</v>
      </c>
      <c r="F88" s="9" t="s">
        <v>242</v>
      </c>
      <c r="G88" s="9">
        <v>1</v>
      </c>
      <c r="H88" s="6" t="s">
        <v>243</v>
      </c>
      <c r="I88" s="9" t="s">
        <v>329</v>
      </c>
      <c r="J88" s="9" t="s">
        <v>145</v>
      </c>
    </row>
    <row r="89" spans="1:10">
      <c r="A89" s="5" t="s">
        <v>391</v>
      </c>
      <c r="B89" s="6" t="s">
        <v>947</v>
      </c>
      <c r="C89" s="7">
        <v>46062</v>
      </c>
      <c r="D89" s="9" t="s">
        <v>261</v>
      </c>
      <c r="E89" s="95" t="s">
        <v>63</v>
      </c>
      <c r="F89" s="9" t="s">
        <v>242</v>
      </c>
      <c r="G89" s="9">
        <v>1</v>
      </c>
      <c r="H89" s="6" t="s">
        <v>243</v>
      </c>
      <c r="I89" s="9" t="s">
        <v>329</v>
      </c>
      <c r="J89" s="9" t="s">
        <v>145</v>
      </c>
    </row>
    <row r="90" spans="1:10">
      <c r="A90" s="5" t="s">
        <v>393</v>
      </c>
      <c r="B90" s="6" t="s">
        <v>947</v>
      </c>
      <c r="C90" s="7">
        <v>46062</v>
      </c>
      <c r="D90" s="9" t="s">
        <v>270</v>
      </c>
      <c r="E90" s="95" t="s">
        <v>271</v>
      </c>
      <c r="F90" s="9" t="s">
        <v>242</v>
      </c>
      <c r="G90" s="9">
        <v>1</v>
      </c>
      <c r="H90" s="6" t="s">
        <v>243</v>
      </c>
      <c r="I90" s="9" t="s">
        <v>329</v>
      </c>
      <c r="J90" s="9" t="s">
        <v>145</v>
      </c>
    </row>
    <row r="91" spans="1:10">
      <c r="A91" s="5" t="s">
        <v>394</v>
      </c>
      <c r="B91" s="6" t="s">
        <v>947</v>
      </c>
      <c r="C91" s="7">
        <v>46062</v>
      </c>
      <c r="D91" s="9" t="s">
        <v>270</v>
      </c>
      <c r="E91" s="95" t="s">
        <v>68</v>
      </c>
      <c r="F91" s="9" t="s">
        <v>242</v>
      </c>
      <c r="G91" s="9">
        <v>1</v>
      </c>
      <c r="H91" s="6" t="s">
        <v>243</v>
      </c>
      <c r="I91" s="9" t="s">
        <v>329</v>
      </c>
      <c r="J91" s="9" t="s">
        <v>145</v>
      </c>
    </row>
    <row r="92" spans="1:10">
      <c r="A92" s="5" t="s">
        <v>396</v>
      </c>
      <c r="B92" s="6" t="s">
        <v>948</v>
      </c>
      <c r="C92" s="7">
        <v>46062</v>
      </c>
      <c r="D92" s="9" t="s">
        <v>241</v>
      </c>
      <c r="E92" s="95" t="s">
        <v>28</v>
      </c>
      <c r="F92" s="9" t="s">
        <v>242</v>
      </c>
      <c r="G92" s="9">
        <v>1</v>
      </c>
      <c r="H92" s="6" t="s">
        <v>367</v>
      </c>
      <c r="I92" s="9" t="s">
        <v>357</v>
      </c>
      <c r="J92" s="9" t="s">
        <v>145</v>
      </c>
    </row>
    <row r="93" spans="1:10">
      <c r="A93" s="5" t="s">
        <v>398</v>
      </c>
      <c r="B93" s="6" t="s">
        <v>948</v>
      </c>
      <c r="C93" s="7">
        <v>46062</v>
      </c>
      <c r="D93" s="9" t="s">
        <v>241</v>
      </c>
      <c r="E93" s="95" t="s">
        <v>27</v>
      </c>
      <c r="F93" s="9" t="s">
        <v>246</v>
      </c>
      <c r="G93" s="9">
        <v>1</v>
      </c>
      <c r="H93" s="6" t="s">
        <v>367</v>
      </c>
      <c r="I93" s="9" t="s">
        <v>357</v>
      </c>
      <c r="J93" s="9" t="s">
        <v>145</v>
      </c>
    </row>
    <row r="94" spans="1:10">
      <c r="A94" s="5" t="s">
        <v>399</v>
      </c>
      <c r="B94" s="6" t="s">
        <v>948</v>
      </c>
      <c r="C94" s="7">
        <v>46062</v>
      </c>
      <c r="D94" s="9" t="s">
        <v>261</v>
      </c>
      <c r="E94" s="95" t="s">
        <v>125</v>
      </c>
      <c r="F94" s="9" t="s">
        <v>242</v>
      </c>
      <c r="G94" s="9">
        <v>2</v>
      </c>
      <c r="H94" s="6" t="s">
        <v>367</v>
      </c>
      <c r="I94" s="9" t="s">
        <v>357</v>
      </c>
      <c r="J94" s="9" t="s">
        <v>145</v>
      </c>
    </row>
    <row r="95" spans="1:10">
      <c r="A95" s="5" t="s">
        <v>401</v>
      </c>
      <c r="B95" s="6" t="s">
        <v>948</v>
      </c>
      <c r="C95" s="7">
        <v>46062</v>
      </c>
      <c r="D95" s="9" t="s">
        <v>261</v>
      </c>
      <c r="E95" s="95" t="s">
        <v>62</v>
      </c>
      <c r="F95" s="9" t="s">
        <v>242</v>
      </c>
      <c r="G95" s="9">
        <v>3</v>
      </c>
      <c r="H95" s="6" t="s">
        <v>367</v>
      </c>
      <c r="I95" s="9" t="s">
        <v>357</v>
      </c>
      <c r="J95" s="9" t="s">
        <v>145</v>
      </c>
    </row>
    <row r="96" spans="1:10">
      <c r="A96" s="5" t="s">
        <v>402</v>
      </c>
      <c r="B96" s="6" t="s">
        <v>949</v>
      </c>
      <c r="C96" s="7">
        <v>46062</v>
      </c>
      <c r="D96" s="9" t="s">
        <v>241</v>
      </c>
      <c r="E96" s="95" t="s">
        <v>28</v>
      </c>
      <c r="F96" s="9" t="s">
        <v>242</v>
      </c>
      <c r="G96" s="9">
        <v>1</v>
      </c>
      <c r="H96" s="6" t="s">
        <v>348</v>
      </c>
      <c r="I96" s="9" t="s">
        <v>605</v>
      </c>
      <c r="J96" s="9" t="s">
        <v>145</v>
      </c>
    </row>
    <row r="97" spans="1:10">
      <c r="A97" s="5" t="s">
        <v>403</v>
      </c>
      <c r="B97" s="6" t="s">
        <v>949</v>
      </c>
      <c r="C97" s="7">
        <v>46062</v>
      </c>
      <c r="D97" s="9" t="s">
        <v>241</v>
      </c>
      <c r="E97" s="95" t="s">
        <v>29</v>
      </c>
      <c r="F97" s="9" t="s">
        <v>246</v>
      </c>
      <c r="G97" s="9">
        <v>1</v>
      </c>
      <c r="H97" s="6" t="s">
        <v>348</v>
      </c>
      <c r="I97" s="9" t="s">
        <v>605</v>
      </c>
      <c r="J97" s="9" t="s">
        <v>145</v>
      </c>
    </row>
    <row r="98" spans="1:10">
      <c r="A98" s="5" t="s">
        <v>405</v>
      </c>
      <c r="B98" s="6" t="s">
        <v>950</v>
      </c>
      <c r="C98" s="7">
        <v>46062</v>
      </c>
      <c r="D98" s="9" t="s">
        <v>264</v>
      </c>
      <c r="E98" s="95" t="s">
        <v>38</v>
      </c>
      <c r="F98" s="9" t="s">
        <v>242</v>
      </c>
      <c r="G98" s="9">
        <v>1</v>
      </c>
      <c r="H98" s="6" t="s">
        <v>951</v>
      </c>
      <c r="I98" s="9" t="s">
        <v>329</v>
      </c>
      <c r="J98" s="9" t="s">
        <v>145</v>
      </c>
    </row>
    <row r="99" spans="1:10">
      <c r="A99" s="5" t="s">
        <v>406</v>
      </c>
      <c r="B99" s="6" t="s">
        <v>950</v>
      </c>
      <c r="C99" s="7">
        <v>46062</v>
      </c>
      <c r="D99" s="9" t="s">
        <v>264</v>
      </c>
      <c r="E99" s="95" t="s">
        <v>945</v>
      </c>
      <c r="F99" s="9" t="s">
        <v>246</v>
      </c>
      <c r="G99" s="9">
        <v>1</v>
      </c>
      <c r="H99" s="6" t="s">
        <v>951</v>
      </c>
      <c r="I99" s="9" t="s">
        <v>329</v>
      </c>
      <c r="J99" s="9" t="s">
        <v>145</v>
      </c>
    </row>
    <row r="100" spans="1:10">
      <c r="A100" s="5" t="s">
        <v>409</v>
      </c>
      <c r="B100" s="6" t="s">
        <v>950</v>
      </c>
      <c r="C100" s="7">
        <v>46062</v>
      </c>
      <c r="D100" s="9" t="s">
        <v>261</v>
      </c>
      <c r="E100" s="95" t="s">
        <v>64</v>
      </c>
      <c r="F100" s="9" t="s">
        <v>242</v>
      </c>
      <c r="G100" s="9">
        <v>1</v>
      </c>
      <c r="H100" s="6" t="s">
        <v>951</v>
      </c>
      <c r="I100" s="9" t="s">
        <v>329</v>
      </c>
      <c r="J100" s="9" t="s">
        <v>145</v>
      </c>
    </row>
    <row r="101" spans="1:10">
      <c r="A101" s="5" t="s">
        <v>410</v>
      </c>
      <c r="B101" s="6" t="s">
        <v>950</v>
      </c>
      <c r="C101" s="7">
        <v>46062</v>
      </c>
      <c r="D101" s="9" t="s">
        <v>270</v>
      </c>
      <c r="E101" s="95" t="s">
        <v>271</v>
      </c>
      <c r="F101" s="9" t="s">
        <v>242</v>
      </c>
      <c r="G101" s="9">
        <v>1</v>
      </c>
      <c r="H101" s="6" t="s">
        <v>951</v>
      </c>
      <c r="I101" s="9" t="s">
        <v>329</v>
      </c>
      <c r="J101" s="9" t="s">
        <v>145</v>
      </c>
    </row>
    <row r="102" spans="1:10">
      <c r="A102" s="5" t="s">
        <v>412</v>
      </c>
      <c r="B102" s="6" t="s">
        <v>950</v>
      </c>
      <c r="C102" s="7">
        <v>46062</v>
      </c>
      <c r="D102" s="9" t="s">
        <v>261</v>
      </c>
      <c r="E102" s="95" t="s">
        <v>63</v>
      </c>
      <c r="F102" s="9" t="s">
        <v>242</v>
      </c>
      <c r="G102" s="9">
        <v>1</v>
      </c>
      <c r="H102" s="6" t="s">
        <v>951</v>
      </c>
      <c r="I102" s="9" t="s">
        <v>329</v>
      </c>
      <c r="J102" s="9" t="s">
        <v>145</v>
      </c>
    </row>
    <row r="103" spans="1:10">
      <c r="A103" s="5" t="s">
        <v>413</v>
      </c>
      <c r="B103" s="6" t="s">
        <v>950</v>
      </c>
      <c r="C103" s="7">
        <v>46062</v>
      </c>
      <c r="D103" s="9" t="s">
        <v>270</v>
      </c>
      <c r="E103" s="95" t="s">
        <v>68</v>
      </c>
      <c r="F103" s="9" t="s">
        <v>242</v>
      </c>
      <c r="G103" s="9">
        <v>1</v>
      </c>
      <c r="H103" s="6" t="s">
        <v>951</v>
      </c>
      <c r="I103" s="9" t="s">
        <v>329</v>
      </c>
      <c r="J103" s="9" t="s">
        <v>145</v>
      </c>
    </row>
    <row r="104" spans="1:10">
      <c r="A104" s="5" t="s">
        <v>416</v>
      </c>
      <c r="B104" s="6" t="s">
        <v>952</v>
      </c>
      <c r="C104" s="7">
        <v>46063</v>
      </c>
      <c r="D104" s="9" t="s">
        <v>299</v>
      </c>
      <c r="E104" s="95" t="s">
        <v>22</v>
      </c>
      <c r="F104" s="9" t="s">
        <v>242</v>
      </c>
      <c r="G104" s="9">
        <v>1</v>
      </c>
      <c r="H104" s="6" t="s">
        <v>328</v>
      </c>
      <c r="I104" s="9" t="s">
        <v>258</v>
      </c>
      <c r="J104" s="9" t="s">
        <v>145</v>
      </c>
    </row>
    <row r="105" spans="1:10">
      <c r="A105" s="5" t="s">
        <v>417</v>
      </c>
      <c r="B105" s="6" t="s">
        <v>952</v>
      </c>
      <c r="C105" s="7">
        <v>46063</v>
      </c>
      <c r="D105" s="9" t="s">
        <v>299</v>
      </c>
      <c r="E105" s="95" t="s">
        <v>22</v>
      </c>
      <c r="F105" s="9" t="s">
        <v>246</v>
      </c>
      <c r="G105" s="9">
        <v>1</v>
      </c>
      <c r="H105" s="6" t="s">
        <v>328</v>
      </c>
      <c r="I105" s="9" t="s">
        <v>258</v>
      </c>
      <c r="J105" s="9" t="s">
        <v>145</v>
      </c>
    </row>
    <row r="106" spans="1:10">
      <c r="A106" s="5" t="s">
        <v>420</v>
      </c>
      <c r="B106" s="6" t="s">
        <v>953</v>
      </c>
      <c r="C106" s="7">
        <v>46063</v>
      </c>
      <c r="D106" s="9" t="s">
        <v>241</v>
      </c>
      <c r="E106" s="95" t="s">
        <v>28</v>
      </c>
      <c r="F106" s="9" t="s">
        <v>242</v>
      </c>
      <c r="G106" s="9">
        <v>1</v>
      </c>
      <c r="H106" s="6" t="s">
        <v>954</v>
      </c>
      <c r="I106" s="9" t="s">
        <v>275</v>
      </c>
      <c r="J106" s="9" t="s">
        <v>145</v>
      </c>
    </row>
    <row r="107" spans="1:10">
      <c r="A107" s="5" t="s">
        <v>421</v>
      </c>
      <c r="B107" s="6" t="s">
        <v>953</v>
      </c>
      <c r="C107" s="7">
        <v>46063</v>
      </c>
      <c r="D107" s="9" t="s">
        <v>241</v>
      </c>
      <c r="E107" s="95" t="s">
        <v>29</v>
      </c>
      <c r="F107" s="9" t="s">
        <v>246</v>
      </c>
      <c r="G107" s="9">
        <v>1</v>
      </c>
      <c r="H107" s="6" t="s">
        <v>954</v>
      </c>
      <c r="I107" s="9" t="s">
        <v>275</v>
      </c>
      <c r="J107" s="9" t="s">
        <v>145</v>
      </c>
    </row>
    <row r="108" spans="1:10">
      <c r="A108" s="5" t="s">
        <v>424</v>
      </c>
      <c r="B108" s="6" t="s">
        <v>955</v>
      </c>
      <c r="C108" s="7">
        <v>46064</v>
      </c>
      <c r="D108" s="9" t="s">
        <v>241</v>
      </c>
      <c r="E108" s="95" t="s">
        <v>28</v>
      </c>
      <c r="F108" s="9" t="s">
        <v>242</v>
      </c>
      <c r="G108" s="9">
        <v>1</v>
      </c>
      <c r="H108" s="6" t="s">
        <v>328</v>
      </c>
      <c r="I108" s="9" t="s">
        <v>244</v>
      </c>
      <c r="J108" s="9" t="s">
        <v>145</v>
      </c>
    </row>
    <row r="109" spans="1:10">
      <c r="A109" s="5" t="s">
        <v>425</v>
      </c>
      <c r="B109" s="6" t="s">
        <v>955</v>
      </c>
      <c r="C109" s="7">
        <v>46064</v>
      </c>
      <c r="D109" s="9" t="s">
        <v>241</v>
      </c>
      <c r="E109" s="95" t="s">
        <v>27</v>
      </c>
      <c r="F109" s="9" t="s">
        <v>246</v>
      </c>
      <c r="G109" s="9">
        <v>1</v>
      </c>
      <c r="H109" s="6" t="s">
        <v>328</v>
      </c>
      <c r="I109" s="9" t="s">
        <v>244</v>
      </c>
      <c r="J109" s="9" t="s">
        <v>145</v>
      </c>
    </row>
    <row r="110" spans="1:10">
      <c r="A110" s="5" t="s">
        <v>427</v>
      </c>
      <c r="B110" s="6" t="s">
        <v>956</v>
      </c>
      <c r="C110" s="7">
        <v>46065</v>
      </c>
      <c r="D110" s="9" t="s">
        <v>270</v>
      </c>
      <c r="E110" s="95" t="s">
        <v>663</v>
      </c>
      <c r="F110" s="9" t="s">
        <v>242</v>
      </c>
      <c r="G110" s="9">
        <v>1</v>
      </c>
      <c r="H110" s="6" t="s">
        <v>957</v>
      </c>
      <c r="I110" s="9" t="s">
        <v>918</v>
      </c>
      <c r="J110" s="9" t="s">
        <v>145</v>
      </c>
    </row>
    <row r="111" spans="1:10" ht="15" customHeight="1">
      <c r="A111" s="5" t="s">
        <v>428</v>
      </c>
      <c r="B111" s="6" t="s">
        <v>958</v>
      </c>
      <c r="C111" s="7">
        <v>46065</v>
      </c>
      <c r="D111" s="9" t="s">
        <v>241</v>
      </c>
      <c r="E111" s="95" t="s">
        <v>28</v>
      </c>
      <c r="F111" s="9" t="s">
        <v>242</v>
      </c>
      <c r="G111" s="9">
        <v>1</v>
      </c>
      <c r="H111" s="6" t="s">
        <v>243</v>
      </c>
      <c r="I111" s="9" t="s">
        <v>244</v>
      </c>
      <c r="J111" s="9" t="s">
        <v>145</v>
      </c>
    </row>
    <row r="112" spans="1:10">
      <c r="A112" s="5" t="s">
        <v>430</v>
      </c>
      <c r="B112" s="6" t="s">
        <v>958</v>
      </c>
      <c r="C112" s="7">
        <v>46065</v>
      </c>
      <c r="D112" s="9" t="s">
        <v>241</v>
      </c>
      <c r="E112" s="95" t="s">
        <v>29</v>
      </c>
      <c r="F112" s="9" t="s">
        <v>246</v>
      </c>
      <c r="G112" s="9">
        <v>1</v>
      </c>
      <c r="H112" s="6" t="s">
        <v>243</v>
      </c>
      <c r="I112" s="9" t="s">
        <v>244</v>
      </c>
      <c r="J112" s="9" t="s">
        <v>145</v>
      </c>
    </row>
    <row r="113" spans="1:10">
      <c r="A113" s="5" t="s">
        <v>431</v>
      </c>
      <c r="B113" s="6" t="s">
        <v>959</v>
      </c>
      <c r="C113" s="7">
        <v>46065</v>
      </c>
      <c r="D113" s="9" t="s">
        <v>241</v>
      </c>
      <c r="E113" s="95" t="s">
        <v>28</v>
      </c>
      <c r="F113" s="9" t="s">
        <v>242</v>
      </c>
      <c r="G113" s="9">
        <v>1</v>
      </c>
      <c r="H113" s="6" t="s">
        <v>243</v>
      </c>
      <c r="I113" s="9" t="s">
        <v>284</v>
      </c>
      <c r="J113" s="9" t="s">
        <v>145</v>
      </c>
    </row>
    <row r="114" spans="1:10">
      <c r="A114" s="5" t="s">
        <v>433</v>
      </c>
      <c r="B114" s="6" t="s">
        <v>959</v>
      </c>
      <c r="C114" s="7">
        <v>46065</v>
      </c>
      <c r="D114" s="9" t="s">
        <v>241</v>
      </c>
      <c r="E114" s="95" t="s">
        <v>29</v>
      </c>
      <c r="F114" s="9" t="s">
        <v>246</v>
      </c>
      <c r="G114" s="9">
        <v>1</v>
      </c>
      <c r="H114" s="6" t="s">
        <v>243</v>
      </c>
      <c r="I114" s="9" t="s">
        <v>284</v>
      </c>
      <c r="J114" s="9" t="s">
        <v>145</v>
      </c>
    </row>
    <row r="115" spans="1:10">
      <c r="A115" s="5" t="s">
        <v>434</v>
      </c>
      <c r="B115" s="6" t="s">
        <v>959</v>
      </c>
      <c r="C115" s="7">
        <v>46065</v>
      </c>
      <c r="D115" s="9" t="s">
        <v>261</v>
      </c>
      <c r="E115" s="95" t="s">
        <v>281</v>
      </c>
      <c r="F115" s="9" t="s">
        <v>242</v>
      </c>
      <c r="G115" s="9">
        <v>3</v>
      </c>
      <c r="H115" s="6" t="s">
        <v>243</v>
      </c>
      <c r="I115" s="9" t="s">
        <v>284</v>
      </c>
      <c r="J115" s="9" t="s">
        <v>145</v>
      </c>
    </row>
    <row r="116" spans="1:10">
      <c r="A116" s="5" t="s">
        <v>435</v>
      </c>
      <c r="B116" s="6" t="s">
        <v>960</v>
      </c>
      <c r="C116" s="7">
        <v>46065</v>
      </c>
      <c r="D116" s="9" t="s">
        <v>241</v>
      </c>
      <c r="E116" s="95" t="s">
        <v>28</v>
      </c>
      <c r="F116" s="9" t="s">
        <v>242</v>
      </c>
      <c r="G116" s="9">
        <v>1</v>
      </c>
      <c r="H116" s="6" t="s">
        <v>243</v>
      </c>
      <c r="I116" s="9" t="s">
        <v>388</v>
      </c>
      <c r="J116" s="9" t="s">
        <v>145</v>
      </c>
    </row>
    <row r="117" spans="1:10">
      <c r="A117" s="5" t="s">
        <v>437</v>
      </c>
      <c r="B117" s="6" t="s">
        <v>960</v>
      </c>
      <c r="C117" s="7">
        <v>46065</v>
      </c>
      <c r="D117" s="9" t="s">
        <v>241</v>
      </c>
      <c r="E117" s="95" t="s">
        <v>27</v>
      </c>
      <c r="F117" s="9" t="s">
        <v>246</v>
      </c>
      <c r="G117" s="9">
        <v>1</v>
      </c>
      <c r="H117" s="6" t="s">
        <v>243</v>
      </c>
      <c r="I117" s="9" t="s">
        <v>388</v>
      </c>
      <c r="J117" s="9" t="s">
        <v>145</v>
      </c>
    </row>
    <row r="118" spans="1:10">
      <c r="A118" s="5" t="s">
        <v>438</v>
      </c>
      <c r="B118" s="6" t="s">
        <v>961</v>
      </c>
      <c r="C118" s="7">
        <v>46065</v>
      </c>
      <c r="D118" s="9" t="s">
        <v>665</v>
      </c>
      <c r="E118" s="95" t="s">
        <v>666</v>
      </c>
      <c r="F118" s="9" t="s">
        <v>242</v>
      </c>
      <c r="G118" s="9">
        <v>1</v>
      </c>
      <c r="H118" s="6" t="s">
        <v>962</v>
      </c>
      <c r="I118" s="9" t="s">
        <v>484</v>
      </c>
      <c r="J118" s="9" t="s">
        <v>145</v>
      </c>
    </row>
    <row r="119" spans="1:10">
      <c r="A119" s="5" t="s">
        <v>439</v>
      </c>
      <c r="B119" s="6" t="s">
        <v>961</v>
      </c>
      <c r="C119" s="7">
        <v>46065</v>
      </c>
      <c r="D119" s="9" t="s">
        <v>665</v>
      </c>
      <c r="E119" s="95" t="s">
        <v>149</v>
      </c>
      <c r="F119" s="9" t="s">
        <v>246</v>
      </c>
      <c r="G119" s="9">
        <v>1</v>
      </c>
      <c r="H119" s="6" t="s">
        <v>962</v>
      </c>
      <c r="I119" s="9" t="s">
        <v>484</v>
      </c>
      <c r="J119" s="9" t="s">
        <v>145</v>
      </c>
    </row>
    <row r="120" spans="1:10">
      <c r="A120" s="5" t="s">
        <v>441</v>
      </c>
      <c r="B120" s="6" t="s">
        <v>963</v>
      </c>
      <c r="C120" s="7">
        <v>46065</v>
      </c>
      <c r="D120" s="9" t="s">
        <v>241</v>
      </c>
      <c r="E120" s="95" t="s">
        <v>28</v>
      </c>
      <c r="F120" s="9" t="s">
        <v>242</v>
      </c>
      <c r="G120" s="9">
        <v>1</v>
      </c>
      <c r="H120" s="6" t="s">
        <v>243</v>
      </c>
      <c r="I120" s="9" t="s">
        <v>275</v>
      </c>
      <c r="J120" s="9" t="s">
        <v>145</v>
      </c>
    </row>
    <row r="121" spans="1:10">
      <c r="A121" s="5" t="s">
        <v>442</v>
      </c>
      <c r="B121" s="6" t="s">
        <v>963</v>
      </c>
      <c r="C121" s="7">
        <v>46065</v>
      </c>
      <c r="D121" s="9" t="s">
        <v>241</v>
      </c>
      <c r="E121" s="95" t="s">
        <v>27</v>
      </c>
      <c r="F121" s="9" t="s">
        <v>246</v>
      </c>
      <c r="G121" s="9">
        <v>1</v>
      </c>
      <c r="H121" s="6" t="s">
        <v>243</v>
      </c>
      <c r="I121" s="9" t="s">
        <v>275</v>
      </c>
      <c r="J121" s="9" t="s">
        <v>145</v>
      </c>
    </row>
    <row r="122" spans="1:10">
      <c r="A122" s="5" t="s">
        <v>444</v>
      </c>
      <c r="B122" s="6" t="s">
        <v>964</v>
      </c>
      <c r="C122" s="7">
        <v>46066</v>
      </c>
      <c r="D122" s="9" t="s">
        <v>241</v>
      </c>
      <c r="E122" s="95" t="s">
        <v>28</v>
      </c>
      <c r="F122" s="9" t="s">
        <v>242</v>
      </c>
      <c r="G122" s="9">
        <v>1</v>
      </c>
      <c r="H122" s="6" t="s">
        <v>965</v>
      </c>
      <c r="I122" s="9" t="s">
        <v>244</v>
      </c>
      <c r="J122" s="9" t="s">
        <v>145</v>
      </c>
    </row>
    <row r="123" spans="1:10">
      <c r="A123" s="5" t="s">
        <v>445</v>
      </c>
      <c r="B123" s="6" t="s">
        <v>964</v>
      </c>
      <c r="C123" s="7">
        <v>46066</v>
      </c>
      <c r="D123" s="9" t="s">
        <v>241</v>
      </c>
      <c r="E123" s="95" t="s">
        <v>29</v>
      </c>
      <c r="F123" s="9" t="s">
        <v>246</v>
      </c>
      <c r="G123" s="9">
        <v>1</v>
      </c>
      <c r="H123" s="6" t="s">
        <v>965</v>
      </c>
      <c r="I123" s="9" t="s">
        <v>244</v>
      </c>
      <c r="J123" s="9" t="s">
        <v>145</v>
      </c>
    </row>
    <row r="124" spans="1:10">
      <c r="A124" s="5" t="s">
        <v>446</v>
      </c>
      <c r="B124" s="6" t="s">
        <v>966</v>
      </c>
      <c r="C124" s="7">
        <v>46072</v>
      </c>
      <c r="D124" s="9" t="s">
        <v>241</v>
      </c>
      <c r="E124" s="95" t="s">
        <v>28</v>
      </c>
      <c r="F124" s="9" t="s">
        <v>242</v>
      </c>
      <c r="G124" s="9">
        <v>1</v>
      </c>
      <c r="H124" s="6" t="s">
        <v>243</v>
      </c>
      <c r="I124" s="9" t="s">
        <v>244</v>
      </c>
      <c r="J124" s="9" t="s">
        <v>145</v>
      </c>
    </row>
    <row r="125" spans="1:10">
      <c r="A125" s="5" t="s">
        <v>448</v>
      </c>
      <c r="B125" s="6" t="s">
        <v>966</v>
      </c>
      <c r="C125" s="7">
        <v>46072</v>
      </c>
      <c r="D125" s="9" t="s">
        <v>241</v>
      </c>
      <c r="E125" s="95" t="s">
        <v>29</v>
      </c>
      <c r="F125" s="9" t="s">
        <v>246</v>
      </c>
      <c r="G125" s="9">
        <v>1</v>
      </c>
      <c r="H125" s="6" t="s">
        <v>243</v>
      </c>
      <c r="I125" s="9" t="s">
        <v>244</v>
      </c>
      <c r="J125" s="9" t="s">
        <v>145</v>
      </c>
    </row>
    <row r="126" spans="1:10">
      <c r="A126" s="5" t="s">
        <v>449</v>
      </c>
      <c r="B126" s="6" t="s">
        <v>967</v>
      </c>
      <c r="C126" s="7">
        <v>46072</v>
      </c>
      <c r="D126" s="9" t="s">
        <v>241</v>
      </c>
      <c r="E126" s="95" t="s">
        <v>28</v>
      </c>
      <c r="F126" s="9" t="s">
        <v>242</v>
      </c>
      <c r="G126" s="9">
        <v>1</v>
      </c>
      <c r="H126" s="6" t="s">
        <v>423</v>
      </c>
      <c r="I126" s="9" t="s">
        <v>289</v>
      </c>
      <c r="J126" s="9" t="s">
        <v>145</v>
      </c>
    </row>
    <row r="127" spans="1:10">
      <c r="A127" s="5" t="s">
        <v>450</v>
      </c>
      <c r="B127" s="6" t="s">
        <v>967</v>
      </c>
      <c r="C127" s="7">
        <v>46072</v>
      </c>
      <c r="D127" s="9" t="s">
        <v>241</v>
      </c>
      <c r="E127" s="95" t="s">
        <v>27</v>
      </c>
      <c r="F127" s="9" t="s">
        <v>246</v>
      </c>
      <c r="G127" s="9">
        <v>1</v>
      </c>
      <c r="H127" s="6" t="s">
        <v>423</v>
      </c>
      <c r="I127" s="9" t="s">
        <v>289</v>
      </c>
      <c r="J127" s="9" t="s">
        <v>145</v>
      </c>
    </row>
    <row r="128" spans="1:10">
      <c r="A128" s="5" t="s">
        <v>451</v>
      </c>
      <c r="B128" s="6" t="s">
        <v>967</v>
      </c>
      <c r="C128" s="7">
        <v>46072</v>
      </c>
      <c r="D128" s="9" t="s">
        <v>261</v>
      </c>
      <c r="E128" s="95" t="s">
        <v>62</v>
      </c>
      <c r="F128" s="9" t="s">
        <v>242</v>
      </c>
      <c r="G128" s="9">
        <v>2</v>
      </c>
      <c r="H128" s="6" t="s">
        <v>423</v>
      </c>
      <c r="I128" s="9" t="s">
        <v>289</v>
      </c>
      <c r="J128" s="9" t="s">
        <v>145</v>
      </c>
    </row>
    <row r="129" spans="1:10">
      <c r="A129" s="5" t="s">
        <v>453</v>
      </c>
      <c r="B129" s="6" t="s">
        <v>968</v>
      </c>
      <c r="C129" s="7">
        <v>46072</v>
      </c>
      <c r="D129" s="9" t="s">
        <v>299</v>
      </c>
      <c r="E129" s="95" t="s">
        <v>376</v>
      </c>
      <c r="F129" s="9" t="s">
        <v>242</v>
      </c>
      <c r="G129" s="9">
        <v>1</v>
      </c>
      <c r="H129" s="6" t="s">
        <v>243</v>
      </c>
      <c r="I129" s="9" t="s">
        <v>244</v>
      </c>
      <c r="J129" s="9" t="s">
        <v>145</v>
      </c>
    </row>
    <row r="130" spans="1:10">
      <c r="A130" s="5" t="s">
        <v>454</v>
      </c>
      <c r="B130" s="6" t="s">
        <v>968</v>
      </c>
      <c r="C130" s="7">
        <v>46072</v>
      </c>
      <c r="D130" s="9" t="s">
        <v>299</v>
      </c>
      <c r="E130" s="95" t="s">
        <v>376</v>
      </c>
      <c r="F130" s="9" t="s">
        <v>246</v>
      </c>
      <c r="G130" s="9">
        <v>1</v>
      </c>
      <c r="H130" s="6" t="s">
        <v>243</v>
      </c>
      <c r="I130" s="9" t="s">
        <v>244</v>
      </c>
      <c r="J130" s="9" t="s">
        <v>145</v>
      </c>
    </row>
    <row r="131" spans="1:10">
      <c r="A131" s="5" t="s">
        <v>456</v>
      </c>
      <c r="B131" s="6" t="s">
        <v>969</v>
      </c>
      <c r="C131" s="7">
        <v>46072</v>
      </c>
      <c r="D131" s="9" t="s">
        <v>241</v>
      </c>
      <c r="E131" s="95" t="s">
        <v>28</v>
      </c>
      <c r="F131" s="9" t="s">
        <v>242</v>
      </c>
      <c r="G131" s="9">
        <v>1</v>
      </c>
      <c r="H131" s="6" t="s">
        <v>970</v>
      </c>
      <c r="I131" s="9" t="s">
        <v>258</v>
      </c>
      <c r="J131" s="9" t="s">
        <v>145</v>
      </c>
    </row>
    <row r="132" spans="1:10">
      <c r="A132" s="5" t="s">
        <v>457</v>
      </c>
      <c r="B132" s="6" t="s">
        <v>969</v>
      </c>
      <c r="C132" s="7">
        <v>46072</v>
      </c>
      <c r="D132" s="9" t="s">
        <v>241</v>
      </c>
      <c r="E132" s="95" t="s">
        <v>27</v>
      </c>
      <c r="F132" s="9" t="s">
        <v>246</v>
      </c>
      <c r="G132" s="9">
        <v>1</v>
      </c>
      <c r="H132" s="6" t="s">
        <v>970</v>
      </c>
      <c r="I132" s="9" t="s">
        <v>258</v>
      </c>
      <c r="J132" s="9" t="s">
        <v>145</v>
      </c>
    </row>
    <row r="133" spans="1:10">
      <c r="A133" s="5" t="s">
        <v>458</v>
      </c>
      <c r="B133" s="6" t="s">
        <v>969</v>
      </c>
      <c r="C133" s="7">
        <v>46072</v>
      </c>
      <c r="D133" s="9" t="s">
        <v>261</v>
      </c>
      <c r="E133" s="95" t="s">
        <v>62</v>
      </c>
      <c r="F133" s="9" t="s">
        <v>242</v>
      </c>
      <c r="G133" s="9">
        <v>1</v>
      </c>
      <c r="H133" s="6" t="s">
        <v>970</v>
      </c>
      <c r="I133" s="9" t="s">
        <v>258</v>
      </c>
      <c r="J133" s="9" t="s">
        <v>145</v>
      </c>
    </row>
    <row r="134" spans="1:10">
      <c r="A134" s="5" t="s">
        <v>460</v>
      </c>
      <c r="B134" s="6" t="s">
        <v>971</v>
      </c>
      <c r="C134" s="7">
        <v>46072</v>
      </c>
      <c r="D134" s="9" t="s">
        <v>241</v>
      </c>
      <c r="E134" s="95" t="s">
        <v>28</v>
      </c>
      <c r="F134" s="9" t="s">
        <v>242</v>
      </c>
      <c r="G134" s="9">
        <v>1</v>
      </c>
      <c r="H134" s="6" t="s">
        <v>243</v>
      </c>
      <c r="I134" s="9" t="s">
        <v>337</v>
      </c>
      <c r="J134" s="9" t="s">
        <v>145</v>
      </c>
    </row>
    <row r="135" spans="1:10">
      <c r="A135" s="5" t="s">
        <v>461</v>
      </c>
      <c r="B135" s="6" t="s">
        <v>971</v>
      </c>
      <c r="C135" s="7">
        <v>46072</v>
      </c>
      <c r="D135" s="9" t="s">
        <v>241</v>
      </c>
      <c r="E135" s="95" t="s">
        <v>27</v>
      </c>
      <c r="F135" s="9" t="s">
        <v>246</v>
      </c>
      <c r="G135" s="9">
        <v>1</v>
      </c>
      <c r="H135" s="6" t="s">
        <v>243</v>
      </c>
      <c r="I135" s="9" t="s">
        <v>337</v>
      </c>
      <c r="J135" s="9" t="s">
        <v>145</v>
      </c>
    </row>
    <row r="136" spans="1:10">
      <c r="A136" s="5" t="s">
        <v>463</v>
      </c>
      <c r="B136" s="6" t="s">
        <v>971</v>
      </c>
      <c r="C136" s="7">
        <v>46072</v>
      </c>
      <c r="D136" s="9" t="s">
        <v>261</v>
      </c>
      <c r="E136" s="95" t="s">
        <v>62</v>
      </c>
      <c r="F136" s="9" t="s">
        <v>242</v>
      </c>
      <c r="G136" s="9">
        <v>1</v>
      </c>
      <c r="H136" s="6" t="s">
        <v>243</v>
      </c>
      <c r="I136" s="9" t="s">
        <v>337</v>
      </c>
      <c r="J136" s="9" t="s">
        <v>145</v>
      </c>
    </row>
    <row r="137" spans="1:10">
      <c r="A137" s="5" t="s">
        <v>464</v>
      </c>
      <c r="B137" s="6" t="s">
        <v>972</v>
      </c>
      <c r="C137" s="7">
        <v>46073</v>
      </c>
      <c r="D137" s="9" t="s">
        <v>241</v>
      </c>
      <c r="E137" s="95" t="s">
        <v>28</v>
      </c>
      <c r="F137" s="9" t="s">
        <v>242</v>
      </c>
      <c r="G137" s="9">
        <v>1</v>
      </c>
      <c r="H137" s="6" t="s">
        <v>243</v>
      </c>
      <c r="I137" s="9" t="s">
        <v>973</v>
      </c>
      <c r="J137" s="9" t="s">
        <v>145</v>
      </c>
    </row>
    <row r="138" spans="1:10">
      <c r="A138" s="5" t="s">
        <v>466</v>
      </c>
      <c r="B138" s="6" t="s">
        <v>972</v>
      </c>
      <c r="C138" s="7">
        <v>46073</v>
      </c>
      <c r="D138" s="9" t="s">
        <v>241</v>
      </c>
      <c r="E138" s="95" t="s">
        <v>27</v>
      </c>
      <c r="F138" s="9" t="s">
        <v>246</v>
      </c>
      <c r="G138" s="9">
        <v>1</v>
      </c>
      <c r="H138" s="6" t="s">
        <v>243</v>
      </c>
      <c r="I138" s="9" t="s">
        <v>973</v>
      </c>
      <c r="J138" s="9" t="s">
        <v>145</v>
      </c>
    </row>
    <row r="139" spans="1:10">
      <c r="A139" s="5" t="s">
        <v>467</v>
      </c>
      <c r="B139" s="6" t="s">
        <v>974</v>
      </c>
      <c r="C139" s="7">
        <v>46073</v>
      </c>
      <c r="D139" s="9" t="s">
        <v>264</v>
      </c>
      <c r="E139" s="95" t="s">
        <v>38</v>
      </c>
      <c r="F139" s="9" t="s">
        <v>242</v>
      </c>
      <c r="G139" s="9">
        <v>1</v>
      </c>
      <c r="H139" s="6" t="s">
        <v>243</v>
      </c>
      <c r="I139" s="9" t="s">
        <v>532</v>
      </c>
      <c r="J139" s="9" t="s">
        <v>145</v>
      </c>
    </row>
    <row r="140" spans="1:10">
      <c r="A140" s="5" t="s">
        <v>468</v>
      </c>
      <c r="B140" s="6" t="s">
        <v>974</v>
      </c>
      <c r="C140" s="7">
        <v>46073</v>
      </c>
      <c r="D140" s="9" t="s">
        <v>264</v>
      </c>
      <c r="E140" s="95" t="s">
        <v>945</v>
      </c>
      <c r="F140" s="9" t="s">
        <v>246</v>
      </c>
      <c r="G140" s="9">
        <v>1</v>
      </c>
      <c r="H140" s="6" t="s">
        <v>243</v>
      </c>
      <c r="I140" s="9" t="s">
        <v>532</v>
      </c>
      <c r="J140" s="9" t="s">
        <v>145</v>
      </c>
    </row>
    <row r="141" spans="1:10">
      <c r="A141" s="5" t="s">
        <v>471</v>
      </c>
      <c r="B141" s="6" t="s">
        <v>974</v>
      </c>
      <c r="C141" s="7">
        <v>46073</v>
      </c>
      <c r="D141" s="9" t="s">
        <v>261</v>
      </c>
      <c r="E141" s="95" t="s">
        <v>64</v>
      </c>
      <c r="F141" s="9" t="s">
        <v>242</v>
      </c>
      <c r="G141" s="9">
        <v>1</v>
      </c>
      <c r="H141" s="6" t="s">
        <v>243</v>
      </c>
      <c r="I141" s="9" t="s">
        <v>532</v>
      </c>
      <c r="J141" s="9" t="s">
        <v>145</v>
      </c>
    </row>
    <row r="142" spans="1:10">
      <c r="A142" s="5" t="s">
        <v>472</v>
      </c>
      <c r="B142" s="6" t="s">
        <v>974</v>
      </c>
      <c r="C142" s="7">
        <v>46073</v>
      </c>
      <c r="D142" s="9" t="s">
        <v>270</v>
      </c>
      <c r="E142" s="95" t="s">
        <v>271</v>
      </c>
      <c r="F142" s="9" t="s">
        <v>242</v>
      </c>
      <c r="G142" s="9">
        <v>1</v>
      </c>
      <c r="H142" s="6" t="s">
        <v>243</v>
      </c>
      <c r="I142" s="9" t="s">
        <v>532</v>
      </c>
      <c r="J142" s="9" t="s">
        <v>145</v>
      </c>
    </row>
    <row r="143" spans="1:10">
      <c r="A143" s="5" t="s">
        <v>475</v>
      </c>
      <c r="B143" s="6" t="s">
        <v>974</v>
      </c>
      <c r="C143" s="7">
        <v>46073</v>
      </c>
      <c r="D143" s="9" t="s">
        <v>261</v>
      </c>
      <c r="E143" s="95" t="s">
        <v>63</v>
      </c>
      <c r="F143" s="9" t="s">
        <v>242</v>
      </c>
      <c r="G143" s="9">
        <v>1</v>
      </c>
      <c r="H143" s="6" t="s">
        <v>243</v>
      </c>
      <c r="I143" s="9" t="s">
        <v>532</v>
      </c>
      <c r="J143" s="9" t="s">
        <v>145</v>
      </c>
    </row>
    <row r="144" spans="1:10">
      <c r="A144" s="5" t="s">
        <v>476</v>
      </c>
      <c r="B144" s="6" t="s">
        <v>974</v>
      </c>
      <c r="C144" s="7">
        <v>46073</v>
      </c>
      <c r="D144" s="9" t="s">
        <v>270</v>
      </c>
      <c r="E144" s="95" t="s">
        <v>68</v>
      </c>
      <c r="F144" s="9" t="s">
        <v>242</v>
      </c>
      <c r="G144" s="9">
        <v>1</v>
      </c>
      <c r="H144" s="6" t="s">
        <v>243</v>
      </c>
      <c r="I144" s="9" t="s">
        <v>532</v>
      </c>
      <c r="J144" s="9" t="s">
        <v>145</v>
      </c>
    </row>
    <row r="145" spans="1:10">
      <c r="A145" s="5" t="s">
        <v>477</v>
      </c>
      <c r="B145" s="6" t="s">
        <v>975</v>
      </c>
      <c r="C145" s="7">
        <v>46074</v>
      </c>
      <c r="D145" s="9" t="s">
        <v>241</v>
      </c>
      <c r="E145" s="95" t="s">
        <v>28</v>
      </c>
      <c r="F145" s="9" t="s">
        <v>242</v>
      </c>
      <c r="G145" s="9">
        <v>1</v>
      </c>
      <c r="H145" s="6" t="s">
        <v>348</v>
      </c>
      <c r="I145" s="9" t="s">
        <v>976</v>
      </c>
      <c r="J145" s="9" t="s">
        <v>145</v>
      </c>
    </row>
    <row r="146" spans="1:10">
      <c r="A146" s="5" t="s">
        <v>478</v>
      </c>
      <c r="B146" s="6" t="s">
        <v>975</v>
      </c>
      <c r="C146" s="7">
        <v>46074</v>
      </c>
      <c r="D146" s="9" t="s">
        <v>241</v>
      </c>
      <c r="E146" s="95" t="s">
        <v>29</v>
      </c>
      <c r="F146" s="9" t="s">
        <v>246</v>
      </c>
      <c r="G146" s="9">
        <v>1</v>
      </c>
      <c r="H146" s="6" t="s">
        <v>348</v>
      </c>
      <c r="I146" s="9" t="s">
        <v>976</v>
      </c>
      <c r="J146" s="9" t="s">
        <v>145</v>
      </c>
    </row>
    <row r="147" spans="1:10">
      <c r="A147" s="5" t="s">
        <v>480</v>
      </c>
      <c r="B147" s="6" t="s">
        <v>975</v>
      </c>
      <c r="C147" s="7">
        <v>46074</v>
      </c>
      <c r="D147" s="9" t="s">
        <v>261</v>
      </c>
      <c r="E147" s="95" t="s">
        <v>62</v>
      </c>
      <c r="F147" s="9" t="s">
        <v>242</v>
      </c>
      <c r="G147" s="9">
        <v>2</v>
      </c>
      <c r="H147" s="6" t="s">
        <v>348</v>
      </c>
      <c r="I147" s="9" t="s">
        <v>976</v>
      </c>
      <c r="J147" s="9" t="s">
        <v>145</v>
      </c>
    </row>
    <row r="148" spans="1:10">
      <c r="A148" s="5" t="s">
        <v>481</v>
      </c>
      <c r="B148" s="6" t="s">
        <v>977</v>
      </c>
      <c r="C148" s="7">
        <v>46075</v>
      </c>
      <c r="D148" s="9" t="s">
        <v>241</v>
      </c>
      <c r="E148" s="95" t="s">
        <v>28</v>
      </c>
      <c r="F148" s="9" t="s">
        <v>242</v>
      </c>
      <c r="G148" s="9">
        <v>1</v>
      </c>
      <c r="H148" s="6" t="s">
        <v>243</v>
      </c>
      <c r="I148" s="9" t="s">
        <v>311</v>
      </c>
      <c r="J148" s="9" t="s">
        <v>145</v>
      </c>
    </row>
    <row r="149" spans="1:10">
      <c r="A149" s="5" t="s">
        <v>482</v>
      </c>
      <c r="B149" s="6" t="s">
        <v>977</v>
      </c>
      <c r="C149" s="7">
        <v>46075</v>
      </c>
      <c r="D149" s="9" t="s">
        <v>241</v>
      </c>
      <c r="E149" s="95" t="s">
        <v>27</v>
      </c>
      <c r="F149" s="9" t="s">
        <v>246</v>
      </c>
      <c r="G149" s="9">
        <v>1</v>
      </c>
      <c r="H149" s="6" t="s">
        <v>243</v>
      </c>
      <c r="I149" s="9" t="s">
        <v>311</v>
      </c>
      <c r="J149" s="9" t="s">
        <v>145</v>
      </c>
    </row>
    <row r="150" spans="1:10">
      <c r="A150" s="5" t="s">
        <v>485</v>
      </c>
      <c r="B150" s="6" t="s">
        <v>978</v>
      </c>
      <c r="C150" s="7">
        <v>46075</v>
      </c>
      <c r="D150" s="9" t="s">
        <v>241</v>
      </c>
      <c r="E150" s="95" t="s">
        <v>28</v>
      </c>
      <c r="F150" s="9" t="s">
        <v>242</v>
      </c>
      <c r="G150" s="9">
        <v>1</v>
      </c>
      <c r="H150" s="6" t="s">
        <v>243</v>
      </c>
      <c r="I150" s="9" t="s">
        <v>311</v>
      </c>
      <c r="J150" s="9" t="s">
        <v>145</v>
      </c>
    </row>
    <row r="151" spans="1:10">
      <c r="A151" s="5" t="s">
        <v>486</v>
      </c>
      <c r="B151" s="6" t="s">
        <v>978</v>
      </c>
      <c r="C151" s="7">
        <v>46075</v>
      </c>
      <c r="D151" s="9" t="s">
        <v>241</v>
      </c>
      <c r="E151" s="95" t="s">
        <v>29</v>
      </c>
      <c r="F151" s="9" t="s">
        <v>246</v>
      </c>
      <c r="G151" s="9">
        <v>1</v>
      </c>
      <c r="H151" s="6" t="s">
        <v>243</v>
      </c>
      <c r="I151" s="9" t="s">
        <v>311</v>
      </c>
      <c r="J151" s="9" t="s">
        <v>145</v>
      </c>
    </row>
    <row r="152" spans="1:10">
      <c r="A152" s="5" t="s">
        <v>488</v>
      </c>
      <c r="B152" s="6" t="s">
        <v>978</v>
      </c>
      <c r="C152" s="7">
        <v>46075</v>
      </c>
      <c r="D152" s="9" t="s">
        <v>261</v>
      </c>
      <c r="E152" s="95" t="s">
        <v>62</v>
      </c>
      <c r="F152" s="9" t="s">
        <v>242</v>
      </c>
      <c r="G152" s="9">
        <v>1</v>
      </c>
      <c r="H152" s="6" t="s">
        <v>243</v>
      </c>
      <c r="I152" s="9" t="s">
        <v>311</v>
      </c>
      <c r="J152" s="9" t="s">
        <v>145</v>
      </c>
    </row>
    <row r="153" spans="1:10">
      <c r="A153" s="5" t="s">
        <v>489</v>
      </c>
      <c r="B153" s="6" t="s">
        <v>979</v>
      </c>
      <c r="C153" s="7">
        <v>46076</v>
      </c>
      <c r="D153" s="9" t="s">
        <v>241</v>
      </c>
      <c r="E153" s="95" t="s">
        <v>28</v>
      </c>
      <c r="F153" s="9" t="s">
        <v>242</v>
      </c>
      <c r="G153" s="9">
        <v>1</v>
      </c>
      <c r="H153" s="6" t="s">
        <v>243</v>
      </c>
      <c r="I153" s="9" t="s">
        <v>973</v>
      </c>
      <c r="J153" s="9" t="s">
        <v>145</v>
      </c>
    </row>
    <row r="154" spans="1:10">
      <c r="A154" s="5" t="s">
        <v>492</v>
      </c>
      <c r="B154" s="6" t="s">
        <v>979</v>
      </c>
      <c r="C154" s="7">
        <v>46076</v>
      </c>
      <c r="D154" s="9" t="s">
        <v>241</v>
      </c>
      <c r="E154" s="95" t="s">
        <v>27</v>
      </c>
      <c r="F154" s="9" t="s">
        <v>246</v>
      </c>
      <c r="G154" s="9">
        <v>1</v>
      </c>
      <c r="H154" s="6" t="s">
        <v>243</v>
      </c>
      <c r="I154" s="9" t="s">
        <v>973</v>
      </c>
      <c r="J154" s="9" t="s">
        <v>145</v>
      </c>
    </row>
    <row r="155" spans="1:10">
      <c r="A155" s="5" t="s">
        <v>493</v>
      </c>
      <c r="B155" s="6" t="s">
        <v>979</v>
      </c>
      <c r="C155" s="7">
        <v>46076</v>
      </c>
      <c r="D155" s="9" t="s">
        <v>261</v>
      </c>
      <c r="E155" s="95" t="s">
        <v>281</v>
      </c>
      <c r="F155" s="9" t="s">
        <v>242</v>
      </c>
      <c r="G155" s="9">
        <v>2</v>
      </c>
      <c r="H155" s="6" t="s">
        <v>243</v>
      </c>
      <c r="I155" s="9" t="s">
        <v>973</v>
      </c>
      <c r="J155" s="9" t="s">
        <v>145</v>
      </c>
    </row>
    <row r="156" spans="1:10">
      <c r="A156" s="5" t="s">
        <v>495</v>
      </c>
      <c r="B156" s="6" t="s">
        <v>980</v>
      </c>
      <c r="C156" s="7">
        <v>46077</v>
      </c>
      <c r="D156" s="9" t="s">
        <v>241</v>
      </c>
      <c r="E156" s="95" t="s">
        <v>28</v>
      </c>
      <c r="F156" s="9" t="s">
        <v>242</v>
      </c>
      <c r="G156" s="9">
        <v>1</v>
      </c>
      <c r="H156" s="6" t="s">
        <v>243</v>
      </c>
      <c r="I156" s="9" t="s">
        <v>244</v>
      </c>
      <c r="J156" s="9" t="s">
        <v>145</v>
      </c>
    </row>
    <row r="157" spans="1:10">
      <c r="A157" s="5" t="s">
        <v>496</v>
      </c>
      <c r="B157" s="6" t="s">
        <v>980</v>
      </c>
      <c r="C157" s="7">
        <v>46077</v>
      </c>
      <c r="D157" s="9" t="s">
        <v>241</v>
      </c>
      <c r="E157" s="95" t="s">
        <v>29</v>
      </c>
      <c r="F157" s="9" t="s">
        <v>246</v>
      </c>
      <c r="G157" s="9">
        <v>1</v>
      </c>
      <c r="H157" s="6" t="s">
        <v>243</v>
      </c>
      <c r="I157" s="9" t="s">
        <v>244</v>
      </c>
      <c r="J157" s="9" t="s">
        <v>145</v>
      </c>
    </row>
    <row r="158" spans="1:10">
      <c r="A158" s="5" t="s">
        <v>498</v>
      </c>
      <c r="B158" s="6" t="s">
        <v>981</v>
      </c>
      <c r="C158" s="7">
        <v>46077</v>
      </c>
      <c r="D158" s="9" t="s">
        <v>1</v>
      </c>
      <c r="E158" s="95" t="s">
        <v>16</v>
      </c>
      <c r="F158" s="9" t="s">
        <v>242</v>
      </c>
      <c r="G158" s="9">
        <v>1</v>
      </c>
      <c r="H158" s="6" t="s">
        <v>982</v>
      </c>
      <c r="I158" s="9" t="s">
        <v>363</v>
      </c>
      <c r="J158" s="9" t="s">
        <v>145</v>
      </c>
    </row>
    <row r="159" spans="1:10">
      <c r="A159" s="5" t="s">
        <v>499</v>
      </c>
      <c r="B159" s="6" t="s">
        <v>981</v>
      </c>
      <c r="C159" s="7">
        <v>46077</v>
      </c>
      <c r="D159" s="9" t="s">
        <v>1</v>
      </c>
      <c r="E159" s="95" t="s">
        <v>147</v>
      </c>
      <c r="F159" s="9" t="s">
        <v>246</v>
      </c>
      <c r="G159" s="9">
        <v>1</v>
      </c>
      <c r="H159" s="6" t="s">
        <v>982</v>
      </c>
      <c r="I159" s="9" t="s">
        <v>363</v>
      </c>
      <c r="J159" s="9" t="s">
        <v>145</v>
      </c>
    </row>
    <row r="160" spans="1:10">
      <c r="A160" s="5" t="s">
        <v>501</v>
      </c>
      <c r="B160" s="6" t="s">
        <v>981</v>
      </c>
      <c r="C160" s="7">
        <v>46077</v>
      </c>
      <c r="D160" s="9" t="s">
        <v>261</v>
      </c>
      <c r="E160" s="95" t="s">
        <v>64</v>
      </c>
      <c r="F160" s="9" t="s">
        <v>242</v>
      </c>
      <c r="G160" s="9">
        <v>4</v>
      </c>
      <c r="H160" s="6" t="s">
        <v>982</v>
      </c>
      <c r="I160" s="9" t="s">
        <v>363</v>
      </c>
      <c r="J160" s="9" t="s">
        <v>145</v>
      </c>
    </row>
    <row r="161" spans="1:10">
      <c r="A161" s="5" t="s">
        <v>502</v>
      </c>
      <c r="B161" s="6" t="s">
        <v>981</v>
      </c>
      <c r="C161" s="7">
        <v>46077</v>
      </c>
      <c r="D161" s="9" t="s">
        <v>270</v>
      </c>
      <c r="E161" s="95" t="s">
        <v>271</v>
      </c>
      <c r="F161" s="9" t="s">
        <v>242</v>
      </c>
      <c r="G161" s="9">
        <v>4</v>
      </c>
      <c r="H161" s="6" t="s">
        <v>982</v>
      </c>
      <c r="I161" s="9" t="s">
        <v>363</v>
      </c>
      <c r="J161" s="9" t="s">
        <v>145</v>
      </c>
    </row>
    <row r="162" spans="1:10">
      <c r="A162" s="5" t="s">
        <v>504</v>
      </c>
      <c r="B162" s="6" t="s">
        <v>983</v>
      </c>
      <c r="C162" s="7">
        <v>46077</v>
      </c>
      <c r="D162" s="9" t="s">
        <v>241</v>
      </c>
      <c r="E162" s="95" t="s">
        <v>28</v>
      </c>
      <c r="F162" s="9" t="s">
        <v>242</v>
      </c>
      <c r="G162" s="9">
        <v>1</v>
      </c>
      <c r="H162" s="6" t="s">
        <v>423</v>
      </c>
      <c r="I162" s="9" t="s">
        <v>244</v>
      </c>
      <c r="J162" s="9" t="s">
        <v>145</v>
      </c>
    </row>
    <row r="163" spans="1:10">
      <c r="A163" s="5" t="s">
        <v>507</v>
      </c>
      <c r="B163" s="6" t="s">
        <v>983</v>
      </c>
      <c r="C163" s="7">
        <v>46077</v>
      </c>
      <c r="D163" s="9" t="s">
        <v>241</v>
      </c>
      <c r="E163" s="95" t="s">
        <v>29</v>
      </c>
      <c r="F163" s="9" t="s">
        <v>246</v>
      </c>
      <c r="G163" s="9">
        <v>1</v>
      </c>
      <c r="H163" s="6" t="s">
        <v>423</v>
      </c>
      <c r="I163" s="9" t="s">
        <v>244</v>
      </c>
      <c r="J163" s="9" t="s">
        <v>145</v>
      </c>
    </row>
    <row r="164" spans="1:10">
      <c r="A164" s="5" t="s">
        <v>508</v>
      </c>
      <c r="B164" s="6" t="s">
        <v>983</v>
      </c>
      <c r="C164" s="7">
        <v>46077</v>
      </c>
      <c r="D164" s="9" t="s">
        <v>261</v>
      </c>
      <c r="E164" s="95" t="s">
        <v>281</v>
      </c>
      <c r="F164" s="9" t="s">
        <v>242</v>
      </c>
      <c r="G164" s="9">
        <v>2</v>
      </c>
      <c r="H164" s="6" t="s">
        <v>423</v>
      </c>
      <c r="I164" s="9" t="s">
        <v>244</v>
      </c>
      <c r="J164" s="9" t="s">
        <v>145</v>
      </c>
    </row>
    <row r="165" spans="1:10">
      <c r="A165" s="5" t="s">
        <v>510</v>
      </c>
      <c r="B165" s="6" t="s">
        <v>984</v>
      </c>
      <c r="C165" s="7">
        <v>46077</v>
      </c>
      <c r="D165" s="9" t="s">
        <v>241</v>
      </c>
      <c r="E165" s="95" t="s">
        <v>28</v>
      </c>
      <c r="F165" s="9" t="s">
        <v>242</v>
      </c>
      <c r="G165" s="9">
        <v>1</v>
      </c>
      <c r="H165" s="6" t="s">
        <v>243</v>
      </c>
      <c r="I165" s="9" t="s">
        <v>363</v>
      </c>
      <c r="J165" s="9" t="s">
        <v>145</v>
      </c>
    </row>
    <row r="166" spans="1:10">
      <c r="A166" s="5" t="s">
        <v>511</v>
      </c>
      <c r="B166" s="6" t="s">
        <v>984</v>
      </c>
      <c r="C166" s="7">
        <v>46077</v>
      </c>
      <c r="D166" s="9" t="s">
        <v>241</v>
      </c>
      <c r="E166" s="95" t="s">
        <v>29</v>
      </c>
      <c r="F166" s="9" t="s">
        <v>246</v>
      </c>
      <c r="G166" s="9">
        <v>1</v>
      </c>
      <c r="H166" s="6" t="s">
        <v>243</v>
      </c>
      <c r="I166" s="9" t="s">
        <v>363</v>
      </c>
      <c r="J166" s="9" t="s">
        <v>145</v>
      </c>
    </row>
    <row r="167" spans="1:10">
      <c r="A167" s="5" t="s">
        <v>515</v>
      </c>
      <c r="B167" s="6" t="s">
        <v>985</v>
      </c>
      <c r="C167" s="7">
        <v>46077</v>
      </c>
      <c r="D167" s="9" t="s">
        <v>241</v>
      </c>
      <c r="E167" s="95" t="s">
        <v>28</v>
      </c>
      <c r="F167" s="9" t="s">
        <v>242</v>
      </c>
      <c r="G167" s="9">
        <v>1</v>
      </c>
      <c r="H167" s="6" t="s">
        <v>243</v>
      </c>
      <c r="I167" s="9" t="s">
        <v>388</v>
      </c>
      <c r="J167" s="9" t="s">
        <v>145</v>
      </c>
    </row>
    <row r="168" spans="1:10">
      <c r="A168" s="5" t="s">
        <v>516</v>
      </c>
      <c r="B168" s="6" t="s">
        <v>985</v>
      </c>
      <c r="C168" s="7">
        <v>46077</v>
      </c>
      <c r="D168" s="9" t="s">
        <v>241</v>
      </c>
      <c r="E168" s="95" t="s">
        <v>27</v>
      </c>
      <c r="F168" s="9" t="s">
        <v>246</v>
      </c>
      <c r="G168" s="9">
        <v>1</v>
      </c>
      <c r="H168" s="6" t="s">
        <v>243</v>
      </c>
      <c r="I168" s="9" t="s">
        <v>388</v>
      </c>
      <c r="J168" s="9" t="s">
        <v>145</v>
      </c>
    </row>
    <row r="169" spans="1:10">
      <c r="A169" s="5" t="s">
        <v>519</v>
      </c>
      <c r="B169" s="6" t="s">
        <v>986</v>
      </c>
      <c r="C169" s="7">
        <v>46077</v>
      </c>
      <c r="D169" s="9" t="s">
        <v>241</v>
      </c>
      <c r="E169" s="95" t="s">
        <v>28</v>
      </c>
      <c r="F169" s="9" t="s">
        <v>242</v>
      </c>
      <c r="G169" s="9">
        <v>1</v>
      </c>
      <c r="H169" s="6" t="s">
        <v>328</v>
      </c>
      <c r="I169" s="9" t="s">
        <v>244</v>
      </c>
      <c r="J169" s="9" t="s">
        <v>145</v>
      </c>
    </row>
    <row r="170" spans="1:10">
      <c r="A170" s="5" t="s">
        <v>520</v>
      </c>
      <c r="B170" s="6" t="s">
        <v>986</v>
      </c>
      <c r="C170" s="7">
        <v>46077</v>
      </c>
      <c r="D170" s="9" t="s">
        <v>241</v>
      </c>
      <c r="E170" s="95" t="s">
        <v>28</v>
      </c>
      <c r="F170" s="9" t="s">
        <v>246</v>
      </c>
      <c r="G170" s="9">
        <v>1</v>
      </c>
      <c r="H170" s="6" t="s">
        <v>328</v>
      </c>
      <c r="I170" s="9" t="s">
        <v>244</v>
      </c>
      <c r="J170" s="9" t="s">
        <v>145</v>
      </c>
    </row>
    <row r="171" spans="1:10">
      <c r="A171" s="5" t="s">
        <v>521</v>
      </c>
      <c r="B171" s="6" t="s">
        <v>987</v>
      </c>
      <c r="C171" s="7">
        <v>46077</v>
      </c>
      <c r="D171" s="9" t="s">
        <v>299</v>
      </c>
      <c r="E171" s="95" t="s">
        <v>376</v>
      </c>
      <c r="F171" s="9" t="s">
        <v>242</v>
      </c>
      <c r="G171" s="9">
        <v>1</v>
      </c>
      <c r="H171" s="6" t="s">
        <v>328</v>
      </c>
      <c r="I171" s="9" t="s">
        <v>289</v>
      </c>
      <c r="J171" s="9" t="s">
        <v>145</v>
      </c>
    </row>
    <row r="172" spans="1:10">
      <c r="A172" s="5" t="s">
        <v>523</v>
      </c>
      <c r="B172" s="6" t="s">
        <v>987</v>
      </c>
      <c r="C172" s="7">
        <v>46077</v>
      </c>
      <c r="D172" s="9" t="s">
        <v>299</v>
      </c>
      <c r="E172" s="95" t="s">
        <v>21</v>
      </c>
      <c r="F172" s="9" t="s">
        <v>246</v>
      </c>
      <c r="G172" s="9">
        <v>1</v>
      </c>
      <c r="H172" s="6" t="s">
        <v>328</v>
      </c>
      <c r="I172" s="9" t="s">
        <v>289</v>
      </c>
      <c r="J172" s="9" t="s">
        <v>145</v>
      </c>
    </row>
    <row r="173" spans="1:10">
      <c r="A173" s="5" t="s">
        <v>524</v>
      </c>
      <c r="B173" s="6" t="s">
        <v>988</v>
      </c>
      <c r="C173" s="7">
        <v>46078</v>
      </c>
      <c r="D173" s="9" t="s">
        <v>241</v>
      </c>
      <c r="E173" s="95" t="s">
        <v>28</v>
      </c>
      <c r="F173" s="9" t="s">
        <v>242</v>
      </c>
      <c r="G173" s="9">
        <v>1</v>
      </c>
      <c r="H173" s="6" t="s">
        <v>243</v>
      </c>
      <c r="I173" s="9" t="s">
        <v>605</v>
      </c>
      <c r="J173" s="9" t="s">
        <v>145</v>
      </c>
    </row>
    <row r="174" spans="1:10">
      <c r="A174" s="5" t="s">
        <v>527</v>
      </c>
      <c r="B174" s="6" t="s">
        <v>988</v>
      </c>
      <c r="C174" s="7">
        <v>46078</v>
      </c>
      <c r="D174" s="9" t="s">
        <v>241</v>
      </c>
      <c r="E174" s="95" t="s">
        <v>29</v>
      </c>
      <c r="F174" s="9" t="s">
        <v>246</v>
      </c>
      <c r="G174" s="9">
        <v>1</v>
      </c>
      <c r="H174" s="6" t="s">
        <v>243</v>
      </c>
      <c r="I174" s="9" t="s">
        <v>605</v>
      </c>
      <c r="J174" s="9" t="s">
        <v>145</v>
      </c>
    </row>
    <row r="175" spans="1:10">
      <c r="A175" s="5" t="s">
        <v>528</v>
      </c>
      <c r="B175" s="6" t="s">
        <v>989</v>
      </c>
      <c r="C175" s="7">
        <v>46078</v>
      </c>
      <c r="D175" s="9" t="s">
        <v>241</v>
      </c>
      <c r="E175" s="95" t="s">
        <v>28</v>
      </c>
      <c r="F175" s="9" t="s">
        <v>242</v>
      </c>
      <c r="G175" s="9">
        <v>1</v>
      </c>
      <c r="H175" s="6" t="s">
        <v>518</v>
      </c>
      <c r="I175" s="9" t="s">
        <v>275</v>
      </c>
      <c r="J175" s="9" t="s">
        <v>145</v>
      </c>
    </row>
    <row r="176" spans="1:10">
      <c r="A176" s="5" t="s">
        <v>529</v>
      </c>
      <c r="B176" s="6" t="s">
        <v>989</v>
      </c>
      <c r="C176" s="7">
        <v>46078</v>
      </c>
      <c r="D176" s="9" t="s">
        <v>241</v>
      </c>
      <c r="E176" s="95" t="s">
        <v>29</v>
      </c>
      <c r="F176" s="9" t="s">
        <v>246</v>
      </c>
      <c r="G176" s="9">
        <v>1</v>
      </c>
      <c r="H176" s="6" t="s">
        <v>518</v>
      </c>
      <c r="I176" s="9" t="s">
        <v>275</v>
      </c>
      <c r="J176" s="9" t="s">
        <v>145</v>
      </c>
    </row>
    <row r="177" spans="1:10">
      <c r="A177" s="5" t="s">
        <v>533</v>
      </c>
      <c r="B177" s="6" t="s">
        <v>990</v>
      </c>
      <c r="C177" s="7">
        <v>46078</v>
      </c>
      <c r="D177" s="9" t="s">
        <v>241</v>
      </c>
      <c r="E177" s="95" t="s">
        <v>28</v>
      </c>
      <c r="F177" s="9" t="s">
        <v>242</v>
      </c>
      <c r="G177" s="9">
        <v>1</v>
      </c>
      <c r="H177" s="6" t="s">
        <v>243</v>
      </c>
      <c r="I177" s="9" t="s">
        <v>244</v>
      </c>
      <c r="J177" s="9" t="s">
        <v>145</v>
      </c>
    </row>
    <row r="178" spans="1:10">
      <c r="A178" s="5" t="s">
        <v>534</v>
      </c>
      <c r="B178" s="6" t="s">
        <v>990</v>
      </c>
      <c r="C178" s="7">
        <v>46078</v>
      </c>
      <c r="D178" s="9" t="s">
        <v>241</v>
      </c>
      <c r="E178" s="95" t="s">
        <v>27</v>
      </c>
      <c r="F178" s="9" t="s">
        <v>246</v>
      </c>
      <c r="G178" s="9">
        <v>1</v>
      </c>
      <c r="H178" s="6" t="s">
        <v>243</v>
      </c>
      <c r="I178" s="9" t="s">
        <v>244</v>
      </c>
      <c r="J178" s="9" t="s">
        <v>145</v>
      </c>
    </row>
    <row r="179" spans="1:10">
      <c r="A179" s="5" t="s">
        <v>537</v>
      </c>
      <c r="B179" s="6" t="s">
        <v>991</v>
      </c>
      <c r="C179" s="7">
        <v>46077</v>
      </c>
      <c r="D179" s="9" t="s">
        <v>241</v>
      </c>
      <c r="E179" s="95" t="s">
        <v>992</v>
      </c>
      <c r="F179" s="9" t="s">
        <v>242</v>
      </c>
      <c r="G179" s="9">
        <v>2</v>
      </c>
      <c r="H179" s="6" t="s">
        <v>993</v>
      </c>
      <c r="I179" s="9" t="s">
        <v>311</v>
      </c>
      <c r="J179" s="9" t="s">
        <v>145</v>
      </c>
    </row>
    <row r="180" spans="1:10">
      <c r="A180" s="5" t="s">
        <v>538</v>
      </c>
      <c r="B180" s="6" t="s">
        <v>991</v>
      </c>
      <c r="C180" s="7">
        <v>46077</v>
      </c>
      <c r="D180" s="9" t="s">
        <v>241</v>
      </c>
      <c r="E180" s="95" t="s">
        <v>29</v>
      </c>
      <c r="F180" s="9" t="s">
        <v>246</v>
      </c>
      <c r="G180" s="9">
        <v>2</v>
      </c>
      <c r="H180" s="6" t="s">
        <v>993</v>
      </c>
      <c r="I180" s="9" t="s">
        <v>311</v>
      </c>
      <c r="J180" s="9" t="s">
        <v>145</v>
      </c>
    </row>
    <row r="181" spans="1:10">
      <c r="A181" s="5" t="s">
        <v>539</v>
      </c>
      <c r="B181" s="6" t="s">
        <v>994</v>
      </c>
      <c r="C181" s="7">
        <v>46077</v>
      </c>
      <c r="D181" s="9" t="s">
        <v>241</v>
      </c>
      <c r="E181" s="95" t="s">
        <v>992</v>
      </c>
      <c r="F181" s="9" t="s">
        <v>242</v>
      </c>
      <c r="G181" s="9">
        <v>1</v>
      </c>
      <c r="H181" s="6" t="s">
        <v>993</v>
      </c>
      <c r="I181" s="9" t="s">
        <v>311</v>
      </c>
      <c r="J181" s="9" t="s">
        <v>145</v>
      </c>
    </row>
    <row r="182" spans="1:10">
      <c r="A182" s="5" t="s">
        <v>541</v>
      </c>
      <c r="B182" s="6" t="s">
        <v>994</v>
      </c>
      <c r="C182" s="7">
        <v>46077</v>
      </c>
      <c r="D182" s="9" t="s">
        <v>241</v>
      </c>
      <c r="E182" s="95" t="s">
        <v>28</v>
      </c>
      <c r="F182" s="9" t="s">
        <v>246</v>
      </c>
      <c r="G182" s="9">
        <v>1</v>
      </c>
      <c r="H182" s="6" t="s">
        <v>993</v>
      </c>
      <c r="I182" s="9" t="s">
        <v>311</v>
      </c>
      <c r="J182" s="9" t="s">
        <v>145</v>
      </c>
    </row>
    <row r="183" spans="1:10">
      <c r="A183" s="5" t="s">
        <v>542</v>
      </c>
      <c r="B183" s="6" t="s">
        <v>995</v>
      </c>
      <c r="C183" s="7">
        <v>46077</v>
      </c>
      <c r="D183" s="9" t="s">
        <v>241</v>
      </c>
      <c r="E183" s="95" t="s">
        <v>992</v>
      </c>
      <c r="F183" s="9" t="s">
        <v>242</v>
      </c>
      <c r="G183" s="9">
        <v>1</v>
      </c>
      <c r="H183" s="6" t="s">
        <v>993</v>
      </c>
      <c r="I183" s="9" t="s">
        <v>311</v>
      </c>
      <c r="J183" s="9" t="s">
        <v>145</v>
      </c>
    </row>
    <row r="184" spans="1:10">
      <c r="A184" s="5" t="s">
        <v>543</v>
      </c>
      <c r="B184" s="6" t="s">
        <v>995</v>
      </c>
      <c r="C184" s="7">
        <v>46077</v>
      </c>
      <c r="D184" s="9" t="s">
        <v>241</v>
      </c>
      <c r="E184" s="95" t="s">
        <v>27</v>
      </c>
      <c r="F184" s="9" t="s">
        <v>246</v>
      </c>
      <c r="G184" s="9">
        <v>1</v>
      </c>
      <c r="H184" s="6" t="s">
        <v>993</v>
      </c>
      <c r="I184" s="9" t="s">
        <v>311</v>
      </c>
      <c r="J184" s="9" t="s">
        <v>145</v>
      </c>
    </row>
    <row r="185" spans="1:10">
      <c r="A185" s="5" t="s">
        <v>544</v>
      </c>
      <c r="B185" s="6" t="s">
        <v>996</v>
      </c>
      <c r="C185" s="7">
        <v>46077</v>
      </c>
      <c r="D185" s="9" t="s">
        <v>241</v>
      </c>
      <c r="E185" s="95" t="s">
        <v>992</v>
      </c>
      <c r="F185" s="9" t="s">
        <v>242</v>
      </c>
      <c r="G185" s="9">
        <v>1</v>
      </c>
      <c r="H185" s="6" t="s">
        <v>993</v>
      </c>
      <c r="I185" s="9" t="s">
        <v>311</v>
      </c>
      <c r="J185" s="9" t="s">
        <v>145</v>
      </c>
    </row>
    <row r="186" spans="1:10">
      <c r="A186" s="5" t="s">
        <v>545</v>
      </c>
      <c r="B186" s="6" t="s">
        <v>996</v>
      </c>
      <c r="C186" s="7">
        <v>46077</v>
      </c>
      <c r="D186" s="9" t="s">
        <v>241</v>
      </c>
      <c r="E186" s="95" t="s">
        <v>29</v>
      </c>
      <c r="F186" s="9" t="s">
        <v>246</v>
      </c>
      <c r="G186" s="9">
        <v>1</v>
      </c>
      <c r="H186" s="6" t="s">
        <v>993</v>
      </c>
      <c r="I186" s="9" t="s">
        <v>311</v>
      </c>
      <c r="J186" s="9" t="s">
        <v>145</v>
      </c>
    </row>
    <row r="187" spans="1:10">
      <c r="A187" s="5" t="s">
        <v>546</v>
      </c>
      <c r="B187" s="6" t="s">
        <v>997</v>
      </c>
      <c r="C187" s="7">
        <v>46077</v>
      </c>
      <c r="D187" s="9" t="s">
        <v>241</v>
      </c>
      <c r="E187" s="95" t="s">
        <v>992</v>
      </c>
      <c r="F187" s="9" t="s">
        <v>242</v>
      </c>
      <c r="G187" s="9">
        <v>1</v>
      </c>
      <c r="H187" s="6" t="s">
        <v>993</v>
      </c>
      <c r="I187" s="9" t="s">
        <v>311</v>
      </c>
      <c r="J187" s="9" t="s">
        <v>145</v>
      </c>
    </row>
    <row r="188" spans="1:10">
      <c r="A188" s="5" t="s">
        <v>549</v>
      </c>
      <c r="B188" s="6" t="s">
        <v>997</v>
      </c>
      <c r="C188" s="7">
        <v>46077</v>
      </c>
      <c r="D188" s="9" t="s">
        <v>241</v>
      </c>
      <c r="E188" s="95" t="s">
        <v>29</v>
      </c>
      <c r="F188" s="9" t="s">
        <v>246</v>
      </c>
      <c r="G188" s="9">
        <v>1</v>
      </c>
      <c r="H188" s="6" t="s">
        <v>993</v>
      </c>
      <c r="I188" s="9" t="s">
        <v>311</v>
      </c>
      <c r="J188" s="9" t="s">
        <v>145</v>
      </c>
    </row>
    <row r="189" spans="1:10">
      <c r="A189" s="5" t="s">
        <v>550</v>
      </c>
      <c r="B189" s="6" t="s">
        <v>998</v>
      </c>
      <c r="C189" s="7">
        <v>46077</v>
      </c>
      <c r="D189" s="9" t="s">
        <v>241</v>
      </c>
      <c r="E189" s="95" t="s">
        <v>992</v>
      </c>
      <c r="F189" s="9" t="s">
        <v>242</v>
      </c>
      <c r="G189" s="9">
        <v>1</v>
      </c>
      <c r="H189" s="6" t="s">
        <v>993</v>
      </c>
      <c r="I189" s="9" t="s">
        <v>311</v>
      </c>
      <c r="J189" s="9" t="s">
        <v>145</v>
      </c>
    </row>
    <row r="190" spans="1:10">
      <c r="A190" s="5" t="s">
        <v>551</v>
      </c>
      <c r="B190" s="6" t="s">
        <v>998</v>
      </c>
      <c r="C190" s="7">
        <v>46077</v>
      </c>
      <c r="D190" s="9" t="s">
        <v>241</v>
      </c>
      <c r="E190" s="95" t="s">
        <v>29</v>
      </c>
      <c r="F190" s="9" t="s">
        <v>246</v>
      </c>
      <c r="G190" s="9">
        <v>1</v>
      </c>
      <c r="H190" s="6" t="s">
        <v>993</v>
      </c>
      <c r="I190" s="9" t="s">
        <v>311</v>
      </c>
      <c r="J190" s="9" t="s">
        <v>145</v>
      </c>
    </row>
    <row r="191" spans="1:10">
      <c r="A191" s="5" t="s">
        <v>553</v>
      </c>
      <c r="B191" s="6" t="s">
        <v>999</v>
      </c>
      <c r="C191" s="7">
        <v>46077</v>
      </c>
      <c r="D191" s="9" t="s">
        <v>241</v>
      </c>
      <c r="E191" s="95" t="s">
        <v>992</v>
      </c>
      <c r="F191" s="9" t="s">
        <v>242</v>
      </c>
      <c r="G191" s="9">
        <v>1</v>
      </c>
      <c r="H191" s="6" t="s">
        <v>993</v>
      </c>
      <c r="I191" s="9" t="s">
        <v>311</v>
      </c>
      <c r="J191" s="9" t="s">
        <v>145</v>
      </c>
    </row>
    <row r="192" spans="1:10">
      <c r="A192" s="5" t="s">
        <v>554</v>
      </c>
      <c r="B192" s="6" t="s">
        <v>999</v>
      </c>
      <c r="C192" s="7">
        <v>46077</v>
      </c>
      <c r="D192" s="9" t="s">
        <v>241</v>
      </c>
      <c r="E192" s="95" t="s">
        <v>29</v>
      </c>
      <c r="F192" s="9" t="s">
        <v>246</v>
      </c>
      <c r="G192" s="9">
        <v>1</v>
      </c>
      <c r="H192" s="6" t="s">
        <v>993</v>
      </c>
      <c r="I192" s="9" t="s">
        <v>311</v>
      </c>
      <c r="J192" s="9" t="s">
        <v>145</v>
      </c>
    </row>
    <row r="193" spans="1:10">
      <c r="A193" s="5" t="s">
        <v>555</v>
      </c>
      <c r="B193" s="6" t="s">
        <v>1000</v>
      </c>
      <c r="C193" s="7">
        <v>46077</v>
      </c>
      <c r="D193" s="9" t="s">
        <v>241</v>
      </c>
      <c r="E193" s="95" t="s">
        <v>992</v>
      </c>
      <c r="F193" s="9" t="s">
        <v>242</v>
      </c>
      <c r="G193" s="9">
        <v>1</v>
      </c>
      <c r="H193" s="6" t="s">
        <v>993</v>
      </c>
      <c r="I193" s="9" t="s">
        <v>311</v>
      </c>
      <c r="J193" s="9" t="s">
        <v>145</v>
      </c>
    </row>
    <row r="194" spans="1:10">
      <c r="A194" s="5" t="s">
        <v>557</v>
      </c>
      <c r="B194" s="6" t="s">
        <v>1000</v>
      </c>
      <c r="C194" s="7">
        <v>46077</v>
      </c>
      <c r="D194" s="9" t="s">
        <v>241</v>
      </c>
      <c r="E194" s="95" t="s">
        <v>28</v>
      </c>
      <c r="F194" s="9" t="s">
        <v>246</v>
      </c>
      <c r="G194" s="9">
        <v>1</v>
      </c>
      <c r="H194" s="6" t="s">
        <v>993</v>
      </c>
      <c r="I194" s="9" t="s">
        <v>311</v>
      </c>
      <c r="J194" s="9" t="s">
        <v>145</v>
      </c>
    </row>
    <row r="195" spans="1:10">
      <c r="A195" s="5" t="s">
        <v>558</v>
      </c>
      <c r="B195" s="6" t="s">
        <v>1001</v>
      </c>
      <c r="C195" s="7">
        <v>46077</v>
      </c>
      <c r="D195" s="9" t="s">
        <v>241</v>
      </c>
      <c r="E195" s="95" t="s">
        <v>992</v>
      </c>
      <c r="F195" s="9" t="s">
        <v>242</v>
      </c>
      <c r="G195" s="9">
        <v>1</v>
      </c>
      <c r="H195" s="6" t="s">
        <v>993</v>
      </c>
      <c r="I195" s="9" t="s">
        <v>311</v>
      </c>
      <c r="J195" s="9" t="s">
        <v>145</v>
      </c>
    </row>
    <row r="196" spans="1:10">
      <c r="A196" s="5" t="s">
        <v>561</v>
      </c>
      <c r="B196" s="6" t="s">
        <v>1001</v>
      </c>
      <c r="C196" s="7">
        <v>46077</v>
      </c>
      <c r="D196" s="9" t="s">
        <v>241</v>
      </c>
      <c r="E196" s="95" t="s">
        <v>29</v>
      </c>
      <c r="F196" s="9" t="s">
        <v>246</v>
      </c>
      <c r="G196" s="9">
        <v>1</v>
      </c>
      <c r="H196" s="6" t="s">
        <v>993</v>
      </c>
      <c r="I196" s="9" t="s">
        <v>311</v>
      </c>
      <c r="J196" s="9" t="s">
        <v>145</v>
      </c>
    </row>
    <row r="197" spans="1:10">
      <c r="A197" s="5" t="s">
        <v>562</v>
      </c>
      <c r="B197" s="6" t="s">
        <v>1002</v>
      </c>
      <c r="C197" s="7">
        <v>46077</v>
      </c>
      <c r="D197" s="9" t="s">
        <v>241</v>
      </c>
      <c r="E197" s="95" t="s">
        <v>992</v>
      </c>
      <c r="F197" s="9" t="s">
        <v>242</v>
      </c>
      <c r="G197" s="9">
        <v>1</v>
      </c>
      <c r="H197" s="6" t="s">
        <v>993</v>
      </c>
      <c r="I197" s="9" t="s">
        <v>311</v>
      </c>
      <c r="J197" s="9" t="s">
        <v>145</v>
      </c>
    </row>
    <row r="198" spans="1:10">
      <c r="A198" s="5" t="s">
        <v>567</v>
      </c>
      <c r="B198" s="6" t="s">
        <v>1002</v>
      </c>
      <c r="C198" s="7">
        <v>46077</v>
      </c>
      <c r="D198" s="9" t="s">
        <v>241</v>
      </c>
      <c r="E198" s="95" t="s">
        <v>29</v>
      </c>
      <c r="F198" s="9" t="s">
        <v>246</v>
      </c>
      <c r="G198" s="9">
        <v>1</v>
      </c>
      <c r="H198" s="6" t="s">
        <v>993</v>
      </c>
      <c r="I198" s="9" t="s">
        <v>311</v>
      </c>
      <c r="J198" s="9" t="s">
        <v>145</v>
      </c>
    </row>
    <row r="199" spans="1:10">
      <c r="A199" s="5" t="s">
        <v>568</v>
      </c>
      <c r="B199" s="6" t="s">
        <v>1003</v>
      </c>
      <c r="C199" s="7">
        <v>46077</v>
      </c>
      <c r="D199" s="9" t="s">
        <v>241</v>
      </c>
      <c r="E199" s="95" t="s">
        <v>992</v>
      </c>
      <c r="F199" s="9" t="s">
        <v>242</v>
      </c>
      <c r="G199" s="9">
        <v>1</v>
      </c>
      <c r="H199" s="6" t="s">
        <v>993</v>
      </c>
      <c r="I199" s="9" t="s">
        <v>311</v>
      </c>
      <c r="J199" s="9" t="s">
        <v>145</v>
      </c>
    </row>
    <row r="200" spans="1:10">
      <c r="A200" s="5" t="s">
        <v>569</v>
      </c>
      <c r="B200" s="6" t="s">
        <v>1003</v>
      </c>
      <c r="C200" s="7">
        <v>46077</v>
      </c>
      <c r="D200" s="9" t="s">
        <v>241</v>
      </c>
      <c r="E200" s="95" t="s">
        <v>29</v>
      </c>
      <c r="F200" s="9" t="s">
        <v>246</v>
      </c>
      <c r="G200" s="9">
        <v>1</v>
      </c>
      <c r="H200" s="6" t="s">
        <v>993</v>
      </c>
      <c r="I200" s="9" t="s">
        <v>311</v>
      </c>
      <c r="J200" s="9" t="s">
        <v>145</v>
      </c>
    </row>
    <row r="201" spans="1:10">
      <c r="A201" s="5" t="s">
        <v>570</v>
      </c>
      <c r="B201" s="6" t="s">
        <v>1004</v>
      </c>
      <c r="C201" s="7">
        <v>46077</v>
      </c>
      <c r="D201" s="9" t="s">
        <v>241</v>
      </c>
      <c r="E201" s="95" t="s">
        <v>992</v>
      </c>
      <c r="F201" s="9" t="s">
        <v>242</v>
      </c>
      <c r="G201" s="9">
        <v>1</v>
      </c>
      <c r="H201" s="6" t="s">
        <v>993</v>
      </c>
      <c r="I201" s="9" t="s">
        <v>311</v>
      </c>
      <c r="J201" s="9" t="s">
        <v>145</v>
      </c>
    </row>
    <row r="202" spans="1:10">
      <c r="A202" s="5" t="s">
        <v>571</v>
      </c>
      <c r="B202" s="6" t="s">
        <v>1004</v>
      </c>
      <c r="C202" s="7">
        <v>46077</v>
      </c>
      <c r="D202" s="9" t="s">
        <v>241</v>
      </c>
      <c r="E202" s="95" t="s">
        <v>29</v>
      </c>
      <c r="F202" s="9" t="s">
        <v>246</v>
      </c>
      <c r="G202" s="9">
        <v>1</v>
      </c>
      <c r="H202" s="6" t="s">
        <v>993</v>
      </c>
      <c r="I202" s="9" t="s">
        <v>311</v>
      </c>
      <c r="J202" s="9" t="s">
        <v>145</v>
      </c>
    </row>
    <row r="203" spans="1:10">
      <c r="A203" s="5" t="s">
        <v>573</v>
      </c>
      <c r="B203" s="6" t="s">
        <v>1005</v>
      </c>
      <c r="C203" s="7">
        <v>46050</v>
      </c>
      <c r="D203" s="9" t="s">
        <v>261</v>
      </c>
      <c r="E203" s="95" t="s">
        <v>62</v>
      </c>
      <c r="F203" s="9" t="s">
        <v>242</v>
      </c>
      <c r="G203" s="9">
        <v>8</v>
      </c>
      <c r="H203" s="6" t="s">
        <v>722</v>
      </c>
      <c r="I203" s="9" t="s">
        <v>363</v>
      </c>
      <c r="J203" s="9" t="s">
        <v>145</v>
      </c>
    </row>
    <row r="204" spans="1:10">
      <c r="A204" s="5" t="s">
        <v>574</v>
      </c>
      <c r="B204" s="6" t="s">
        <v>1006</v>
      </c>
      <c r="C204" s="7">
        <v>46050</v>
      </c>
      <c r="D204" s="9" t="s">
        <v>261</v>
      </c>
      <c r="E204" s="95" t="s">
        <v>62</v>
      </c>
      <c r="F204" s="9" t="s">
        <v>242</v>
      </c>
      <c r="G204" s="9">
        <v>4</v>
      </c>
      <c r="H204" s="6" t="s">
        <v>722</v>
      </c>
      <c r="I204" s="9" t="s">
        <v>514</v>
      </c>
      <c r="J204" s="9" t="s">
        <v>145</v>
      </c>
    </row>
    <row r="205" spans="1:10">
      <c r="A205" s="5" t="s">
        <v>575</v>
      </c>
      <c r="B205" s="6" t="s">
        <v>1007</v>
      </c>
      <c r="C205" s="7">
        <v>46050</v>
      </c>
      <c r="D205" s="9" t="s">
        <v>261</v>
      </c>
      <c r="E205" s="95" t="s">
        <v>62</v>
      </c>
      <c r="F205" s="9" t="s">
        <v>242</v>
      </c>
      <c r="G205" s="9">
        <v>2</v>
      </c>
      <c r="H205" s="6" t="s">
        <v>722</v>
      </c>
      <c r="I205" s="9" t="s">
        <v>609</v>
      </c>
      <c r="J205" s="9" t="s">
        <v>145</v>
      </c>
    </row>
    <row r="206" spans="1:10">
      <c r="A206" s="5" t="s">
        <v>576</v>
      </c>
      <c r="B206" s="6" t="s">
        <v>1008</v>
      </c>
      <c r="C206" s="7">
        <v>46051</v>
      </c>
      <c r="D206" s="9" t="s">
        <v>500</v>
      </c>
      <c r="E206" s="95" t="s">
        <v>52</v>
      </c>
      <c r="F206" s="9" t="s">
        <v>242</v>
      </c>
      <c r="G206" s="9">
        <v>1</v>
      </c>
      <c r="H206" s="6" t="s">
        <v>693</v>
      </c>
      <c r="I206" s="9" t="s">
        <v>514</v>
      </c>
      <c r="J206" s="9" t="s">
        <v>145</v>
      </c>
    </row>
    <row r="207" spans="1:10">
      <c r="A207" s="5" t="s">
        <v>577</v>
      </c>
      <c r="B207" s="6" t="s">
        <v>1008</v>
      </c>
      <c r="C207" s="7">
        <v>46051</v>
      </c>
      <c r="D207" s="9" t="s">
        <v>261</v>
      </c>
      <c r="E207" s="95" t="s">
        <v>64</v>
      </c>
      <c r="F207" s="9" t="s">
        <v>242</v>
      </c>
      <c r="G207" s="9">
        <v>2</v>
      </c>
      <c r="H207" s="6" t="s">
        <v>693</v>
      </c>
      <c r="I207" s="9" t="s">
        <v>514</v>
      </c>
      <c r="J207" s="9" t="s">
        <v>145</v>
      </c>
    </row>
    <row r="208" spans="1:10">
      <c r="A208" s="5" t="s">
        <v>580</v>
      </c>
      <c r="B208" s="6" t="s">
        <v>1008</v>
      </c>
      <c r="C208" s="7">
        <v>46051</v>
      </c>
      <c r="D208" s="9" t="s">
        <v>270</v>
      </c>
      <c r="E208" s="95" t="s">
        <v>271</v>
      </c>
      <c r="F208" s="9" t="s">
        <v>242</v>
      </c>
      <c r="G208" s="9">
        <v>2</v>
      </c>
      <c r="H208" s="6" t="s">
        <v>693</v>
      </c>
      <c r="I208" s="9" t="s">
        <v>514</v>
      </c>
      <c r="J208" s="9" t="s">
        <v>145</v>
      </c>
    </row>
    <row r="209" spans="1:10">
      <c r="A209" s="5" t="s">
        <v>581</v>
      </c>
      <c r="B209" s="6" t="s">
        <v>804</v>
      </c>
      <c r="C209" s="7">
        <v>46051</v>
      </c>
      <c r="D209" s="9" t="s">
        <v>261</v>
      </c>
      <c r="E209" s="95" t="s">
        <v>62</v>
      </c>
      <c r="F209" s="9" t="s">
        <v>242</v>
      </c>
      <c r="G209" s="9">
        <v>7</v>
      </c>
      <c r="H209" s="6" t="s">
        <v>722</v>
      </c>
      <c r="I209" s="9" t="s">
        <v>514</v>
      </c>
      <c r="J209" s="9" t="s">
        <v>145</v>
      </c>
    </row>
    <row r="210" spans="1:10">
      <c r="A210" s="5" t="s">
        <v>583</v>
      </c>
      <c r="B210" s="6" t="s">
        <v>1009</v>
      </c>
      <c r="C210" s="7">
        <v>46051</v>
      </c>
      <c r="D210" s="9" t="s">
        <v>261</v>
      </c>
      <c r="E210" s="95" t="s">
        <v>62</v>
      </c>
      <c r="F210" s="9" t="s">
        <v>242</v>
      </c>
      <c r="G210" s="9">
        <v>8</v>
      </c>
      <c r="H210" s="6" t="s">
        <v>722</v>
      </c>
      <c r="I210" s="9" t="s">
        <v>514</v>
      </c>
      <c r="J210" s="9" t="s">
        <v>145</v>
      </c>
    </row>
    <row r="211" spans="1:10">
      <c r="A211" s="5" t="s">
        <v>584</v>
      </c>
      <c r="B211" s="6" t="s">
        <v>1009</v>
      </c>
      <c r="C211" s="7">
        <v>46051</v>
      </c>
      <c r="D211" s="9" t="s">
        <v>261</v>
      </c>
      <c r="E211" s="95" t="s">
        <v>281</v>
      </c>
      <c r="F211" s="9" t="s">
        <v>242</v>
      </c>
      <c r="G211" s="9">
        <v>4</v>
      </c>
      <c r="H211" s="6" t="s">
        <v>722</v>
      </c>
      <c r="I211" s="9" t="s">
        <v>514</v>
      </c>
      <c r="J211" s="9" t="s">
        <v>145</v>
      </c>
    </row>
    <row r="212" spans="1:10">
      <c r="A212" s="5" t="s">
        <v>588</v>
      </c>
      <c r="B212" s="6" t="s">
        <v>1010</v>
      </c>
      <c r="C212" s="7">
        <v>46051</v>
      </c>
      <c r="D212" s="9" t="s">
        <v>261</v>
      </c>
      <c r="E212" s="95" t="s">
        <v>62</v>
      </c>
      <c r="F212" s="9" t="s">
        <v>242</v>
      </c>
      <c r="G212" s="9">
        <v>3</v>
      </c>
      <c r="H212" s="6" t="s">
        <v>722</v>
      </c>
      <c r="I212" s="9" t="s">
        <v>514</v>
      </c>
      <c r="J212" s="9" t="s">
        <v>145</v>
      </c>
    </row>
    <row r="213" spans="1:10">
      <c r="A213" s="5" t="s">
        <v>591</v>
      </c>
      <c r="B213" s="6" t="s">
        <v>1011</v>
      </c>
      <c r="C213" s="7">
        <v>46051</v>
      </c>
      <c r="D213" s="9" t="s">
        <v>261</v>
      </c>
      <c r="E213" s="95" t="s">
        <v>62</v>
      </c>
      <c r="F213" s="9" t="s">
        <v>242</v>
      </c>
      <c r="G213" s="9">
        <v>6</v>
      </c>
      <c r="H213" s="6" t="s">
        <v>722</v>
      </c>
      <c r="I213" s="9" t="s">
        <v>484</v>
      </c>
      <c r="J213" s="9" t="s">
        <v>145</v>
      </c>
    </row>
    <row r="214" spans="1:10">
      <c r="A214" s="5" t="s">
        <v>592</v>
      </c>
      <c r="B214" s="6" t="s">
        <v>1012</v>
      </c>
      <c r="C214" s="7">
        <v>46051</v>
      </c>
      <c r="D214" s="9" t="s">
        <v>261</v>
      </c>
      <c r="E214" s="95" t="s">
        <v>62</v>
      </c>
      <c r="F214" s="9" t="s">
        <v>242</v>
      </c>
      <c r="G214" s="9">
        <v>4</v>
      </c>
      <c r="H214" s="6" t="s">
        <v>722</v>
      </c>
      <c r="I214" s="9" t="s">
        <v>484</v>
      </c>
      <c r="J214" s="9" t="s">
        <v>145</v>
      </c>
    </row>
    <row r="215" spans="1:10">
      <c r="A215" s="5" t="s">
        <v>593</v>
      </c>
      <c r="B215" s="6" t="s">
        <v>1013</v>
      </c>
      <c r="C215" s="7">
        <v>46051</v>
      </c>
      <c r="D215" s="9" t="s">
        <v>261</v>
      </c>
      <c r="E215" s="95" t="s">
        <v>62</v>
      </c>
      <c r="F215" s="9" t="s">
        <v>242</v>
      </c>
      <c r="G215" s="9">
        <v>5</v>
      </c>
      <c r="H215" s="6" t="s">
        <v>1014</v>
      </c>
      <c r="I215" s="9" t="s">
        <v>609</v>
      </c>
      <c r="J215" s="9" t="s">
        <v>145</v>
      </c>
    </row>
    <row r="216" spans="1:10">
      <c r="A216" s="5" t="s">
        <v>595</v>
      </c>
      <c r="B216" s="6" t="s">
        <v>1015</v>
      </c>
      <c r="C216" s="7">
        <v>46051</v>
      </c>
      <c r="D216" s="9" t="s">
        <v>500</v>
      </c>
      <c r="E216" s="95" t="s">
        <v>51</v>
      </c>
      <c r="F216" s="9" t="s">
        <v>242</v>
      </c>
      <c r="G216" s="9">
        <v>1</v>
      </c>
      <c r="H216" s="6" t="s">
        <v>771</v>
      </c>
      <c r="I216" s="9" t="s">
        <v>311</v>
      </c>
      <c r="J216" s="9" t="s">
        <v>145</v>
      </c>
    </row>
    <row r="217" spans="1:10">
      <c r="A217" s="5" t="s">
        <v>596</v>
      </c>
      <c r="B217" s="6" t="s">
        <v>1015</v>
      </c>
      <c r="C217" s="7">
        <v>46051</v>
      </c>
      <c r="D217" s="9" t="s">
        <v>261</v>
      </c>
      <c r="E217" s="95" t="s">
        <v>64</v>
      </c>
      <c r="F217" s="9" t="s">
        <v>242</v>
      </c>
      <c r="G217" s="9">
        <v>2</v>
      </c>
      <c r="H217" s="6" t="s">
        <v>771</v>
      </c>
      <c r="I217" s="9" t="s">
        <v>311</v>
      </c>
      <c r="J217" s="9" t="s">
        <v>145</v>
      </c>
    </row>
    <row r="218" spans="1:10">
      <c r="A218" s="5" t="s">
        <v>599</v>
      </c>
      <c r="B218" s="6" t="s">
        <v>1015</v>
      </c>
      <c r="C218" s="7">
        <v>46051</v>
      </c>
      <c r="D218" s="9" t="s">
        <v>270</v>
      </c>
      <c r="E218" s="95" t="s">
        <v>271</v>
      </c>
      <c r="F218" s="9" t="s">
        <v>242</v>
      </c>
      <c r="G218" s="9">
        <v>2</v>
      </c>
      <c r="H218" s="6" t="s">
        <v>771</v>
      </c>
      <c r="I218" s="9" t="s">
        <v>311</v>
      </c>
      <c r="J218" s="9" t="s">
        <v>145</v>
      </c>
    </row>
    <row r="219" spans="1:10">
      <c r="A219" s="5" t="s">
        <v>600</v>
      </c>
      <c r="B219" s="6" t="s">
        <v>1016</v>
      </c>
      <c r="C219" s="7">
        <v>46052</v>
      </c>
      <c r="D219" s="9" t="s">
        <v>500</v>
      </c>
      <c r="E219" s="95" t="s">
        <v>50</v>
      </c>
      <c r="F219" s="9" t="s">
        <v>242</v>
      </c>
      <c r="G219" s="9">
        <v>1</v>
      </c>
      <c r="H219" s="6" t="s">
        <v>693</v>
      </c>
      <c r="I219" s="9" t="s">
        <v>357</v>
      </c>
      <c r="J219" s="9" t="s">
        <v>145</v>
      </c>
    </row>
    <row r="220" spans="1:10">
      <c r="A220" s="5" t="s">
        <v>602</v>
      </c>
      <c r="B220" s="6" t="s">
        <v>1016</v>
      </c>
      <c r="C220" s="7">
        <v>46052</v>
      </c>
      <c r="D220" s="9" t="s">
        <v>261</v>
      </c>
      <c r="E220" s="95" t="s">
        <v>64</v>
      </c>
      <c r="F220" s="9" t="s">
        <v>242</v>
      </c>
      <c r="G220" s="9">
        <v>1</v>
      </c>
      <c r="H220" s="6" t="s">
        <v>693</v>
      </c>
      <c r="I220" s="9" t="s">
        <v>357</v>
      </c>
      <c r="J220" s="9" t="s">
        <v>145</v>
      </c>
    </row>
    <row r="221" spans="1:10">
      <c r="A221" s="5" t="s">
        <v>603</v>
      </c>
      <c r="B221" s="6" t="s">
        <v>1016</v>
      </c>
      <c r="C221" s="7">
        <v>46052</v>
      </c>
      <c r="D221" s="9" t="s">
        <v>270</v>
      </c>
      <c r="E221" s="95" t="s">
        <v>271</v>
      </c>
      <c r="F221" s="9" t="s">
        <v>242</v>
      </c>
      <c r="G221" s="9">
        <v>1</v>
      </c>
      <c r="H221" s="6" t="s">
        <v>693</v>
      </c>
      <c r="I221" s="9" t="s">
        <v>357</v>
      </c>
      <c r="J221" s="9" t="s">
        <v>145</v>
      </c>
    </row>
    <row r="222" spans="1:10">
      <c r="A222" s="5" t="s">
        <v>606</v>
      </c>
      <c r="B222" s="6" t="s">
        <v>1016</v>
      </c>
      <c r="C222" s="7">
        <v>46052</v>
      </c>
      <c r="D222" s="9" t="s">
        <v>503</v>
      </c>
      <c r="E222" s="95" t="s">
        <v>162</v>
      </c>
      <c r="F222" s="9" t="s">
        <v>242</v>
      </c>
      <c r="G222" s="9">
        <v>1</v>
      </c>
      <c r="H222" s="6" t="s">
        <v>693</v>
      </c>
      <c r="I222" s="9" t="s">
        <v>357</v>
      </c>
      <c r="J222" s="9" t="s">
        <v>145</v>
      </c>
    </row>
    <row r="223" spans="1:10">
      <c r="A223" s="5" t="s">
        <v>607</v>
      </c>
      <c r="B223" s="6" t="s">
        <v>1017</v>
      </c>
      <c r="C223" s="7">
        <v>46052</v>
      </c>
      <c r="D223" s="9" t="s">
        <v>500</v>
      </c>
      <c r="E223" s="95" t="s">
        <v>48</v>
      </c>
      <c r="F223" s="9" t="s">
        <v>242</v>
      </c>
      <c r="G223" s="9">
        <v>1</v>
      </c>
      <c r="H223" s="6" t="s">
        <v>1018</v>
      </c>
      <c r="I223" s="9" t="s">
        <v>253</v>
      </c>
      <c r="J223" s="9" t="s">
        <v>145</v>
      </c>
    </row>
    <row r="224" spans="1:10">
      <c r="A224" s="5" t="s">
        <v>610</v>
      </c>
      <c r="B224" s="6" t="s">
        <v>1017</v>
      </c>
      <c r="C224" s="7">
        <v>46052</v>
      </c>
      <c r="D224" s="9" t="s">
        <v>261</v>
      </c>
      <c r="E224" s="95" t="s">
        <v>64</v>
      </c>
      <c r="F224" s="9" t="s">
        <v>242</v>
      </c>
      <c r="G224" s="9">
        <v>1</v>
      </c>
      <c r="H224" s="6" t="s">
        <v>1018</v>
      </c>
      <c r="I224" s="9" t="s">
        <v>253</v>
      </c>
      <c r="J224" s="9" t="s">
        <v>145</v>
      </c>
    </row>
    <row r="225" spans="1:10">
      <c r="A225" s="5" t="s">
        <v>611</v>
      </c>
      <c r="B225" s="6" t="s">
        <v>1017</v>
      </c>
      <c r="C225" s="7">
        <v>46052</v>
      </c>
      <c r="D225" s="9" t="s">
        <v>261</v>
      </c>
      <c r="E225" s="95" t="s">
        <v>63</v>
      </c>
      <c r="F225" s="9" t="s">
        <v>242</v>
      </c>
      <c r="G225" s="9">
        <v>2</v>
      </c>
      <c r="H225" s="6" t="s">
        <v>1018</v>
      </c>
      <c r="I225" s="9" t="s">
        <v>253</v>
      </c>
      <c r="J225" s="9" t="s">
        <v>145</v>
      </c>
    </row>
    <row r="226" spans="1:10">
      <c r="A226" s="5" t="s">
        <v>612</v>
      </c>
      <c r="B226" s="6" t="s">
        <v>1017</v>
      </c>
      <c r="C226" s="7">
        <v>46052</v>
      </c>
      <c r="D226" s="9" t="s">
        <v>270</v>
      </c>
      <c r="E226" s="95" t="s">
        <v>271</v>
      </c>
      <c r="F226" s="9" t="s">
        <v>242</v>
      </c>
      <c r="G226" s="9">
        <v>1</v>
      </c>
      <c r="H226" s="6" t="s">
        <v>1018</v>
      </c>
      <c r="I226" s="9" t="s">
        <v>253</v>
      </c>
      <c r="J226" s="9" t="s">
        <v>145</v>
      </c>
    </row>
    <row r="227" spans="1:10">
      <c r="A227" s="5" t="s">
        <v>613</v>
      </c>
      <c r="B227" s="6" t="s">
        <v>1017</v>
      </c>
      <c r="C227" s="7">
        <v>46052</v>
      </c>
      <c r="D227" s="9" t="s">
        <v>270</v>
      </c>
      <c r="E227" s="95" t="s">
        <v>68</v>
      </c>
      <c r="F227" s="9" t="s">
        <v>242</v>
      </c>
      <c r="G227" s="9">
        <v>2</v>
      </c>
      <c r="H227" s="6" t="s">
        <v>1018</v>
      </c>
      <c r="I227" s="9" t="s">
        <v>253</v>
      </c>
      <c r="J227" s="9" t="s">
        <v>145</v>
      </c>
    </row>
    <row r="228" spans="1:10">
      <c r="A228" s="5" t="s">
        <v>617</v>
      </c>
      <c r="B228" s="6" t="s">
        <v>1017</v>
      </c>
      <c r="C228" s="7">
        <v>46052</v>
      </c>
      <c r="D228" s="9" t="s">
        <v>261</v>
      </c>
      <c r="E228" s="95" t="s">
        <v>62</v>
      </c>
      <c r="F228" s="9" t="s">
        <v>242</v>
      </c>
      <c r="G228" s="9">
        <v>3</v>
      </c>
      <c r="H228" s="6" t="s">
        <v>1018</v>
      </c>
      <c r="I228" s="9" t="s">
        <v>253</v>
      </c>
      <c r="J228" s="9" t="s">
        <v>145</v>
      </c>
    </row>
    <row r="229" spans="1:10">
      <c r="A229" s="5" t="s">
        <v>618</v>
      </c>
      <c r="B229" s="6" t="s">
        <v>1019</v>
      </c>
      <c r="C229" s="7">
        <v>46052</v>
      </c>
      <c r="D229" s="9" t="s">
        <v>696</v>
      </c>
      <c r="E229" s="95" t="s">
        <v>86</v>
      </c>
      <c r="F229" s="9" t="s">
        <v>242</v>
      </c>
      <c r="G229" s="9">
        <v>65</v>
      </c>
      <c r="H229" s="6" t="s">
        <v>1020</v>
      </c>
      <c r="I229" s="9" t="s">
        <v>284</v>
      </c>
      <c r="J229" s="9" t="s">
        <v>145</v>
      </c>
    </row>
    <row r="230" spans="1:10">
      <c r="A230" s="5" t="s">
        <v>620</v>
      </c>
      <c r="B230" s="6" t="s">
        <v>1019</v>
      </c>
      <c r="C230" s="7">
        <v>46052</v>
      </c>
      <c r="D230" s="9" t="s">
        <v>261</v>
      </c>
      <c r="E230" s="95" t="s">
        <v>62</v>
      </c>
      <c r="F230" s="9" t="s">
        <v>242</v>
      </c>
      <c r="G230" s="9">
        <v>2</v>
      </c>
      <c r="H230" s="6" t="s">
        <v>1020</v>
      </c>
      <c r="I230" s="9" t="s">
        <v>284</v>
      </c>
      <c r="J230" s="9" t="s">
        <v>145</v>
      </c>
    </row>
    <row r="231" spans="1:10">
      <c r="A231" s="5" t="s">
        <v>621</v>
      </c>
      <c r="B231" s="6" t="s">
        <v>1021</v>
      </c>
      <c r="C231" s="7">
        <v>46055</v>
      </c>
      <c r="D231" s="9" t="s">
        <v>261</v>
      </c>
      <c r="E231" s="95" t="s">
        <v>62</v>
      </c>
      <c r="F231" s="9" t="s">
        <v>242</v>
      </c>
      <c r="G231" s="9">
        <v>20</v>
      </c>
      <c r="H231" s="6" t="s">
        <v>1022</v>
      </c>
      <c r="I231" s="9" t="s">
        <v>616</v>
      </c>
      <c r="J231" s="9" t="s">
        <v>145</v>
      </c>
    </row>
    <row r="232" spans="1:10">
      <c r="A232" s="5" t="s">
        <v>624</v>
      </c>
      <c r="B232" s="6" t="s">
        <v>1023</v>
      </c>
      <c r="C232" s="7">
        <v>46055</v>
      </c>
      <c r="D232" s="9" t="s">
        <v>1024</v>
      </c>
      <c r="E232" s="95" t="s">
        <v>84</v>
      </c>
      <c r="F232" s="9" t="s">
        <v>242</v>
      </c>
      <c r="G232" s="9">
        <v>90</v>
      </c>
      <c r="H232" s="6" t="s">
        <v>1025</v>
      </c>
      <c r="I232" s="9" t="s">
        <v>628</v>
      </c>
      <c r="J232" s="9" t="s">
        <v>145</v>
      </c>
    </row>
    <row r="233" spans="1:10">
      <c r="A233" s="5" t="s">
        <v>625</v>
      </c>
      <c r="B233" s="6" t="s">
        <v>1023</v>
      </c>
      <c r="C233" s="7">
        <v>46055</v>
      </c>
      <c r="D233" s="9" t="s">
        <v>1024</v>
      </c>
      <c r="E233" s="95" t="s">
        <v>164</v>
      </c>
      <c r="F233" s="9" t="s">
        <v>242</v>
      </c>
      <c r="G233" s="9">
        <v>2</v>
      </c>
      <c r="H233" s="6" t="s">
        <v>1025</v>
      </c>
      <c r="I233" s="9" t="s">
        <v>628</v>
      </c>
      <c r="J233" s="9" t="s">
        <v>145</v>
      </c>
    </row>
    <row r="234" spans="1:10">
      <c r="A234" s="5" t="s">
        <v>626</v>
      </c>
      <c r="B234" s="6" t="s">
        <v>1026</v>
      </c>
      <c r="C234" s="7">
        <v>46055</v>
      </c>
      <c r="D234" s="9" t="s">
        <v>696</v>
      </c>
      <c r="E234" s="95" t="s">
        <v>843</v>
      </c>
      <c r="F234" s="9" t="s">
        <v>242</v>
      </c>
      <c r="G234" s="9">
        <v>45</v>
      </c>
      <c r="H234" s="6" t="s">
        <v>1027</v>
      </c>
      <c r="I234" s="9" t="s">
        <v>628</v>
      </c>
      <c r="J234" s="9" t="s">
        <v>145</v>
      </c>
    </row>
    <row r="235" spans="1:10">
      <c r="A235" s="5" t="s">
        <v>629</v>
      </c>
      <c r="B235" s="6" t="s">
        <v>1026</v>
      </c>
      <c r="C235" s="7">
        <v>46055</v>
      </c>
      <c r="D235" s="9" t="s">
        <v>261</v>
      </c>
      <c r="E235" s="95" t="s">
        <v>65</v>
      </c>
      <c r="F235" s="9" t="s">
        <v>242</v>
      </c>
      <c r="G235" s="9">
        <v>3</v>
      </c>
      <c r="H235" s="6" t="s">
        <v>1027</v>
      </c>
      <c r="I235" s="9" t="s">
        <v>628</v>
      </c>
      <c r="J235" s="9" t="s">
        <v>145</v>
      </c>
    </row>
    <row r="236" spans="1:10">
      <c r="A236" s="5" t="s">
        <v>630</v>
      </c>
      <c r="B236" s="6" t="s">
        <v>1026</v>
      </c>
      <c r="C236" s="7">
        <v>46055</v>
      </c>
      <c r="D236" s="9" t="s">
        <v>270</v>
      </c>
      <c r="E236" s="95" t="s">
        <v>271</v>
      </c>
      <c r="F236" s="9" t="s">
        <v>242</v>
      </c>
      <c r="G236" s="9">
        <v>6</v>
      </c>
      <c r="H236" s="6" t="s">
        <v>1027</v>
      </c>
      <c r="I236" s="9" t="s">
        <v>628</v>
      </c>
      <c r="J236" s="9" t="s">
        <v>145</v>
      </c>
    </row>
    <row r="237" spans="1:10">
      <c r="A237" s="5" t="s">
        <v>631</v>
      </c>
      <c r="B237" s="6" t="s">
        <v>1028</v>
      </c>
      <c r="C237" s="7">
        <v>46056</v>
      </c>
      <c r="D237" s="9" t="s">
        <v>500</v>
      </c>
      <c r="E237" s="95" t="s">
        <v>54</v>
      </c>
      <c r="F237" s="9" t="s">
        <v>242</v>
      </c>
      <c r="G237" s="9">
        <v>1</v>
      </c>
      <c r="H237" s="6" t="s">
        <v>876</v>
      </c>
      <c r="I237" s="9" t="s">
        <v>258</v>
      </c>
      <c r="J237" s="9" t="s">
        <v>145</v>
      </c>
    </row>
    <row r="238" spans="1:10">
      <c r="A238" s="5" t="s">
        <v>634</v>
      </c>
      <c r="B238" s="6" t="s">
        <v>1028</v>
      </c>
      <c r="C238" s="7">
        <v>46056</v>
      </c>
      <c r="D238" s="9" t="s">
        <v>261</v>
      </c>
      <c r="E238" s="95" t="s">
        <v>62</v>
      </c>
      <c r="F238" s="9" t="s">
        <v>242</v>
      </c>
      <c r="G238" s="9">
        <v>1</v>
      </c>
      <c r="H238" s="6" t="s">
        <v>876</v>
      </c>
      <c r="I238" s="9" t="s">
        <v>258</v>
      </c>
      <c r="J238" s="9" t="s">
        <v>145</v>
      </c>
    </row>
    <row r="239" spans="1:10">
      <c r="A239" s="5" t="s">
        <v>635</v>
      </c>
      <c r="B239" s="6" t="s">
        <v>1029</v>
      </c>
      <c r="C239" s="7">
        <v>46056</v>
      </c>
      <c r="D239" s="9" t="s">
        <v>500</v>
      </c>
      <c r="E239" s="95" t="s">
        <v>54</v>
      </c>
      <c r="F239" s="9" t="s">
        <v>242</v>
      </c>
      <c r="G239" s="9">
        <v>1</v>
      </c>
      <c r="H239" s="6" t="s">
        <v>759</v>
      </c>
      <c r="I239" s="9" t="s">
        <v>258</v>
      </c>
      <c r="J239" s="9" t="s">
        <v>145</v>
      </c>
    </row>
    <row r="240" spans="1:10">
      <c r="A240" s="5" t="s">
        <v>637</v>
      </c>
      <c r="B240" s="6" t="s">
        <v>1029</v>
      </c>
      <c r="C240" s="7">
        <v>46056</v>
      </c>
      <c r="D240" s="9" t="s">
        <v>261</v>
      </c>
      <c r="E240" s="95" t="s">
        <v>62</v>
      </c>
      <c r="F240" s="9" t="s">
        <v>242</v>
      </c>
      <c r="G240" s="9">
        <v>1</v>
      </c>
      <c r="H240" s="6" t="s">
        <v>759</v>
      </c>
      <c r="I240" s="9" t="s">
        <v>258</v>
      </c>
      <c r="J240" s="9" t="s">
        <v>145</v>
      </c>
    </row>
    <row r="241" spans="1:10">
      <c r="A241" s="5" t="s">
        <v>638</v>
      </c>
      <c r="B241" s="6" t="s">
        <v>1030</v>
      </c>
      <c r="C241" s="7">
        <v>46056</v>
      </c>
      <c r="D241" s="9" t="s">
        <v>261</v>
      </c>
      <c r="E241" s="95" t="s">
        <v>62</v>
      </c>
      <c r="F241" s="9" t="s">
        <v>242</v>
      </c>
      <c r="G241" s="9">
        <v>3</v>
      </c>
      <c r="H241" s="6" t="s">
        <v>722</v>
      </c>
      <c r="I241" s="9" t="s">
        <v>514</v>
      </c>
      <c r="J241" s="9" t="s">
        <v>145</v>
      </c>
    </row>
    <row r="242" spans="1:10">
      <c r="A242" s="5" t="s">
        <v>640</v>
      </c>
      <c r="B242" s="6" t="s">
        <v>1031</v>
      </c>
      <c r="C242" s="7">
        <v>46056</v>
      </c>
      <c r="D242" s="9" t="s">
        <v>261</v>
      </c>
      <c r="E242" s="95" t="s">
        <v>62</v>
      </c>
      <c r="F242" s="9" t="s">
        <v>242</v>
      </c>
      <c r="G242" s="9">
        <v>6</v>
      </c>
      <c r="H242" s="6" t="s">
        <v>722</v>
      </c>
      <c r="I242" s="9" t="s">
        <v>363</v>
      </c>
      <c r="J242" s="9" t="s">
        <v>145</v>
      </c>
    </row>
    <row r="243" spans="1:10">
      <c r="A243" s="5" t="s">
        <v>641</v>
      </c>
      <c r="B243" s="6" t="s">
        <v>1032</v>
      </c>
      <c r="C243" s="7">
        <v>46056</v>
      </c>
      <c r="D243" s="9" t="s">
        <v>500</v>
      </c>
      <c r="E243" s="95" t="s">
        <v>46</v>
      </c>
      <c r="F243" s="9" t="s">
        <v>242</v>
      </c>
      <c r="G243" s="9">
        <v>1</v>
      </c>
      <c r="H243" s="6" t="s">
        <v>742</v>
      </c>
      <c r="I243" s="9" t="s">
        <v>289</v>
      </c>
      <c r="J243" s="9" t="s">
        <v>145</v>
      </c>
    </row>
    <row r="244" spans="1:10">
      <c r="A244" s="5" t="s">
        <v>642</v>
      </c>
      <c r="B244" s="6" t="s">
        <v>1032</v>
      </c>
      <c r="C244" s="7">
        <v>46056</v>
      </c>
      <c r="D244" s="9" t="s">
        <v>261</v>
      </c>
      <c r="E244" s="95" t="s">
        <v>64</v>
      </c>
      <c r="F244" s="9" t="s">
        <v>242</v>
      </c>
      <c r="G244" s="9">
        <v>2</v>
      </c>
      <c r="H244" s="6" t="s">
        <v>742</v>
      </c>
      <c r="I244" s="9" t="s">
        <v>289</v>
      </c>
      <c r="J244" s="9" t="s">
        <v>145</v>
      </c>
    </row>
    <row r="245" spans="1:10">
      <c r="A245" s="5" t="s">
        <v>644</v>
      </c>
      <c r="B245" s="6" t="s">
        <v>1032</v>
      </c>
      <c r="C245" s="7">
        <v>46056</v>
      </c>
      <c r="D245" s="9" t="s">
        <v>261</v>
      </c>
      <c r="E245" s="95" t="s">
        <v>63</v>
      </c>
      <c r="F245" s="9" t="s">
        <v>242</v>
      </c>
      <c r="G245" s="9">
        <v>1</v>
      </c>
      <c r="H245" s="6" t="s">
        <v>742</v>
      </c>
      <c r="I245" s="9" t="s">
        <v>289</v>
      </c>
      <c r="J245" s="9" t="s">
        <v>145</v>
      </c>
    </row>
    <row r="246" spans="1:10">
      <c r="A246" s="5" t="s">
        <v>645</v>
      </c>
      <c r="B246" s="6" t="s">
        <v>1032</v>
      </c>
      <c r="C246" s="7">
        <v>46056</v>
      </c>
      <c r="D246" s="9" t="s">
        <v>270</v>
      </c>
      <c r="E246" s="95" t="s">
        <v>271</v>
      </c>
      <c r="F246" s="9" t="s">
        <v>242</v>
      </c>
      <c r="G246" s="9">
        <v>2</v>
      </c>
      <c r="H246" s="6" t="s">
        <v>742</v>
      </c>
      <c r="I246" s="9" t="s">
        <v>289</v>
      </c>
      <c r="J246" s="9" t="s">
        <v>145</v>
      </c>
    </row>
    <row r="247" spans="1:10">
      <c r="A247" s="5" t="s">
        <v>647</v>
      </c>
      <c r="B247" s="6" t="s">
        <v>1032</v>
      </c>
      <c r="C247" s="7">
        <v>46056</v>
      </c>
      <c r="D247" s="9" t="s">
        <v>270</v>
      </c>
      <c r="E247" s="95" t="s">
        <v>68</v>
      </c>
      <c r="F247" s="9" t="s">
        <v>242</v>
      </c>
      <c r="G247" s="9">
        <v>1</v>
      </c>
      <c r="H247" s="6" t="s">
        <v>742</v>
      </c>
      <c r="I247" s="9" t="s">
        <v>289</v>
      </c>
      <c r="J247" s="9" t="s">
        <v>145</v>
      </c>
    </row>
    <row r="248" spans="1:10">
      <c r="A248" s="5" t="s">
        <v>648</v>
      </c>
      <c r="B248" s="6" t="s">
        <v>1033</v>
      </c>
      <c r="C248" s="7">
        <v>46056</v>
      </c>
      <c r="D248" s="9" t="s">
        <v>500</v>
      </c>
      <c r="E248" s="95" t="s">
        <v>48</v>
      </c>
      <c r="F248" s="9" t="s">
        <v>242</v>
      </c>
      <c r="G248" s="9">
        <v>1</v>
      </c>
      <c r="H248" s="6" t="s">
        <v>688</v>
      </c>
      <c r="I248" s="9" t="s">
        <v>258</v>
      </c>
      <c r="J248" s="9" t="s">
        <v>145</v>
      </c>
    </row>
    <row r="249" spans="1:10">
      <c r="A249" s="5" t="s">
        <v>651</v>
      </c>
      <c r="B249" s="6" t="s">
        <v>1033</v>
      </c>
      <c r="C249" s="7">
        <v>46056</v>
      </c>
      <c r="D249" s="9" t="s">
        <v>261</v>
      </c>
      <c r="E249" s="95" t="s">
        <v>64</v>
      </c>
      <c r="F249" s="9" t="s">
        <v>242</v>
      </c>
      <c r="G249" s="9">
        <v>3</v>
      </c>
      <c r="H249" s="6" t="s">
        <v>688</v>
      </c>
      <c r="I249" s="9" t="s">
        <v>258</v>
      </c>
      <c r="J249" s="9" t="s">
        <v>145</v>
      </c>
    </row>
    <row r="250" spans="1:10">
      <c r="A250" s="5" t="s">
        <v>652</v>
      </c>
      <c r="B250" s="6" t="s">
        <v>1033</v>
      </c>
      <c r="C250" s="7">
        <v>46056</v>
      </c>
      <c r="D250" s="9" t="s">
        <v>270</v>
      </c>
      <c r="E250" s="95" t="s">
        <v>271</v>
      </c>
      <c r="F250" s="9" t="s">
        <v>242</v>
      </c>
      <c r="G250" s="9">
        <v>3</v>
      </c>
      <c r="H250" s="6" t="s">
        <v>688</v>
      </c>
      <c r="I250" s="9" t="s">
        <v>258</v>
      </c>
      <c r="J250" s="9" t="s">
        <v>145</v>
      </c>
    </row>
    <row r="251" spans="1:10">
      <c r="A251" s="5" t="s">
        <v>654</v>
      </c>
      <c r="B251" s="6" t="s">
        <v>1034</v>
      </c>
      <c r="C251" s="7">
        <v>46057</v>
      </c>
      <c r="D251" s="9" t="s">
        <v>261</v>
      </c>
      <c r="E251" s="95" t="s">
        <v>62</v>
      </c>
      <c r="F251" s="9" t="s">
        <v>242</v>
      </c>
      <c r="G251" s="9">
        <v>1</v>
      </c>
      <c r="H251" s="6" t="s">
        <v>1035</v>
      </c>
      <c r="I251" s="9" t="s">
        <v>514</v>
      </c>
      <c r="J251" s="9" t="s">
        <v>145</v>
      </c>
    </row>
    <row r="252" spans="1:10">
      <c r="A252" s="5" t="s">
        <v>655</v>
      </c>
      <c r="B252" s="6" t="s">
        <v>1036</v>
      </c>
      <c r="C252" s="7">
        <v>46057</v>
      </c>
      <c r="D252" s="9" t="s">
        <v>261</v>
      </c>
      <c r="E252" s="95" t="s">
        <v>64</v>
      </c>
      <c r="F252" s="9" t="s">
        <v>242</v>
      </c>
      <c r="G252" s="9">
        <v>2</v>
      </c>
      <c r="H252" s="6" t="s">
        <v>1037</v>
      </c>
      <c r="I252" s="9" t="s">
        <v>484</v>
      </c>
      <c r="J252" s="9" t="s">
        <v>145</v>
      </c>
    </row>
    <row r="253" spans="1:10">
      <c r="A253" s="5" t="s">
        <v>658</v>
      </c>
      <c r="B253" s="6" t="s">
        <v>1036</v>
      </c>
      <c r="C253" s="7">
        <v>46057</v>
      </c>
      <c r="D253" s="9" t="s">
        <v>270</v>
      </c>
      <c r="E253" s="95" t="s">
        <v>271</v>
      </c>
      <c r="F253" s="9" t="s">
        <v>242</v>
      </c>
      <c r="G253" s="9">
        <v>2</v>
      </c>
      <c r="H253" s="6" t="s">
        <v>1037</v>
      </c>
      <c r="I253" s="9" t="s">
        <v>484</v>
      </c>
      <c r="J253" s="9" t="s">
        <v>145</v>
      </c>
    </row>
    <row r="254" spans="1:10">
      <c r="A254" s="5" t="s">
        <v>660</v>
      </c>
      <c r="B254" s="6" t="s">
        <v>1038</v>
      </c>
      <c r="C254" s="7">
        <v>46057</v>
      </c>
      <c r="D254" s="9" t="s">
        <v>261</v>
      </c>
      <c r="E254" s="95" t="s">
        <v>62</v>
      </c>
      <c r="F254" s="9" t="s">
        <v>242</v>
      </c>
      <c r="G254" s="9">
        <v>6</v>
      </c>
      <c r="H254" s="6" t="s">
        <v>722</v>
      </c>
      <c r="I254" s="9" t="s">
        <v>275</v>
      </c>
      <c r="J254" s="9" t="s">
        <v>145</v>
      </c>
    </row>
    <row r="255" spans="1:10">
      <c r="A255" s="5" t="s">
        <v>661</v>
      </c>
      <c r="B255" s="6" t="s">
        <v>1039</v>
      </c>
      <c r="C255" s="7">
        <v>46057</v>
      </c>
      <c r="D255" s="9" t="s">
        <v>261</v>
      </c>
      <c r="E255" s="95" t="s">
        <v>62</v>
      </c>
      <c r="F255" s="9" t="s">
        <v>242</v>
      </c>
      <c r="G255" s="9">
        <v>6</v>
      </c>
      <c r="H255" s="6" t="s">
        <v>722</v>
      </c>
      <c r="I255" s="9" t="s">
        <v>275</v>
      </c>
      <c r="J255" s="9" t="s">
        <v>145</v>
      </c>
    </row>
    <row r="256" spans="1:10">
      <c r="A256" s="5" t="s">
        <v>662</v>
      </c>
      <c r="B256" s="6" t="s">
        <v>1040</v>
      </c>
      <c r="C256" s="7">
        <v>46057</v>
      </c>
      <c r="D256" s="9" t="s">
        <v>261</v>
      </c>
      <c r="E256" s="95" t="s">
        <v>62</v>
      </c>
      <c r="F256" s="9" t="s">
        <v>242</v>
      </c>
      <c r="G256" s="9">
        <v>12</v>
      </c>
      <c r="H256" s="6" t="s">
        <v>1041</v>
      </c>
      <c r="I256" s="9" t="s">
        <v>253</v>
      </c>
      <c r="J256" s="9" t="s">
        <v>145</v>
      </c>
    </row>
    <row r="257" spans="1:10">
      <c r="A257" s="5" t="s">
        <v>664</v>
      </c>
      <c r="B257" s="6" t="s">
        <v>1042</v>
      </c>
      <c r="C257" s="7">
        <v>46057</v>
      </c>
      <c r="D257" s="9" t="s">
        <v>500</v>
      </c>
      <c r="E257" s="95" t="s">
        <v>4</v>
      </c>
      <c r="F257" s="9" t="s">
        <v>242</v>
      </c>
      <c r="G257" s="9">
        <v>1</v>
      </c>
      <c r="H257" s="6" t="s">
        <v>1043</v>
      </c>
      <c r="I257" s="9" t="s">
        <v>415</v>
      </c>
      <c r="J257" s="9" t="s">
        <v>145</v>
      </c>
    </row>
    <row r="258" spans="1:10">
      <c r="A258" s="5" t="s">
        <v>668</v>
      </c>
      <c r="B258" s="6" t="s">
        <v>1042</v>
      </c>
      <c r="C258" s="7">
        <v>46057</v>
      </c>
      <c r="D258" s="9" t="s">
        <v>500</v>
      </c>
      <c r="E258" s="95" t="s">
        <v>3</v>
      </c>
      <c r="F258" s="9" t="s">
        <v>242</v>
      </c>
      <c r="G258" s="9">
        <v>1</v>
      </c>
      <c r="H258" s="6" t="s">
        <v>1043</v>
      </c>
      <c r="I258" s="9" t="s">
        <v>415</v>
      </c>
      <c r="J258" s="9" t="s">
        <v>145</v>
      </c>
    </row>
    <row r="259" spans="1:10">
      <c r="A259" s="5" t="s">
        <v>669</v>
      </c>
      <c r="B259" s="6" t="s">
        <v>1042</v>
      </c>
      <c r="C259" s="7">
        <v>46057</v>
      </c>
      <c r="D259" s="9" t="s">
        <v>261</v>
      </c>
      <c r="E259" s="95" t="s">
        <v>64</v>
      </c>
      <c r="F259" s="9" t="s">
        <v>242</v>
      </c>
      <c r="G259" s="9">
        <v>6</v>
      </c>
      <c r="H259" s="6" t="s">
        <v>1043</v>
      </c>
      <c r="I259" s="9" t="s">
        <v>415</v>
      </c>
      <c r="J259" s="9" t="s">
        <v>145</v>
      </c>
    </row>
    <row r="260" spans="1:10">
      <c r="A260" s="5" t="s">
        <v>670</v>
      </c>
      <c r="B260" s="6" t="s">
        <v>1042</v>
      </c>
      <c r="C260" s="7">
        <v>46057</v>
      </c>
      <c r="D260" s="9" t="s">
        <v>270</v>
      </c>
      <c r="E260" s="95" t="s">
        <v>271</v>
      </c>
      <c r="F260" s="9" t="s">
        <v>242</v>
      </c>
      <c r="G260" s="9">
        <v>6</v>
      </c>
      <c r="H260" s="6" t="s">
        <v>1043</v>
      </c>
      <c r="I260" s="9" t="s">
        <v>415</v>
      </c>
      <c r="J260" s="9" t="s">
        <v>145</v>
      </c>
    </row>
    <row r="261" spans="1:10">
      <c r="A261" s="5" t="s">
        <v>674</v>
      </c>
      <c r="B261" s="6" t="s">
        <v>1044</v>
      </c>
      <c r="C261" s="7">
        <v>46058</v>
      </c>
      <c r="D261" s="9" t="s">
        <v>261</v>
      </c>
      <c r="E261" s="95" t="s">
        <v>62</v>
      </c>
      <c r="F261" s="9" t="s">
        <v>242</v>
      </c>
      <c r="G261" s="9">
        <v>2</v>
      </c>
      <c r="H261" s="6" t="s">
        <v>1045</v>
      </c>
      <c r="I261" s="9" t="s">
        <v>484</v>
      </c>
      <c r="J261" s="9" t="s">
        <v>145</v>
      </c>
    </row>
    <row r="262" spans="1:10">
      <c r="A262" s="5" t="s">
        <v>675</v>
      </c>
      <c r="B262" s="6" t="s">
        <v>1044</v>
      </c>
      <c r="C262" s="7">
        <v>46058</v>
      </c>
      <c r="D262" s="9" t="s">
        <v>696</v>
      </c>
      <c r="E262" s="95" t="s">
        <v>86</v>
      </c>
      <c r="F262" s="9" t="s">
        <v>242</v>
      </c>
      <c r="G262" s="9">
        <v>35</v>
      </c>
      <c r="H262" s="6" t="s">
        <v>1045</v>
      </c>
      <c r="I262" s="9" t="s">
        <v>484</v>
      </c>
      <c r="J262" s="9" t="s">
        <v>145</v>
      </c>
    </row>
    <row r="263" spans="1:10">
      <c r="A263" s="5" t="s">
        <v>676</v>
      </c>
      <c r="B263" s="6" t="s">
        <v>1046</v>
      </c>
      <c r="C263" s="7">
        <v>46058</v>
      </c>
      <c r="D263" s="9" t="s">
        <v>261</v>
      </c>
      <c r="E263" s="95" t="s">
        <v>62</v>
      </c>
      <c r="F263" s="9" t="s">
        <v>242</v>
      </c>
      <c r="G263" s="9">
        <v>16</v>
      </c>
      <c r="H263" s="6" t="s">
        <v>722</v>
      </c>
      <c r="I263" s="9" t="s">
        <v>357</v>
      </c>
      <c r="J263" s="9" t="s">
        <v>145</v>
      </c>
    </row>
    <row r="264" spans="1:10">
      <c r="A264" s="5" t="s">
        <v>677</v>
      </c>
      <c r="B264" s="6" t="s">
        <v>1047</v>
      </c>
      <c r="C264" s="7">
        <v>46058</v>
      </c>
      <c r="D264" s="9" t="s">
        <v>261</v>
      </c>
      <c r="E264" s="95" t="s">
        <v>62</v>
      </c>
      <c r="F264" s="9" t="s">
        <v>242</v>
      </c>
      <c r="G264" s="9">
        <v>2</v>
      </c>
      <c r="H264" s="6" t="s">
        <v>1037</v>
      </c>
      <c r="I264" s="9" t="s">
        <v>628</v>
      </c>
      <c r="J264" s="9" t="s">
        <v>145</v>
      </c>
    </row>
    <row r="265" spans="1:10">
      <c r="A265" s="5" t="s">
        <v>678</v>
      </c>
      <c r="B265" s="6" t="s">
        <v>1048</v>
      </c>
      <c r="C265" s="7">
        <v>46058</v>
      </c>
      <c r="D265" s="9" t="s">
        <v>261</v>
      </c>
      <c r="E265" s="95" t="s">
        <v>62</v>
      </c>
      <c r="F265" s="9" t="s">
        <v>242</v>
      </c>
      <c r="G265" s="9">
        <v>4</v>
      </c>
      <c r="H265" s="6" t="s">
        <v>722</v>
      </c>
      <c r="I265" s="9" t="s">
        <v>609</v>
      </c>
      <c r="J265" s="9" t="s">
        <v>145</v>
      </c>
    </row>
    <row r="266" spans="1:10">
      <c r="A266" s="5" t="s">
        <v>679</v>
      </c>
      <c r="B266" s="6" t="s">
        <v>1049</v>
      </c>
      <c r="C266" s="7">
        <v>46058</v>
      </c>
      <c r="D266" s="9" t="s">
        <v>1024</v>
      </c>
      <c r="E266" s="95" t="s">
        <v>84</v>
      </c>
      <c r="F266" s="9" t="s">
        <v>242</v>
      </c>
      <c r="G266" s="9">
        <v>100</v>
      </c>
      <c r="H266" s="6" t="s">
        <v>1050</v>
      </c>
      <c r="I266" s="9" t="s">
        <v>415</v>
      </c>
      <c r="J266" s="9" t="s">
        <v>145</v>
      </c>
    </row>
    <row r="267" spans="1:10">
      <c r="A267" s="5" t="s">
        <v>680</v>
      </c>
      <c r="B267" s="6" t="s">
        <v>1049</v>
      </c>
      <c r="C267" s="7">
        <v>46058</v>
      </c>
      <c r="D267" s="9" t="s">
        <v>503</v>
      </c>
      <c r="E267" s="95" t="s">
        <v>74</v>
      </c>
      <c r="F267" s="9" t="s">
        <v>242</v>
      </c>
      <c r="G267" s="9">
        <v>2</v>
      </c>
      <c r="H267" s="6" t="s">
        <v>1050</v>
      </c>
      <c r="I267" s="9" t="s">
        <v>415</v>
      </c>
      <c r="J267" s="9" t="s">
        <v>145</v>
      </c>
    </row>
    <row r="268" spans="1:10">
      <c r="A268" s="5" t="s">
        <v>682</v>
      </c>
      <c r="B268" s="6" t="s">
        <v>1049</v>
      </c>
      <c r="C268" s="7">
        <v>46058</v>
      </c>
      <c r="D268" s="9" t="s">
        <v>503</v>
      </c>
      <c r="E268" s="95" t="s">
        <v>78</v>
      </c>
      <c r="F268" s="9" t="s">
        <v>242</v>
      </c>
      <c r="G268" s="9">
        <v>2</v>
      </c>
      <c r="H268" s="6" t="s">
        <v>1050</v>
      </c>
      <c r="I268" s="9" t="s">
        <v>415</v>
      </c>
      <c r="J268" s="9" t="s">
        <v>145</v>
      </c>
    </row>
    <row r="269" spans="1:10">
      <c r="A269" s="5" t="s">
        <v>683</v>
      </c>
      <c r="B269" s="6" t="s">
        <v>1049</v>
      </c>
      <c r="C269" s="7">
        <v>46058</v>
      </c>
      <c r="D269" s="9" t="s">
        <v>503</v>
      </c>
      <c r="E269" s="95" t="s">
        <v>76</v>
      </c>
      <c r="F269" s="9" t="s">
        <v>242</v>
      </c>
      <c r="G269" s="9">
        <v>4</v>
      </c>
      <c r="H269" s="6" t="s">
        <v>1050</v>
      </c>
      <c r="I269" s="9" t="s">
        <v>415</v>
      </c>
      <c r="J269" s="9" t="s">
        <v>145</v>
      </c>
    </row>
    <row r="270" spans="1:10">
      <c r="A270" s="5" t="s">
        <v>684</v>
      </c>
      <c r="B270" s="6" t="s">
        <v>1049</v>
      </c>
      <c r="C270" s="7">
        <v>46058</v>
      </c>
      <c r="D270" s="9" t="s">
        <v>261</v>
      </c>
      <c r="E270" s="95" t="s">
        <v>62</v>
      </c>
      <c r="F270" s="9" t="s">
        <v>242</v>
      </c>
      <c r="G270" s="9">
        <v>4</v>
      </c>
      <c r="H270" s="6" t="s">
        <v>1050</v>
      </c>
      <c r="I270" s="9" t="s">
        <v>415</v>
      </c>
      <c r="J270" s="9" t="s">
        <v>145</v>
      </c>
    </row>
    <row r="271" spans="1:10">
      <c r="A271" s="5" t="s">
        <v>685</v>
      </c>
      <c r="B271" s="6" t="s">
        <v>1051</v>
      </c>
      <c r="C271" s="7">
        <v>46058</v>
      </c>
      <c r="D271" s="9" t="s">
        <v>261</v>
      </c>
      <c r="E271" s="95" t="s">
        <v>62</v>
      </c>
      <c r="F271" s="9" t="s">
        <v>242</v>
      </c>
      <c r="G271" s="9">
        <v>3</v>
      </c>
      <c r="H271" s="6" t="s">
        <v>722</v>
      </c>
      <c r="I271" s="9" t="s">
        <v>609</v>
      </c>
      <c r="J271" s="9" t="s">
        <v>145</v>
      </c>
    </row>
    <row r="272" spans="1:10">
      <c r="A272" s="5" t="s">
        <v>686</v>
      </c>
      <c r="B272" s="6" t="s">
        <v>1052</v>
      </c>
      <c r="C272" s="7">
        <v>46059</v>
      </c>
      <c r="D272" s="9" t="s">
        <v>500</v>
      </c>
      <c r="E272" s="95" t="s">
        <v>54</v>
      </c>
      <c r="F272" s="9" t="s">
        <v>242</v>
      </c>
      <c r="G272" s="9">
        <v>1</v>
      </c>
      <c r="H272" s="6" t="s">
        <v>759</v>
      </c>
      <c r="I272" s="9" t="s">
        <v>363</v>
      </c>
      <c r="J272" s="9" t="s">
        <v>145</v>
      </c>
    </row>
    <row r="273" spans="1:10">
      <c r="A273" s="5" t="s">
        <v>689</v>
      </c>
      <c r="B273" s="6" t="s">
        <v>1052</v>
      </c>
      <c r="C273" s="7">
        <v>46059</v>
      </c>
      <c r="D273" s="9" t="s">
        <v>261</v>
      </c>
      <c r="E273" s="95" t="s">
        <v>62</v>
      </c>
      <c r="F273" s="9" t="s">
        <v>242</v>
      </c>
      <c r="G273" s="9">
        <v>1</v>
      </c>
      <c r="H273" s="6" t="s">
        <v>759</v>
      </c>
      <c r="I273" s="9" t="s">
        <v>363</v>
      </c>
      <c r="J273" s="9" t="s">
        <v>145</v>
      </c>
    </row>
    <row r="274" spans="1:10">
      <c r="A274" s="5" t="s">
        <v>690</v>
      </c>
      <c r="B274" s="6" t="s">
        <v>1053</v>
      </c>
      <c r="C274" s="7">
        <v>46059</v>
      </c>
      <c r="D274" s="9" t="s">
        <v>261</v>
      </c>
      <c r="E274" s="95" t="s">
        <v>62</v>
      </c>
      <c r="F274" s="9" t="s">
        <v>242</v>
      </c>
      <c r="G274" s="9">
        <v>9</v>
      </c>
      <c r="H274" s="6" t="s">
        <v>722</v>
      </c>
      <c r="I274" s="9" t="s">
        <v>258</v>
      </c>
      <c r="J274" s="9" t="s">
        <v>145</v>
      </c>
    </row>
    <row r="275" spans="1:10">
      <c r="A275" s="5" t="s">
        <v>691</v>
      </c>
      <c r="B275" s="6" t="s">
        <v>1054</v>
      </c>
      <c r="C275" s="7">
        <v>46059</v>
      </c>
      <c r="D275" s="9" t="s">
        <v>261</v>
      </c>
      <c r="E275" s="95" t="s">
        <v>62</v>
      </c>
      <c r="F275" s="9" t="s">
        <v>242</v>
      </c>
      <c r="G275" s="9">
        <v>5</v>
      </c>
      <c r="H275" s="6" t="s">
        <v>1055</v>
      </c>
      <c r="I275" s="9" t="s">
        <v>258</v>
      </c>
      <c r="J275" s="9" t="s">
        <v>145</v>
      </c>
    </row>
    <row r="276" spans="1:10">
      <c r="A276" s="5" t="s">
        <v>694</v>
      </c>
      <c r="B276" s="6" t="s">
        <v>1056</v>
      </c>
      <c r="C276" s="7">
        <v>46059</v>
      </c>
      <c r="D276" s="9" t="s">
        <v>711</v>
      </c>
      <c r="E276" s="95" t="s">
        <v>111</v>
      </c>
      <c r="F276" s="9" t="s">
        <v>242</v>
      </c>
      <c r="G276" s="9">
        <v>1</v>
      </c>
      <c r="H276" s="6" t="s">
        <v>1057</v>
      </c>
      <c r="I276" s="9" t="s">
        <v>258</v>
      </c>
      <c r="J276" s="9" t="s">
        <v>145</v>
      </c>
    </row>
    <row r="277" spans="1:10">
      <c r="A277" s="5" t="s">
        <v>698</v>
      </c>
      <c r="B277" s="6" t="s">
        <v>1056</v>
      </c>
      <c r="C277" s="7">
        <v>46059</v>
      </c>
      <c r="D277" s="9" t="s">
        <v>714</v>
      </c>
      <c r="E277" s="95" t="s">
        <v>715</v>
      </c>
      <c r="F277" s="9" t="s">
        <v>242</v>
      </c>
      <c r="G277" s="9">
        <v>1</v>
      </c>
      <c r="H277" s="6" t="s">
        <v>1057</v>
      </c>
      <c r="I277" s="9" t="s">
        <v>258</v>
      </c>
      <c r="J277" s="9" t="s">
        <v>145</v>
      </c>
    </row>
    <row r="278" spans="1:10">
      <c r="A278" s="5" t="s">
        <v>699</v>
      </c>
      <c r="B278" s="6" t="s">
        <v>1056</v>
      </c>
      <c r="C278" s="7">
        <v>46059</v>
      </c>
      <c r="D278" s="9" t="s">
        <v>503</v>
      </c>
      <c r="E278" s="95" t="s">
        <v>75</v>
      </c>
      <c r="F278" s="9" t="s">
        <v>242</v>
      </c>
      <c r="G278" s="9">
        <v>2</v>
      </c>
      <c r="H278" s="6" t="s">
        <v>1057</v>
      </c>
      <c r="I278" s="9" t="s">
        <v>258</v>
      </c>
      <c r="J278" s="9" t="s">
        <v>145</v>
      </c>
    </row>
    <row r="279" spans="1:10">
      <c r="A279" s="5" t="s">
        <v>701</v>
      </c>
      <c r="B279" s="6" t="s">
        <v>1056</v>
      </c>
      <c r="C279" s="7">
        <v>46059</v>
      </c>
      <c r="D279" s="9" t="s">
        <v>270</v>
      </c>
      <c r="E279" s="95" t="s">
        <v>271</v>
      </c>
      <c r="F279" s="9" t="s">
        <v>242</v>
      </c>
      <c r="G279" s="9">
        <v>1</v>
      </c>
      <c r="H279" s="6" t="s">
        <v>1057</v>
      </c>
      <c r="I279" s="9" t="s">
        <v>258</v>
      </c>
      <c r="J279" s="9" t="s">
        <v>145</v>
      </c>
    </row>
    <row r="280" spans="1:10">
      <c r="A280" s="5" t="s">
        <v>703</v>
      </c>
      <c r="B280" s="6" t="s">
        <v>1058</v>
      </c>
      <c r="C280" s="7">
        <v>46062</v>
      </c>
      <c r="D280" s="9" t="s">
        <v>500</v>
      </c>
      <c r="E280" s="95" t="s">
        <v>53</v>
      </c>
      <c r="F280" s="9" t="s">
        <v>242</v>
      </c>
      <c r="G280" s="9">
        <v>1</v>
      </c>
      <c r="H280" s="6" t="s">
        <v>1059</v>
      </c>
      <c r="I280" s="9" t="s">
        <v>357</v>
      </c>
      <c r="J280" s="9" t="s">
        <v>145</v>
      </c>
    </row>
    <row r="281" spans="1:10">
      <c r="A281" s="5" t="s">
        <v>704</v>
      </c>
      <c r="B281" s="6" t="s">
        <v>1058</v>
      </c>
      <c r="C281" s="7">
        <v>46062</v>
      </c>
      <c r="D281" s="9" t="s">
        <v>261</v>
      </c>
      <c r="E281" s="95" t="s">
        <v>753</v>
      </c>
      <c r="F281" s="9" t="s">
        <v>242</v>
      </c>
      <c r="G281" s="9">
        <v>1</v>
      </c>
      <c r="H281" s="6" t="s">
        <v>1060</v>
      </c>
      <c r="I281" s="9" t="s">
        <v>357</v>
      </c>
      <c r="J281" s="9" t="s">
        <v>145</v>
      </c>
    </row>
    <row r="282" spans="1:10">
      <c r="A282" s="5" t="s">
        <v>705</v>
      </c>
      <c r="B282" s="6" t="s">
        <v>1061</v>
      </c>
      <c r="C282" s="7">
        <v>46062</v>
      </c>
      <c r="D282" s="9" t="s">
        <v>261</v>
      </c>
      <c r="E282" s="95" t="s">
        <v>62</v>
      </c>
      <c r="F282" s="9" t="s">
        <v>242</v>
      </c>
      <c r="G282" s="9">
        <v>5</v>
      </c>
      <c r="H282" s="6" t="s">
        <v>722</v>
      </c>
      <c r="I282" s="9" t="s">
        <v>616</v>
      </c>
      <c r="J282" s="9" t="s">
        <v>145</v>
      </c>
    </row>
    <row r="283" spans="1:10">
      <c r="A283" s="5" t="s">
        <v>706</v>
      </c>
      <c r="B283" s="6" t="s">
        <v>1062</v>
      </c>
      <c r="C283" s="7">
        <v>46062</v>
      </c>
      <c r="D283" s="9" t="s">
        <v>261</v>
      </c>
      <c r="E283" s="95" t="s">
        <v>62</v>
      </c>
      <c r="F283" s="9" t="s">
        <v>242</v>
      </c>
      <c r="G283" s="9">
        <v>5</v>
      </c>
      <c r="H283" s="6" t="s">
        <v>722</v>
      </c>
      <c r="I283" s="9" t="s">
        <v>609</v>
      </c>
      <c r="J283" s="9" t="s">
        <v>145</v>
      </c>
    </row>
    <row r="284" spans="1:10">
      <c r="A284" s="5" t="s">
        <v>708</v>
      </c>
      <c r="B284" s="6" t="s">
        <v>1063</v>
      </c>
      <c r="C284" s="7">
        <v>46063</v>
      </c>
      <c r="D284" s="9" t="s">
        <v>261</v>
      </c>
      <c r="E284" s="95" t="s">
        <v>62</v>
      </c>
      <c r="F284" s="9" t="s">
        <v>242</v>
      </c>
      <c r="G284" s="9">
        <v>2</v>
      </c>
      <c r="H284" s="6" t="s">
        <v>722</v>
      </c>
      <c r="I284" s="9" t="s">
        <v>514</v>
      </c>
      <c r="J284" s="9" t="s">
        <v>145</v>
      </c>
    </row>
    <row r="285" spans="1:10">
      <c r="A285" s="5" t="s">
        <v>709</v>
      </c>
      <c r="B285" s="6" t="s">
        <v>1064</v>
      </c>
      <c r="C285" s="7">
        <v>46063</v>
      </c>
      <c r="D285" s="9" t="s">
        <v>500</v>
      </c>
      <c r="E285" s="95" t="s">
        <v>4</v>
      </c>
      <c r="F285" s="9" t="s">
        <v>242</v>
      </c>
      <c r="G285" s="9">
        <v>1</v>
      </c>
      <c r="H285" s="6" t="s">
        <v>1065</v>
      </c>
      <c r="I285" s="9" t="s">
        <v>628</v>
      </c>
      <c r="J285" s="9" t="s">
        <v>145</v>
      </c>
    </row>
    <row r="286" spans="1:10">
      <c r="A286" s="5" t="s">
        <v>713</v>
      </c>
      <c r="B286" s="6" t="s">
        <v>1064</v>
      </c>
      <c r="C286" s="7">
        <v>46063</v>
      </c>
      <c r="D286" s="9" t="s">
        <v>261</v>
      </c>
      <c r="E286" s="95" t="s">
        <v>64</v>
      </c>
      <c r="F286" s="9" t="s">
        <v>242</v>
      </c>
      <c r="G286" s="9">
        <v>5</v>
      </c>
      <c r="H286" s="6" t="s">
        <v>1065</v>
      </c>
      <c r="I286" s="9" t="s">
        <v>628</v>
      </c>
      <c r="J286" s="9" t="s">
        <v>145</v>
      </c>
    </row>
    <row r="287" spans="1:10">
      <c r="A287" s="5" t="s">
        <v>716</v>
      </c>
      <c r="B287" s="6" t="s">
        <v>1064</v>
      </c>
      <c r="C287" s="7">
        <v>46063</v>
      </c>
      <c r="D287" s="9" t="s">
        <v>270</v>
      </c>
      <c r="E287" s="95" t="s">
        <v>271</v>
      </c>
      <c r="F287" s="9" t="s">
        <v>242</v>
      </c>
      <c r="G287" s="9">
        <v>5</v>
      </c>
      <c r="H287" s="6" t="s">
        <v>1065</v>
      </c>
      <c r="I287" s="9" t="s">
        <v>628</v>
      </c>
      <c r="J287" s="9" t="s">
        <v>145</v>
      </c>
    </row>
    <row r="288" spans="1:10">
      <c r="A288" s="5" t="s">
        <v>718</v>
      </c>
      <c r="B288" s="6" t="s">
        <v>1066</v>
      </c>
      <c r="C288" s="7">
        <v>46063</v>
      </c>
      <c r="D288" s="9" t="s">
        <v>261</v>
      </c>
      <c r="E288" s="95" t="s">
        <v>62</v>
      </c>
      <c r="F288" s="9" t="s">
        <v>242</v>
      </c>
      <c r="G288" s="9">
        <v>7</v>
      </c>
      <c r="H288" s="6" t="s">
        <v>722</v>
      </c>
      <c r="I288" s="9" t="s">
        <v>275</v>
      </c>
      <c r="J288" s="9" t="s">
        <v>145</v>
      </c>
    </row>
    <row r="289" spans="1:10">
      <c r="A289" s="5" t="s">
        <v>719</v>
      </c>
      <c r="B289" s="6" t="s">
        <v>1067</v>
      </c>
      <c r="C289" s="7">
        <v>46063</v>
      </c>
      <c r="D289" s="9" t="s">
        <v>261</v>
      </c>
      <c r="E289" s="95" t="s">
        <v>62</v>
      </c>
      <c r="F289" s="9" t="s">
        <v>242</v>
      </c>
      <c r="G289" s="9">
        <v>3</v>
      </c>
      <c r="H289" s="6" t="s">
        <v>722</v>
      </c>
      <c r="I289" s="9" t="s">
        <v>514</v>
      </c>
      <c r="J289" s="9" t="s">
        <v>145</v>
      </c>
    </row>
    <row r="290" spans="1:10">
      <c r="A290" s="5" t="s">
        <v>720</v>
      </c>
      <c r="B290" s="6" t="s">
        <v>1068</v>
      </c>
      <c r="C290" s="7">
        <v>46063</v>
      </c>
      <c r="D290" s="9" t="s">
        <v>500</v>
      </c>
      <c r="E290" s="95" t="s">
        <v>54</v>
      </c>
      <c r="F290" s="9" t="s">
        <v>242</v>
      </c>
      <c r="G290" s="9">
        <v>1</v>
      </c>
      <c r="H290" s="6" t="s">
        <v>876</v>
      </c>
      <c r="I290" s="9" t="s">
        <v>258</v>
      </c>
      <c r="J290" s="9" t="s">
        <v>145</v>
      </c>
    </row>
    <row r="291" spans="1:10">
      <c r="A291" s="5" t="s">
        <v>723</v>
      </c>
      <c r="B291" s="6" t="s">
        <v>1068</v>
      </c>
      <c r="C291" s="7">
        <v>46063</v>
      </c>
      <c r="D291" s="9" t="s">
        <v>261</v>
      </c>
      <c r="E291" s="95" t="s">
        <v>62</v>
      </c>
      <c r="F291" s="9" t="s">
        <v>242</v>
      </c>
      <c r="G291" s="9">
        <v>2</v>
      </c>
      <c r="H291" s="6" t="s">
        <v>876</v>
      </c>
      <c r="I291" s="9" t="s">
        <v>258</v>
      </c>
      <c r="J291" s="9" t="s">
        <v>145</v>
      </c>
    </row>
    <row r="292" spans="1:10">
      <c r="A292" s="5" t="s">
        <v>725</v>
      </c>
      <c r="B292" s="6" t="s">
        <v>1069</v>
      </c>
      <c r="C292" s="7">
        <v>46063</v>
      </c>
      <c r="D292" s="9" t="s">
        <v>500</v>
      </c>
      <c r="E292" s="95" t="s">
        <v>3</v>
      </c>
      <c r="F292" s="9" t="s">
        <v>242</v>
      </c>
      <c r="G292" s="9">
        <v>1</v>
      </c>
      <c r="H292" s="6" t="s">
        <v>1043</v>
      </c>
      <c r="I292" s="9" t="s">
        <v>415</v>
      </c>
      <c r="J292" s="9" t="s">
        <v>145</v>
      </c>
    </row>
    <row r="293" spans="1:10">
      <c r="A293" s="5" t="s">
        <v>727</v>
      </c>
      <c r="B293" s="6" t="s">
        <v>1069</v>
      </c>
      <c r="C293" s="7">
        <v>46063</v>
      </c>
      <c r="D293" s="9" t="s">
        <v>500</v>
      </c>
      <c r="E293" s="95" t="s">
        <v>4</v>
      </c>
      <c r="F293" s="9" t="s">
        <v>242</v>
      </c>
      <c r="G293" s="9">
        <v>1</v>
      </c>
      <c r="H293" s="6" t="s">
        <v>1043</v>
      </c>
      <c r="I293" s="9" t="s">
        <v>415</v>
      </c>
      <c r="J293" s="9" t="s">
        <v>145</v>
      </c>
    </row>
    <row r="294" spans="1:10">
      <c r="A294" s="5" t="s">
        <v>728</v>
      </c>
      <c r="B294" s="6" t="s">
        <v>1069</v>
      </c>
      <c r="C294" s="7">
        <v>46063</v>
      </c>
      <c r="D294" s="9" t="s">
        <v>261</v>
      </c>
      <c r="E294" s="95" t="s">
        <v>64</v>
      </c>
      <c r="F294" s="9" t="s">
        <v>242</v>
      </c>
      <c r="G294" s="9">
        <v>5</v>
      </c>
      <c r="H294" s="6" t="s">
        <v>1043</v>
      </c>
      <c r="I294" s="9" t="s">
        <v>415</v>
      </c>
      <c r="J294" s="9" t="s">
        <v>145</v>
      </c>
    </row>
    <row r="295" spans="1:10">
      <c r="A295" s="5" t="s">
        <v>730</v>
      </c>
      <c r="B295" s="6" t="s">
        <v>1069</v>
      </c>
      <c r="C295" s="7">
        <v>46063</v>
      </c>
      <c r="D295" s="9" t="s">
        <v>270</v>
      </c>
      <c r="E295" s="95" t="s">
        <v>271</v>
      </c>
      <c r="F295" s="9" t="s">
        <v>242</v>
      </c>
      <c r="G295" s="9">
        <v>5</v>
      </c>
      <c r="H295" s="6" t="s">
        <v>1043</v>
      </c>
      <c r="I295" s="9" t="s">
        <v>415</v>
      </c>
      <c r="J295" s="9" t="s">
        <v>145</v>
      </c>
    </row>
    <row r="296" spans="1:10">
      <c r="A296" s="5" t="s">
        <v>733</v>
      </c>
      <c r="B296" s="6" t="s">
        <v>1069</v>
      </c>
      <c r="C296" s="7">
        <v>46063</v>
      </c>
      <c r="D296" s="9" t="s">
        <v>261</v>
      </c>
      <c r="E296" s="95" t="s">
        <v>62</v>
      </c>
      <c r="F296" s="9" t="s">
        <v>242</v>
      </c>
      <c r="G296" s="9">
        <v>7</v>
      </c>
      <c r="H296" s="6" t="s">
        <v>1043</v>
      </c>
      <c r="I296" s="9" t="s">
        <v>415</v>
      </c>
      <c r="J296" s="9" t="s">
        <v>145</v>
      </c>
    </row>
    <row r="297" spans="1:10">
      <c r="A297" s="5" t="s">
        <v>736</v>
      </c>
      <c r="B297" s="6" t="s">
        <v>1070</v>
      </c>
      <c r="C297" s="7">
        <v>46063</v>
      </c>
      <c r="D297" s="9" t="s">
        <v>500</v>
      </c>
      <c r="E297" s="95" t="s">
        <v>54</v>
      </c>
      <c r="F297" s="9" t="s">
        <v>242</v>
      </c>
      <c r="G297" s="9">
        <v>1</v>
      </c>
      <c r="H297" s="6" t="s">
        <v>1060</v>
      </c>
      <c r="I297" s="9" t="s">
        <v>616</v>
      </c>
      <c r="J297" s="9" t="s">
        <v>145</v>
      </c>
    </row>
    <row r="298" spans="1:10">
      <c r="A298" s="5" t="s">
        <v>738</v>
      </c>
      <c r="B298" s="6" t="s">
        <v>1071</v>
      </c>
      <c r="C298" s="7">
        <v>46063</v>
      </c>
      <c r="D298" s="9" t="s">
        <v>261</v>
      </c>
      <c r="E298" s="95" t="s">
        <v>62</v>
      </c>
      <c r="F298" s="9" t="s">
        <v>242</v>
      </c>
      <c r="G298" s="9">
        <v>2</v>
      </c>
      <c r="H298" s="6" t="s">
        <v>1072</v>
      </c>
      <c r="I298" s="9" t="s">
        <v>609</v>
      </c>
      <c r="J298" s="9" t="s">
        <v>145</v>
      </c>
    </row>
    <row r="299" spans="1:10">
      <c r="A299" s="5" t="s">
        <v>740</v>
      </c>
      <c r="B299" s="6" t="s">
        <v>1073</v>
      </c>
      <c r="C299" s="7">
        <v>46063</v>
      </c>
      <c r="D299" s="9" t="s">
        <v>261</v>
      </c>
      <c r="E299" s="95" t="s">
        <v>62</v>
      </c>
      <c r="F299" s="9" t="s">
        <v>242</v>
      </c>
      <c r="G299" s="9">
        <v>4</v>
      </c>
      <c r="H299" s="6" t="s">
        <v>1072</v>
      </c>
      <c r="I299" s="9" t="s">
        <v>609</v>
      </c>
      <c r="J299" s="9" t="s">
        <v>145</v>
      </c>
    </row>
    <row r="300" spans="1:10">
      <c r="A300" s="5" t="s">
        <v>743</v>
      </c>
      <c r="B300" s="6" t="s">
        <v>1074</v>
      </c>
      <c r="C300" s="7">
        <v>46064</v>
      </c>
      <c r="D300" s="9" t="s">
        <v>261</v>
      </c>
      <c r="E300" s="95" t="s">
        <v>62</v>
      </c>
      <c r="F300" s="9" t="s">
        <v>242</v>
      </c>
      <c r="G300" s="9">
        <v>6</v>
      </c>
      <c r="H300" s="6" t="s">
        <v>722</v>
      </c>
      <c r="I300" s="9" t="s">
        <v>275</v>
      </c>
      <c r="J300" s="9" t="s">
        <v>145</v>
      </c>
    </row>
    <row r="301" spans="1:10">
      <c r="A301" s="5" t="s">
        <v>744</v>
      </c>
      <c r="B301" s="6" t="s">
        <v>1075</v>
      </c>
      <c r="C301" s="7">
        <v>46064</v>
      </c>
      <c r="D301" s="9" t="s">
        <v>261</v>
      </c>
      <c r="E301" s="95" t="s">
        <v>62</v>
      </c>
      <c r="F301" s="9" t="s">
        <v>242</v>
      </c>
      <c r="G301" s="9">
        <v>2</v>
      </c>
      <c r="H301" s="6" t="s">
        <v>722</v>
      </c>
      <c r="I301" s="9" t="s">
        <v>609</v>
      </c>
      <c r="J301" s="9" t="s">
        <v>145</v>
      </c>
    </row>
    <row r="302" spans="1:10">
      <c r="A302" s="5" t="s">
        <v>745</v>
      </c>
      <c r="B302" s="6" t="s">
        <v>1076</v>
      </c>
      <c r="C302" s="7">
        <v>46064</v>
      </c>
      <c r="D302" s="9" t="s">
        <v>261</v>
      </c>
      <c r="E302" s="95" t="s">
        <v>62</v>
      </c>
      <c r="F302" s="9" t="s">
        <v>242</v>
      </c>
      <c r="G302" s="9">
        <v>4</v>
      </c>
      <c r="H302" s="6" t="s">
        <v>1072</v>
      </c>
      <c r="I302" s="9" t="s">
        <v>628</v>
      </c>
      <c r="J302" s="9" t="s">
        <v>145</v>
      </c>
    </row>
    <row r="303" spans="1:10">
      <c r="A303" s="5" t="s">
        <v>746</v>
      </c>
      <c r="B303" s="6" t="s">
        <v>1077</v>
      </c>
      <c r="C303" s="7">
        <v>46064</v>
      </c>
      <c r="D303" s="9" t="s">
        <v>500</v>
      </c>
      <c r="E303" s="95" t="s">
        <v>51</v>
      </c>
      <c r="F303" s="9" t="s">
        <v>242</v>
      </c>
      <c r="G303" s="9">
        <v>1</v>
      </c>
      <c r="H303" s="6" t="s">
        <v>693</v>
      </c>
      <c r="I303" s="9" t="s">
        <v>289</v>
      </c>
      <c r="J303" s="9" t="s">
        <v>145</v>
      </c>
    </row>
    <row r="304" spans="1:10">
      <c r="A304" s="5" t="s">
        <v>747</v>
      </c>
      <c r="B304" s="6" t="s">
        <v>1077</v>
      </c>
      <c r="C304" s="7">
        <v>46064</v>
      </c>
      <c r="D304" s="9" t="s">
        <v>261</v>
      </c>
      <c r="E304" s="95" t="s">
        <v>64</v>
      </c>
      <c r="F304" s="9" t="s">
        <v>242</v>
      </c>
      <c r="G304" s="9">
        <v>2</v>
      </c>
      <c r="H304" s="6" t="s">
        <v>693</v>
      </c>
      <c r="I304" s="9" t="s">
        <v>289</v>
      </c>
      <c r="J304" s="9" t="s">
        <v>145</v>
      </c>
    </row>
    <row r="305" spans="1:10">
      <c r="A305" s="5" t="s">
        <v>750</v>
      </c>
      <c r="B305" s="6" t="s">
        <v>1077</v>
      </c>
      <c r="C305" s="7">
        <v>46064</v>
      </c>
      <c r="D305" s="9" t="s">
        <v>270</v>
      </c>
      <c r="E305" s="95" t="s">
        <v>271</v>
      </c>
      <c r="F305" s="9" t="s">
        <v>242</v>
      </c>
      <c r="G305" s="9">
        <v>2</v>
      </c>
      <c r="H305" s="6" t="s">
        <v>693</v>
      </c>
      <c r="I305" s="9" t="s">
        <v>289</v>
      </c>
      <c r="J305" s="9" t="s">
        <v>145</v>
      </c>
    </row>
    <row r="306" spans="1:10">
      <c r="A306" s="5" t="s">
        <v>751</v>
      </c>
      <c r="B306" s="6" t="s">
        <v>1077</v>
      </c>
      <c r="C306" s="7">
        <v>46064</v>
      </c>
      <c r="D306" s="9" t="s">
        <v>261</v>
      </c>
      <c r="E306" s="95" t="s">
        <v>62</v>
      </c>
      <c r="F306" s="9" t="s">
        <v>242</v>
      </c>
      <c r="G306" s="9">
        <v>1</v>
      </c>
      <c r="H306" s="6" t="s">
        <v>693</v>
      </c>
      <c r="I306" s="9" t="s">
        <v>289</v>
      </c>
      <c r="J306" s="9" t="s">
        <v>145</v>
      </c>
    </row>
    <row r="307" spans="1:10">
      <c r="A307" s="5" t="s">
        <v>752</v>
      </c>
      <c r="B307" s="6" t="s">
        <v>1078</v>
      </c>
      <c r="C307" s="7">
        <v>46065</v>
      </c>
      <c r="D307" s="9" t="s">
        <v>261</v>
      </c>
      <c r="E307" s="95" t="s">
        <v>62</v>
      </c>
      <c r="F307" s="9" t="s">
        <v>242</v>
      </c>
      <c r="G307" s="9">
        <v>6</v>
      </c>
      <c r="H307" s="6" t="s">
        <v>722</v>
      </c>
      <c r="I307" s="9" t="s">
        <v>258</v>
      </c>
      <c r="J307" s="9" t="s">
        <v>145</v>
      </c>
    </row>
    <row r="308" spans="1:10">
      <c r="A308" s="5" t="s">
        <v>754</v>
      </c>
      <c r="B308" s="6" t="s">
        <v>1079</v>
      </c>
      <c r="C308" s="7">
        <v>46065</v>
      </c>
      <c r="D308" s="9" t="s">
        <v>261</v>
      </c>
      <c r="E308" s="95" t="s">
        <v>62</v>
      </c>
      <c r="F308" s="9" t="s">
        <v>242</v>
      </c>
      <c r="G308" s="9">
        <v>2</v>
      </c>
      <c r="H308" s="6" t="s">
        <v>722</v>
      </c>
      <c r="I308" s="9" t="s">
        <v>289</v>
      </c>
      <c r="J308" s="9" t="s">
        <v>145</v>
      </c>
    </row>
    <row r="309" spans="1:10">
      <c r="A309" s="5" t="s">
        <v>757</v>
      </c>
      <c r="B309" s="6" t="s">
        <v>1080</v>
      </c>
      <c r="C309" s="7">
        <v>46066</v>
      </c>
      <c r="D309" s="9" t="s">
        <v>261</v>
      </c>
      <c r="E309" s="95" t="s">
        <v>62</v>
      </c>
      <c r="F309" s="9" t="s">
        <v>242</v>
      </c>
      <c r="G309" s="9">
        <v>6</v>
      </c>
      <c r="H309" s="6" t="s">
        <v>722</v>
      </c>
      <c r="I309" s="9" t="s">
        <v>275</v>
      </c>
      <c r="J309" s="9" t="s">
        <v>145</v>
      </c>
    </row>
    <row r="310" spans="1:10">
      <c r="A310" s="5" t="s">
        <v>760</v>
      </c>
      <c r="B310" s="6" t="s">
        <v>1081</v>
      </c>
      <c r="C310" s="7">
        <v>46067</v>
      </c>
      <c r="D310" s="9" t="s">
        <v>500</v>
      </c>
      <c r="E310" s="95" t="s">
        <v>51</v>
      </c>
      <c r="F310" s="9" t="s">
        <v>242</v>
      </c>
      <c r="G310" s="9">
        <v>1</v>
      </c>
      <c r="H310" s="6" t="s">
        <v>693</v>
      </c>
      <c r="I310" s="9" t="s">
        <v>258</v>
      </c>
      <c r="J310" s="9" t="s">
        <v>145</v>
      </c>
    </row>
    <row r="311" spans="1:10">
      <c r="A311" s="5" t="s">
        <v>761</v>
      </c>
      <c r="B311" s="6" t="s">
        <v>1081</v>
      </c>
      <c r="C311" s="7">
        <v>46067</v>
      </c>
      <c r="D311" s="9" t="s">
        <v>261</v>
      </c>
      <c r="E311" s="95" t="s">
        <v>64</v>
      </c>
      <c r="F311" s="9" t="s">
        <v>242</v>
      </c>
      <c r="G311" s="9">
        <v>2</v>
      </c>
      <c r="H311" s="6" t="s">
        <v>693</v>
      </c>
      <c r="I311" s="9" t="s">
        <v>258</v>
      </c>
      <c r="J311" s="9" t="s">
        <v>145</v>
      </c>
    </row>
    <row r="312" spans="1:10">
      <c r="A312" s="5" t="s">
        <v>763</v>
      </c>
      <c r="B312" s="6" t="s">
        <v>1081</v>
      </c>
      <c r="C312" s="7">
        <v>46067</v>
      </c>
      <c r="D312" s="9" t="s">
        <v>270</v>
      </c>
      <c r="E312" s="95" t="s">
        <v>271</v>
      </c>
      <c r="F312" s="9" t="s">
        <v>242</v>
      </c>
      <c r="G312" s="9">
        <v>2</v>
      </c>
      <c r="H312" s="6" t="s">
        <v>693</v>
      </c>
      <c r="I312" s="9" t="s">
        <v>258</v>
      </c>
      <c r="J312" s="9" t="s">
        <v>145</v>
      </c>
    </row>
    <row r="313" spans="1:10">
      <c r="A313" s="5" t="s">
        <v>764</v>
      </c>
      <c r="B313" s="6" t="s">
        <v>1082</v>
      </c>
      <c r="C313" s="7">
        <v>46067</v>
      </c>
      <c r="D313" s="9" t="s">
        <v>261</v>
      </c>
      <c r="E313" s="95" t="s">
        <v>62</v>
      </c>
      <c r="F313" s="9" t="s">
        <v>242</v>
      </c>
      <c r="G313" s="9">
        <v>9</v>
      </c>
      <c r="H313" s="6" t="s">
        <v>1083</v>
      </c>
      <c r="I313" s="9" t="s">
        <v>258</v>
      </c>
      <c r="J313" s="9" t="s">
        <v>145</v>
      </c>
    </row>
    <row r="314" spans="1:10">
      <c r="A314" s="5" t="s">
        <v>765</v>
      </c>
      <c r="B314" s="6" t="s">
        <v>1084</v>
      </c>
      <c r="C314" s="7">
        <v>46067</v>
      </c>
      <c r="D314" s="9" t="s">
        <v>261</v>
      </c>
      <c r="E314" s="95" t="s">
        <v>62</v>
      </c>
      <c r="F314" s="9" t="s">
        <v>242</v>
      </c>
      <c r="G314" s="9">
        <v>5</v>
      </c>
      <c r="H314" s="6" t="s">
        <v>722</v>
      </c>
      <c r="I314" s="9" t="s">
        <v>258</v>
      </c>
      <c r="J314" s="9" t="s">
        <v>145</v>
      </c>
    </row>
    <row r="315" spans="1:10">
      <c r="A315" s="5" t="s">
        <v>767</v>
      </c>
      <c r="B315" s="6" t="s">
        <v>804</v>
      </c>
      <c r="C315" s="7">
        <v>46072</v>
      </c>
      <c r="D315" s="9" t="s">
        <v>261</v>
      </c>
      <c r="E315" s="95" t="s">
        <v>62</v>
      </c>
      <c r="F315" s="9" t="s">
        <v>242</v>
      </c>
      <c r="G315" s="9">
        <v>2</v>
      </c>
      <c r="H315" s="6" t="s">
        <v>722</v>
      </c>
      <c r="I315" s="9" t="s">
        <v>514</v>
      </c>
      <c r="J315" s="9" t="s">
        <v>145</v>
      </c>
    </row>
    <row r="316" spans="1:10">
      <c r="A316" s="5" t="s">
        <v>768</v>
      </c>
      <c r="B316" s="6" t="s">
        <v>1085</v>
      </c>
      <c r="C316" s="7">
        <v>46072</v>
      </c>
      <c r="D316" s="9" t="s">
        <v>500</v>
      </c>
      <c r="E316" s="95" t="s">
        <v>52</v>
      </c>
      <c r="F316" s="9" t="s">
        <v>242</v>
      </c>
      <c r="G316" s="9">
        <v>1</v>
      </c>
      <c r="H316" s="6" t="s">
        <v>693</v>
      </c>
      <c r="I316" s="9" t="s">
        <v>609</v>
      </c>
      <c r="J316" s="9" t="s">
        <v>145</v>
      </c>
    </row>
    <row r="317" spans="1:10">
      <c r="A317" s="5" t="s">
        <v>769</v>
      </c>
      <c r="B317" s="6" t="s">
        <v>1085</v>
      </c>
      <c r="C317" s="7">
        <v>46072</v>
      </c>
      <c r="D317" s="9" t="s">
        <v>500</v>
      </c>
      <c r="E317" s="95" t="s">
        <v>53</v>
      </c>
      <c r="F317" s="9" t="s">
        <v>242</v>
      </c>
      <c r="G317" s="9">
        <v>1</v>
      </c>
      <c r="H317" s="6" t="s">
        <v>693</v>
      </c>
      <c r="I317" s="9" t="s">
        <v>609</v>
      </c>
      <c r="J317" s="9" t="s">
        <v>145</v>
      </c>
    </row>
    <row r="318" spans="1:10">
      <c r="A318" s="5" t="s">
        <v>772</v>
      </c>
      <c r="B318" s="6" t="s">
        <v>1085</v>
      </c>
      <c r="C318" s="7">
        <v>46072</v>
      </c>
      <c r="D318" s="9" t="s">
        <v>261</v>
      </c>
      <c r="E318" s="95" t="s">
        <v>64</v>
      </c>
      <c r="F318" s="9" t="s">
        <v>242</v>
      </c>
      <c r="G318" s="9">
        <v>3</v>
      </c>
      <c r="H318" s="6" t="s">
        <v>693</v>
      </c>
      <c r="I318" s="9" t="s">
        <v>609</v>
      </c>
      <c r="J318" s="9" t="s">
        <v>145</v>
      </c>
    </row>
    <row r="319" spans="1:10">
      <c r="A319" s="5" t="s">
        <v>773</v>
      </c>
      <c r="B319" s="6" t="s">
        <v>1085</v>
      </c>
      <c r="C319" s="7">
        <v>46072</v>
      </c>
      <c r="D319" s="9" t="s">
        <v>270</v>
      </c>
      <c r="E319" s="95" t="s">
        <v>271</v>
      </c>
      <c r="F319" s="9" t="s">
        <v>242</v>
      </c>
      <c r="G319" s="9">
        <v>3</v>
      </c>
      <c r="H319" s="6" t="s">
        <v>693</v>
      </c>
      <c r="I319" s="9" t="s">
        <v>609</v>
      </c>
      <c r="J319" s="9" t="s">
        <v>145</v>
      </c>
    </row>
    <row r="320" spans="1:10">
      <c r="A320" s="5" t="s">
        <v>774</v>
      </c>
      <c r="B320" s="6" t="s">
        <v>1086</v>
      </c>
      <c r="C320" s="7">
        <v>46072</v>
      </c>
      <c r="D320" s="9" t="s">
        <v>261</v>
      </c>
      <c r="E320" s="95" t="s">
        <v>62</v>
      </c>
      <c r="F320" s="9" t="s">
        <v>242</v>
      </c>
      <c r="G320" s="9">
        <v>2</v>
      </c>
      <c r="H320" s="6" t="s">
        <v>722</v>
      </c>
      <c r="I320" s="9" t="s">
        <v>609</v>
      </c>
      <c r="J320" s="9" t="s">
        <v>145</v>
      </c>
    </row>
    <row r="321" spans="1:10">
      <c r="A321" s="5" t="s">
        <v>776</v>
      </c>
      <c r="B321" s="6" t="s">
        <v>1087</v>
      </c>
      <c r="C321" s="7">
        <v>46073</v>
      </c>
      <c r="D321" s="9" t="s">
        <v>261</v>
      </c>
      <c r="E321" s="95" t="s">
        <v>62</v>
      </c>
      <c r="F321" s="9" t="s">
        <v>242</v>
      </c>
      <c r="G321" s="9">
        <v>2</v>
      </c>
      <c r="H321" s="6" t="s">
        <v>722</v>
      </c>
      <c r="I321" s="9" t="s">
        <v>628</v>
      </c>
      <c r="J321" s="9" t="s">
        <v>145</v>
      </c>
    </row>
    <row r="322" spans="1:10">
      <c r="A322" s="5" t="s">
        <v>779</v>
      </c>
      <c r="B322" s="6" t="s">
        <v>1088</v>
      </c>
      <c r="C322" s="7">
        <v>46073</v>
      </c>
      <c r="D322" s="9" t="s">
        <v>261</v>
      </c>
      <c r="E322" s="95" t="s">
        <v>62</v>
      </c>
      <c r="F322" s="9" t="s">
        <v>242</v>
      </c>
      <c r="G322" s="9">
        <v>7</v>
      </c>
      <c r="H322" s="6" t="s">
        <v>1089</v>
      </c>
      <c r="I322" s="9" t="s">
        <v>258</v>
      </c>
      <c r="J322" s="9" t="s">
        <v>145</v>
      </c>
    </row>
    <row r="323" spans="1:10">
      <c r="A323" s="5" t="s">
        <v>780</v>
      </c>
      <c r="B323" s="6" t="s">
        <v>1090</v>
      </c>
      <c r="C323" s="7">
        <v>46074</v>
      </c>
      <c r="D323" s="9" t="s">
        <v>261</v>
      </c>
      <c r="E323" s="95" t="s">
        <v>62</v>
      </c>
      <c r="F323" s="9" t="s">
        <v>242</v>
      </c>
      <c r="G323" s="9">
        <v>2</v>
      </c>
      <c r="H323" s="6" t="s">
        <v>722</v>
      </c>
      <c r="I323" s="9" t="s">
        <v>609</v>
      </c>
      <c r="J323" s="9" t="s">
        <v>145</v>
      </c>
    </row>
    <row r="324" spans="1:10">
      <c r="A324" s="5" t="s">
        <v>782</v>
      </c>
      <c r="B324" s="6" t="s">
        <v>825</v>
      </c>
      <c r="C324" s="7">
        <v>46065</v>
      </c>
      <c r="D324" s="9" t="s">
        <v>241</v>
      </c>
      <c r="E324" s="95" t="s">
        <v>28</v>
      </c>
      <c r="F324" s="9" t="s">
        <v>242</v>
      </c>
      <c r="G324" s="9">
        <v>20</v>
      </c>
      <c r="H324" s="6" t="s">
        <v>1091</v>
      </c>
      <c r="I324" s="9" t="s">
        <v>827</v>
      </c>
      <c r="J324" s="9" t="s">
        <v>145</v>
      </c>
    </row>
    <row r="325" spans="1:10">
      <c r="A325" s="5" t="s">
        <v>785</v>
      </c>
      <c r="B325" s="6" t="s">
        <v>1092</v>
      </c>
      <c r="C325" s="7">
        <v>46076</v>
      </c>
      <c r="D325" s="9" t="s">
        <v>261</v>
      </c>
      <c r="E325" s="95" t="s">
        <v>62</v>
      </c>
      <c r="F325" s="9" t="s">
        <v>242</v>
      </c>
      <c r="G325" s="9">
        <v>2</v>
      </c>
      <c r="H325" s="6" t="s">
        <v>1072</v>
      </c>
      <c r="I325" s="9" t="s">
        <v>628</v>
      </c>
      <c r="J325" s="9" t="s">
        <v>145</v>
      </c>
    </row>
    <row r="326" spans="1:10">
      <c r="A326" s="5" t="s">
        <v>786</v>
      </c>
      <c r="B326" s="6" t="s">
        <v>1093</v>
      </c>
      <c r="C326" s="7">
        <v>46076</v>
      </c>
      <c r="D326" s="9" t="s">
        <v>500</v>
      </c>
      <c r="E326" s="95" t="s">
        <v>54</v>
      </c>
      <c r="F326" s="9" t="s">
        <v>242</v>
      </c>
      <c r="G326" s="9">
        <v>1</v>
      </c>
      <c r="H326" s="6" t="s">
        <v>1094</v>
      </c>
      <c r="I326" s="9" t="s">
        <v>628</v>
      </c>
      <c r="J326" s="9" t="s">
        <v>145</v>
      </c>
    </row>
    <row r="327" spans="1:10">
      <c r="A327" s="5" t="s">
        <v>788</v>
      </c>
      <c r="B327" s="6" t="s">
        <v>1093</v>
      </c>
      <c r="C327" s="7">
        <v>46076</v>
      </c>
      <c r="D327" s="9" t="s">
        <v>261</v>
      </c>
      <c r="E327" s="95" t="s">
        <v>62</v>
      </c>
      <c r="F327" s="9" t="s">
        <v>242</v>
      </c>
      <c r="G327" s="9">
        <v>2</v>
      </c>
      <c r="H327" s="6" t="s">
        <v>1094</v>
      </c>
      <c r="I327" s="9" t="s">
        <v>628</v>
      </c>
      <c r="J327" s="9" t="s">
        <v>145</v>
      </c>
    </row>
    <row r="328" spans="1:10">
      <c r="A328" s="5" t="s">
        <v>789</v>
      </c>
      <c r="B328" s="6" t="s">
        <v>1095</v>
      </c>
      <c r="C328" s="7">
        <v>46076</v>
      </c>
      <c r="D328" s="9" t="s">
        <v>500</v>
      </c>
      <c r="E328" s="95" t="s">
        <v>53</v>
      </c>
      <c r="F328" s="9" t="s">
        <v>242</v>
      </c>
      <c r="G328" s="9">
        <v>1</v>
      </c>
      <c r="H328" s="6" t="s">
        <v>1096</v>
      </c>
      <c r="I328" s="9" t="s">
        <v>415</v>
      </c>
      <c r="J328" s="9" t="s">
        <v>145</v>
      </c>
    </row>
    <row r="329" spans="1:10">
      <c r="A329" s="5" t="s">
        <v>790</v>
      </c>
      <c r="B329" s="6" t="s">
        <v>1095</v>
      </c>
      <c r="C329" s="7">
        <v>46076</v>
      </c>
      <c r="D329" s="9" t="s">
        <v>261</v>
      </c>
      <c r="E329" s="95" t="s">
        <v>62</v>
      </c>
      <c r="F329" s="9" t="s">
        <v>242</v>
      </c>
      <c r="G329" s="9">
        <v>6</v>
      </c>
      <c r="H329" s="6" t="s">
        <v>1096</v>
      </c>
      <c r="I329" s="9" t="s">
        <v>415</v>
      </c>
      <c r="J329" s="9" t="s">
        <v>145</v>
      </c>
    </row>
    <row r="330" spans="1:10">
      <c r="A330" s="5" t="s">
        <v>792</v>
      </c>
      <c r="B330" s="6" t="s">
        <v>1097</v>
      </c>
      <c r="C330" s="7">
        <v>46076</v>
      </c>
      <c r="D330" s="9" t="s">
        <v>500</v>
      </c>
      <c r="E330" s="95" t="s">
        <v>51</v>
      </c>
      <c r="F330" s="9" t="s">
        <v>242</v>
      </c>
      <c r="G330" s="9">
        <v>1</v>
      </c>
      <c r="H330" s="6" t="s">
        <v>693</v>
      </c>
      <c r="I330" s="9" t="s">
        <v>628</v>
      </c>
      <c r="J330" s="9" t="s">
        <v>145</v>
      </c>
    </row>
    <row r="331" spans="1:10">
      <c r="A331" s="5" t="s">
        <v>793</v>
      </c>
      <c r="B331" s="6" t="s">
        <v>1097</v>
      </c>
      <c r="C331" s="7">
        <v>46076</v>
      </c>
      <c r="D331" s="9" t="s">
        <v>261</v>
      </c>
      <c r="E331" s="95" t="s">
        <v>64</v>
      </c>
      <c r="F331" s="9" t="s">
        <v>242</v>
      </c>
      <c r="G331" s="9">
        <v>2</v>
      </c>
      <c r="H331" s="6" t="s">
        <v>693</v>
      </c>
      <c r="I331" s="9" t="s">
        <v>628</v>
      </c>
      <c r="J331" s="9" t="s">
        <v>145</v>
      </c>
    </row>
    <row r="332" spans="1:10">
      <c r="A332" s="5" t="s">
        <v>794</v>
      </c>
      <c r="B332" s="6" t="s">
        <v>1097</v>
      </c>
      <c r="C332" s="7">
        <v>46076</v>
      </c>
      <c r="D332" s="9" t="s">
        <v>270</v>
      </c>
      <c r="E332" s="95" t="s">
        <v>271</v>
      </c>
      <c r="F332" s="9" t="s">
        <v>242</v>
      </c>
      <c r="G332" s="9">
        <v>2</v>
      </c>
      <c r="H332" s="6" t="s">
        <v>693</v>
      </c>
      <c r="I332" s="9" t="s">
        <v>628</v>
      </c>
      <c r="J332" s="9" t="s">
        <v>145</v>
      </c>
    </row>
    <row r="333" spans="1:10">
      <c r="A333" s="5" t="s">
        <v>796</v>
      </c>
      <c r="B333" s="6" t="s">
        <v>1098</v>
      </c>
      <c r="C333" s="7">
        <v>46076</v>
      </c>
      <c r="D333" s="9" t="s">
        <v>500</v>
      </c>
      <c r="E333" s="95" t="s">
        <v>51</v>
      </c>
      <c r="F333" s="9" t="s">
        <v>242</v>
      </c>
      <c r="G333" s="9">
        <v>1</v>
      </c>
      <c r="H333" s="6" t="s">
        <v>1099</v>
      </c>
      <c r="I333" s="9" t="s">
        <v>266</v>
      </c>
      <c r="J333" s="9" t="s">
        <v>145</v>
      </c>
    </row>
    <row r="334" spans="1:10">
      <c r="A334" s="5" t="s">
        <v>797</v>
      </c>
      <c r="B334" s="6" t="s">
        <v>1098</v>
      </c>
      <c r="C334" s="7">
        <v>46076</v>
      </c>
      <c r="D334" s="9" t="s">
        <v>261</v>
      </c>
      <c r="E334" s="95" t="s">
        <v>64</v>
      </c>
      <c r="F334" s="9" t="s">
        <v>242</v>
      </c>
      <c r="G334" s="9">
        <v>3</v>
      </c>
      <c r="H334" s="6" t="s">
        <v>1099</v>
      </c>
      <c r="I334" s="9" t="s">
        <v>266</v>
      </c>
      <c r="J334" s="9" t="s">
        <v>145</v>
      </c>
    </row>
    <row r="335" spans="1:10">
      <c r="A335" s="5" t="s">
        <v>798</v>
      </c>
      <c r="B335" s="6" t="s">
        <v>1098</v>
      </c>
      <c r="C335" s="7">
        <v>46076</v>
      </c>
      <c r="D335" s="9" t="s">
        <v>270</v>
      </c>
      <c r="E335" s="95" t="s">
        <v>271</v>
      </c>
      <c r="F335" s="9" t="s">
        <v>242</v>
      </c>
      <c r="G335" s="9">
        <v>3</v>
      </c>
      <c r="H335" s="6" t="s">
        <v>1099</v>
      </c>
      <c r="I335" s="9" t="s">
        <v>266</v>
      </c>
      <c r="J335" s="9" t="s">
        <v>145</v>
      </c>
    </row>
    <row r="336" spans="1:10">
      <c r="A336" s="5" t="s">
        <v>799</v>
      </c>
      <c r="B336" s="6" t="s">
        <v>1100</v>
      </c>
      <c r="C336" s="7">
        <v>46076</v>
      </c>
      <c r="D336" s="9" t="s">
        <v>500</v>
      </c>
      <c r="E336" s="95" t="s">
        <v>51</v>
      </c>
      <c r="F336" s="9" t="s">
        <v>242</v>
      </c>
      <c r="G336" s="9">
        <v>1</v>
      </c>
      <c r="H336" s="6" t="s">
        <v>693</v>
      </c>
      <c r="I336" s="9" t="s">
        <v>266</v>
      </c>
      <c r="J336" s="9" t="s">
        <v>145</v>
      </c>
    </row>
    <row r="337" spans="1:10">
      <c r="A337" s="5" t="s">
        <v>800</v>
      </c>
      <c r="B337" s="6" t="s">
        <v>1100</v>
      </c>
      <c r="C337" s="7">
        <v>46076</v>
      </c>
      <c r="D337" s="9" t="s">
        <v>500</v>
      </c>
      <c r="E337" s="95" t="s">
        <v>52</v>
      </c>
      <c r="F337" s="9" t="s">
        <v>242</v>
      </c>
      <c r="G337" s="9">
        <v>1</v>
      </c>
      <c r="H337" s="6" t="s">
        <v>693</v>
      </c>
      <c r="I337" s="9" t="s">
        <v>266</v>
      </c>
      <c r="J337" s="9" t="s">
        <v>145</v>
      </c>
    </row>
    <row r="338" spans="1:10">
      <c r="A338" s="5" t="s">
        <v>802</v>
      </c>
      <c r="B338" s="6" t="s">
        <v>1100</v>
      </c>
      <c r="C338" s="7">
        <v>46076</v>
      </c>
      <c r="D338" s="9" t="s">
        <v>500</v>
      </c>
      <c r="E338" s="95" t="s">
        <v>53</v>
      </c>
      <c r="F338" s="9" t="s">
        <v>242</v>
      </c>
      <c r="G338" s="9">
        <v>1</v>
      </c>
      <c r="H338" s="6" t="s">
        <v>693</v>
      </c>
      <c r="I338" s="9" t="s">
        <v>266</v>
      </c>
      <c r="J338" s="9" t="s">
        <v>145</v>
      </c>
    </row>
    <row r="339" spans="1:10">
      <c r="A339" s="5" t="s">
        <v>803</v>
      </c>
      <c r="B339" s="6" t="s">
        <v>1100</v>
      </c>
      <c r="C339" s="7">
        <v>46076</v>
      </c>
      <c r="D339" s="9" t="s">
        <v>261</v>
      </c>
      <c r="E339" s="95" t="s">
        <v>64</v>
      </c>
      <c r="F339" s="9" t="s">
        <v>242</v>
      </c>
      <c r="G339" s="9">
        <v>4</v>
      </c>
      <c r="H339" s="6" t="s">
        <v>693</v>
      </c>
      <c r="I339" s="9" t="s">
        <v>266</v>
      </c>
      <c r="J339" s="9" t="s">
        <v>145</v>
      </c>
    </row>
    <row r="340" spans="1:10">
      <c r="A340" s="5" t="s">
        <v>805</v>
      </c>
      <c r="B340" s="6" t="s">
        <v>1100</v>
      </c>
      <c r="C340" s="7">
        <v>46076</v>
      </c>
      <c r="D340" s="9" t="s">
        <v>270</v>
      </c>
      <c r="E340" s="95" t="s">
        <v>271</v>
      </c>
      <c r="F340" s="9" t="s">
        <v>242</v>
      </c>
      <c r="G340" s="9">
        <v>4</v>
      </c>
      <c r="H340" s="6" t="s">
        <v>693</v>
      </c>
      <c r="I340" s="9" t="s">
        <v>266</v>
      </c>
      <c r="J340" s="9" t="s">
        <v>145</v>
      </c>
    </row>
    <row r="341" spans="1:10">
      <c r="A341" s="5" t="s">
        <v>808</v>
      </c>
      <c r="B341" s="6" t="s">
        <v>1101</v>
      </c>
      <c r="C341" s="7">
        <v>46076</v>
      </c>
      <c r="D341" s="9" t="s">
        <v>500</v>
      </c>
      <c r="E341" s="95" t="s">
        <v>52</v>
      </c>
      <c r="F341" s="9" t="s">
        <v>242</v>
      </c>
      <c r="G341" s="9">
        <v>1</v>
      </c>
      <c r="H341" s="6" t="s">
        <v>693</v>
      </c>
      <c r="I341" s="9" t="s">
        <v>266</v>
      </c>
      <c r="J341" s="9" t="s">
        <v>145</v>
      </c>
    </row>
    <row r="342" spans="1:10">
      <c r="A342" s="5" t="s">
        <v>809</v>
      </c>
      <c r="B342" s="6" t="s">
        <v>1101</v>
      </c>
      <c r="C342" s="7">
        <v>46076</v>
      </c>
      <c r="D342" s="9" t="s">
        <v>500</v>
      </c>
      <c r="E342" s="95" t="s">
        <v>53</v>
      </c>
      <c r="F342" s="9" t="s">
        <v>242</v>
      </c>
      <c r="G342" s="9">
        <v>1</v>
      </c>
      <c r="H342" s="6" t="s">
        <v>693</v>
      </c>
      <c r="I342" s="9" t="s">
        <v>266</v>
      </c>
      <c r="J342" s="9" t="s">
        <v>145</v>
      </c>
    </row>
    <row r="343" spans="1:10">
      <c r="A343" s="5" t="s">
        <v>810</v>
      </c>
      <c r="B343" s="6" t="s">
        <v>1101</v>
      </c>
      <c r="C343" s="7">
        <v>46076</v>
      </c>
      <c r="D343" s="9" t="s">
        <v>500</v>
      </c>
      <c r="E343" s="95" t="s">
        <v>4</v>
      </c>
      <c r="F343" s="9" t="s">
        <v>242</v>
      </c>
      <c r="G343" s="9">
        <v>1</v>
      </c>
      <c r="H343" s="6" t="s">
        <v>693</v>
      </c>
      <c r="I343" s="9" t="s">
        <v>266</v>
      </c>
      <c r="J343" s="9" t="s">
        <v>145</v>
      </c>
    </row>
    <row r="344" spans="1:10">
      <c r="A344" s="5" t="s">
        <v>812</v>
      </c>
      <c r="B344" s="6" t="s">
        <v>1101</v>
      </c>
      <c r="C344" s="7">
        <v>46076</v>
      </c>
      <c r="D344" s="9" t="s">
        <v>261</v>
      </c>
      <c r="E344" s="95" t="s">
        <v>64</v>
      </c>
      <c r="F344" s="9" t="s">
        <v>242</v>
      </c>
      <c r="G344" s="9">
        <v>5</v>
      </c>
      <c r="H344" s="6" t="s">
        <v>693</v>
      </c>
      <c r="I344" s="9" t="s">
        <v>266</v>
      </c>
      <c r="J344" s="9" t="s">
        <v>145</v>
      </c>
    </row>
    <row r="345" spans="1:10">
      <c r="A345" s="5" t="s">
        <v>813</v>
      </c>
      <c r="B345" s="6" t="s">
        <v>1101</v>
      </c>
      <c r="C345" s="7">
        <v>46076</v>
      </c>
      <c r="D345" s="9" t="s">
        <v>270</v>
      </c>
      <c r="E345" s="95" t="s">
        <v>271</v>
      </c>
      <c r="F345" s="9" t="s">
        <v>242</v>
      </c>
      <c r="G345" s="9">
        <v>5</v>
      </c>
      <c r="H345" s="6" t="s">
        <v>693</v>
      </c>
      <c r="I345" s="9" t="s">
        <v>266</v>
      </c>
      <c r="J345" s="9" t="s">
        <v>145</v>
      </c>
    </row>
    <row r="346" spans="1:10">
      <c r="A346" s="5" t="s">
        <v>815</v>
      </c>
      <c r="B346" s="6" t="s">
        <v>1102</v>
      </c>
      <c r="C346" s="7">
        <v>46076</v>
      </c>
      <c r="D346" s="9" t="s">
        <v>500</v>
      </c>
      <c r="E346" s="95" t="s">
        <v>50</v>
      </c>
      <c r="F346" s="9" t="s">
        <v>242</v>
      </c>
      <c r="G346" s="9">
        <v>1</v>
      </c>
      <c r="H346" s="6" t="s">
        <v>1103</v>
      </c>
      <c r="I346" s="9" t="s">
        <v>357</v>
      </c>
      <c r="J346" s="9" t="s">
        <v>145</v>
      </c>
    </row>
    <row r="347" spans="1:10">
      <c r="A347" s="5" t="s">
        <v>816</v>
      </c>
      <c r="B347" s="6" t="s">
        <v>1102</v>
      </c>
      <c r="C347" s="7">
        <v>46076</v>
      </c>
      <c r="D347" s="9" t="s">
        <v>261</v>
      </c>
      <c r="E347" s="95" t="s">
        <v>62</v>
      </c>
      <c r="F347" s="9" t="s">
        <v>242</v>
      </c>
      <c r="G347" s="9">
        <v>1</v>
      </c>
      <c r="H347" s="6" t="s">
        <v>1103</v>
      </c>
      <c r="I347" s="9" t="s">
        <v>357</v>
      </c>
      <c r="J347" s="9" t="s">
        <v>145</v>
      </c>
    </row>
    <row r="348" spans="1:10">
      <c r="A348" s="5" t="s">
        <v>817</v>
      </c>
      <c r="B348" s="6" t="s">
        <v>1104</v>
      </c>
      <c r="C348" s="7">
        <v>46076</v>
      </c>
      <c r="D348" s="9" t="s">
        <v>261</v>
      </c>
      <c r="E348" s="95" t="s">
        <v>62</v>
      </c>
      <c r="F348" s="9" t="s">
        <v>242</v>
      </c>
      <c r="G348" s="9">
        <v>4</v>
      </c>
      <c r="H348" s="6" t="s">
        <v>1072</v>
      </c>
      <c r="I348" s="9" t="s">
        <v>616</v>
      </c>
      <c r="J348" s="9" t="s">
        <v>145</v>
      </c>
    </row>
    <row r="349" spans="1:10">
      <c r="A349" s="5" t="s">
        <v>818</v>
      </c>
      <c r="B349" s="6" t="s">
        <v>1105</v>
      </c>
      <c r="C349" s="7">
        <v>46077</v>
      </c>
      <c r="D349" s="9" t="s">
        <v>696</v>
      </c>
      <c r="E349" s="95" t="s">
        <v>843</v>
      </c>
      <c r="F349" s="9" t="s">
        <v>242</v>
      </c>
      <c r="G349" s="9">
        <v>50</v>
      </c>
      <c r="H349" s="6" t="s">
        <v>1106</v>
      </c>
      <c r="I349" s="9" t="s">
        <v>918</v>
      </c>
      <c r="J349" s="9" t="s">
        <v>145</v>
      </c>
    </row>
    <row r="350" spans="1:10">
      <c r="A350" s="5" t="s">
        <v>820</v>
      </c>
      <c r="B350" s="6" t="s">
        <v>1105</v>
      </c>
      <c r="C350" s="7">
        <v>46077</v>
      </c>
      <c r="D350" s="9" t="s">
        <v>500</v>
      </c>
      <c r="E350" s="95" t="s">
        <v>4</v>
      </c>
      <c r="F350" s="9" t="s">
        <v>242</v>
      </c>
      <c r="G350" s="9">
        <v>1</v>
      </c>
      <c r="H350" s="6" t="s">
        <v>1106</v>
      </c>
      <c r="I350" s="9" t="s">
        <v>918</v>
      </c>
      <c r="J350" s="9" t="s">
        <v>145</v>
      </c>
    </row>
    <row r="351" spans="1:10">
      <c r="A351" s="5" t="s">
        <v>821</v>
      </c>
      <c r="B351" s="6" t="s">
        <v>1105</v>
      </c>
      <c r="C351" s="7">
        <v>46077</v>
      </c>
      <c r="D351" s="9" t="s">
        <v>261</v>
      </c>
      <c r="E351" s="95" t="s">
        <v>64</v>
      </c>
      <c r="F351" s="9" t="s">
        <v>242</v>
      </c>
      <c r="G351" s="9">
        <v>4</v>
      </c>
      <c r="H351" s="6" t="s">
        <v>1106</v>
      </c>
      <c r="I351" s="9" t="s">
        <v>918</v>
      </c>
      <c r="J351" s="9" t="s">
        <v>145</v>
      </c>
    </row>
    <row r="352" spans="1:10">
      <c r="A352" s="5" t="s">
        <v>822</v>
      </c>
      <c r="B352" s="6" t="s">
        <v>1105</v>
      </c>
      <c r="C352" s="7">
        <v>46077</v>
      </c>
      <c r="D352" s="9" t="s">
        <v>270</v>
      </c>
      <c r="E352" s="95" t="s">
        <v>271</v>
      </c>
      <c r="F352" s="9" t="s">
        <v>242</v>
      </c>
      <c r="G352" s="9">
        <v>4</v>
      </c>
      <c r="H352" s="6" t="s">
        <v>1106</v>
      </c>
      <c r="I352" s="9" t="s">
        <v>918</v>
      </c>
      <c r="J352" s="9" t="s">
        <v>145</v>
      </c>
    </row>
    <row r="353" spans="1:10">
      <c r="A353" s="5" t="s">
        <v>824</v>
      </c>
      <c r="B353" s="6" t="s">
        <v>1107</v>
      </c>
      <c r="C353" s="7">
        <v>46077</v>
      </c>
      <c r="D353" s="9" t="s">
        <v>696</v>
      </c>
      <c r="E353" s="95" t="s">
        <v>86</v>
      </c>
      <c r="F353" s="9" t="s">
        <v>242</v>
      </c>
      <c r="G353" s="9">
        <v>80</v>
      </c>
      <c r="H353" s="6" t="s">
        <v>1108</v>
      </c>
      <c r="I353" s="9" t="s">
        <v>415</v>
      </c>
      <c r="J353" s="9" t="s">
        <v>145</v>
      </c>
    </row>
    <row r="354" spans="1:10">
      <c r="A354" s="5" t="s">
        <v>828</v>
      </c>
      <c r="B354" s="6" t="s">
        <v>1107</v>
      </c>
      <c r="C354" s="7">
        <v>46077</v>
      </c>
      <c r="D354" s="9" t="s">
        <v>261</v>
      </c>
      <c r="E354" s="95" t="s">
        <v>62</v>
      </c>
      <c r="F354" s="9" t="s">
        <v>242</v>
      </c>
      <c r="G354" s="9">
        <v>6</v>
      </c>
      <c r="H354" s="6" t="s">
        <v>1108</v>
      </c>
      <c r="I354" s="9" t="s">
        <v>415</v>
      </c>
      <c r="J354" s="9" t="s">
        <v>145</v>
      </c>
    </row>
    <row r="355" spans="1:10">
      <c r="A355" s="5" t="s">
        <v>831</v>
      </c>
      <c r="B355" s="6" t="s">
        <v>1109</v>
      </c>
      <c r="C355" s="7">
        <v>46077</v>
      </c>
      <c r="D355" s="9" t="s">
        <v>261</v>
      </c>
      <c r="E355" s="95" t="s">
        <v>62</v>
      </c>
      <c r="F355" s="9" t="s">
        <v>242</v>
      </c>
      <c r="G355" s="9">
        <v>7</v>
      </c>
      <c r="H355" s="6" t="s">
        <v>722</v>
      </c>
      <c r="I355" s="9" t="s">
        <v>253</v>
      </c>
      <c r="J355" s="9" t="s">
        <v>145</v>
      </c>
    </row>
    <row r="356" spans="1:10">
      <c r="A356" s="5" t="s">
        <v>833</v>
      </c>
      <c r="B356" s="6" t="s">
        <v>1110</v>
      </c>
      <c r="C356" s="7">
        <v>46078</v>
      </c>
      <c r="D356" s="9" t="s">
        <v>261</v>
      </c>
      <c r="E356" s="95" t="s">
        <v>62</v>
      </c>
      <c r="F356" s="9" t="s">
        <v>242</v>
      </c>
      <c r="G356" s="9">
        <v>5</v>
      </c>
      <c r="H356" s="6" t="s">
        <v>722</v>
      </c>
      <c r="I356" s="9" t="s">
        <v>514</v>
      </c>
      <c r="J356" s="9" t="s">
        <v>145</v>
      </c>
    </row>
    <row r="357" spans="1:10">
      <c r="A357" s="5" t="s">
        <v>836</v>
      </c>
      <c r="B357" s="6" t="s">
        <v>1111</v>
      </c>
      <c r="C357" s="7">
        <v>46078</v>
      </c>
      <c r="D357" s="9" t="s">
        <v>261</v>
      </c>
      <c r="E357" s="95" t="s">
        <v>62</v>
      </c>
      <c r="F357" s="9" t="s">
        <v>242</v>
      </c>
      <c r="G357" s="9">
        <v>2</v>
      </c>
      <c r="H357" s="6" t="s">
        <v>722</v>
      </c>
      <c r="I357" s="9" t="s">
        <v>514</v>
      </c>
      <c r="J357" s="9" t="s">
        <v>145</v>
      </c>
    </row>
    <row r="358" spans="1:10">
      <c r="A358" s="5" t="s">
        <v>839</v>
      </c>
      <c r="B358" s="6" t="s">
        <v>1112</v>
      </c>
      <c r="C358" s="7">
        <v>46078</v>
      </c>
      <c r="D358" s="9" t="s">
        <v>905</v>
      </c>
      <c r="E358" s="95" t="s">
        <v>208</v>
      </c>
      <c r="F358" s="9" t="s">
        <v>242</v>
      </c>
      <c r="G358" s="9">
        <v>8</v>
      </c>
      <c r="H358" s="6" t="s">
        <v>906</v>
      </c>
      <c r="I358" s="9" t="s">
        <v>311</v>
      </c>
      <c r="J358" s="9" t="s">
        <v>145</v>
      </c>
    </row>
    <row r="359" spans="1:10">
      <c r="A359" s="5" t="s">
        <v>840</v>
      </c>
      <c r="B359" s="6" t="s">
        <v>1113</v>
      </c>
      <c r="C359" s="7">
        <v>46078</v>
      </c>
      <c r="D359" s="9" t="s">
        <v>905</v>
      </c>
      <c r="E359" s="95" t="s">
        <v>209</v>
      </c>
      <c r="F359" s="9" t="s">
        <v>242</v>
      </c>
      <c r="G359" s="9">
        <v>5</v>
      </c>
      <c r="H359" s="6" t="s">
        <v>906</v>
      </c>
      <c r="I359" s="9" t="s">
        <v>918</v>
      </c>
      <c r="J359" s="9" t="s">
        <v>145</v>
      </c>
    </row>
    <row r="360" spans="1:10">
      <c r="A360" s="5" t="s">
        <v>841</v>
      </c>
      <c r="B360" s="6" t="s">
        <v>1112</v>
      </c>
      <c r="C360" s="7">
        <v>46078</v>
      </c>
      <c r="D360" s="9" t="s">
        <v>905</v>
      </c>
      <c r="E360" s="95" t="s">
        <v>216</v>
      </c>
      <c r="F360" s="9" t="s">
        <v>242</v>
      </c>
      <c r="G360" s="9">
        <v>8</v>
      </c>
      <c r="H360" s="6" t="s">
        <v>906</v>
      </c>
      <c r="I360" s="9" t="s">
        <v>532</v>
      </c>
      <c r="J360" s="9" t="s">
        <v>145</v>
      </c>
    </row>
    <row r="361" spans="1:10">
      <c r="A361" s="5"/>
      <c r="B361" s="6"/>
      <c r="C361" s="7"/>
      <c r="D361" s="9"/>
      <c r="E361" s="95"/>
      <c r="F361" s="9"/>
      <c r="G361" s="9"/>
      <c r="H361" s="6"/>
      <c r="I361" s="9"/>
      <c r="J361" s="9" t="s">
        <v>145</v>
      </c>
    </row>
    <row r="362" spans="1:10">
      <c r="A362" s="5"/>
      <c r="B362" s="6"/>
      <c r="C362" s="7"/>
      <c r="D362" s="9"/>
      <c r="E362" s="95"/>
      <c r="F362" s="9"/>
      <c r="G362" s="9"/>
      <c r="H362" s="6"/>
      <c r="I362" s="9"/>
      <c r="J362" s="9" t="s">
        <v>145</v>
      </c>
    </row>
    <row r="363" spans="1:10">
      <c r="A363" s="5"/>
      <c r="B363" s="6"/>
      <c r="C363" s="7"/>
      <c r="D363" s="9"/>
      <c r="E363" s="95"/>
      <c r="F363" s="9"/>
      <c r="G363" s="9"/>
      <c r="H363" s="6"/>
      <c r="I363" s="9"/>
      <c r="J363" s="9" t="s">
        <v>145</v>
      </c>
    </row>
    <row r="364" spans="1:10">
      <c r="A364" s="5"/>
      <c r="B364" s="6"/>
      <c r="C364" s="7"/>
      <c r="D364" s="9"/>
      <c r="E364" s="95"/>
      <c r="F364" s="9"/>
      <c r="G364" s="9"/>
      <c r="H364" s="6"/>
      <c r="I364" s="9"/>
      <c r="J364" s="9" t="s">
        <v>145</v>
      </c>
    </row>
    <row r="365" spans="1:10">
      <c r="A365" s="5"/>
      <c r="B365" s="6"/>
      <c r="C365" s="7"/>
      <c r="D365" s="9"/>
      <c r="E365" s="95"/>
      <c r="F365" s="9"/>
      <c r="G365" s="9"/>
      <c r="H365" s="6"/>
      <c r="I365" s="9"/>
      <c r="J365" s="9" t="s">
        <v>145</v>
      </c>
    </row>
    <row r="366" spans="1:10">
      <c r="A366" s="5"/>
      <c r="B366" s="6"/>
      <c r="C366" s="7"/>
      <c r="D366" s="9"/>
      <c r="E366" s="95"/>
      <c r="F366" s="9"/>
      <c r="G366" s="9"/>
      <c r="H366" s="6"/>
      <c r="I366" s="9"/>
      <c r="J366" s="9" t="s">
        <v>145</v>
      </c>
    </row>
    <row r="367" spans="1:10">
      <c r="A367" s="5"/>
      <c r="B367" s="6"/>
      <c r="C367" s="7"/>
      <c r="D367" s="9"/>
      <c r="E367" s="95"/>
      <c r="F367" s="9"/>
      <c r="G367" s="9"/>
      <c r="H367" s="6"/>
      <c r="I367" s="9"/>
      <c r="J367" s="9" t="s">
        <v>145</v>
      </c>
    </row>
    <row r="368" spans="1:10">
      <c r="A368" s="5"/>
      <c r="B368" s="6"/>
      <c r="C368" s="7"/>
      <c r="D368" s="9"/>
      <c r="E368" s="95"/>
      <c r="F368" s="9"/>
      <c r="G368" s="9"/>
      <c r="H368" s="6"/>
      <c r="I368" s="9"/>
      <c r="J368" s="9" t="s">
        <v>145</v>
      </c>
    </row>
    <row r="369" spans="1:10">
      <c r="A369" s="5"/>
      <c r="B369" s="6"/>
      <c r="C369" s="7"/>
      <c r="D369" s="9"/>
      <c r="E369" s="95"/>
      <c r="F369" s="9"/>
      <c r="G369" s="9"/>
      <c r="H369" s="6"/>
      <c r="I369" s="9"/>
      <c r="J369" s="9" t="s">
        <v>145</v>
      </c>
    </row>
    <row r="370" spans="1:10">
      <c r="A370" s="5"/>
      <c r="B370" s="6"/>
      <c r="C370" s="7"/>
      <c r="D370" s="9"/>
      <c r="E370" s="95"/>
      <c r="F370" s="9"/>
      <c r="G370" s="9"/>
      <c r="H370" s="6"/>
      <c r="I370" s="9"/>
      <c r="J370" s="9" t="s">
        <v>145</v>
      </c>
    </row>
    <row r="371" spans="1:10">
      <c r="A371" s="5"/>
      <c r="B371" s="6"/>
      <c r="C371" s="7"/>
      <c r="D371" s="9"/>
      <c r="E371" s="95"/>
      <c r="F371" s="9"/>
      <c r="G371" s="9"/>
      <c r="H371" s="6"/>
      <c r="I371" s="9"/>
      <c r="J371" s="9" t="s">
        <v>145</v>
      </c>
    </row>
    <row r="372" spans="1:10">
      <c r="A372" s="5"/>
      <c r="B372" s="6"/>
      <c r="C372" s="7"/>
      <c r="D372" s="9"/>
      <c r="E372" s="95"/>
      <c r="F372" s="9"/>
      <c r="G372" s="9"/>
      <c r="H372" s="6"/>
      <c r="I372" s="9"/>
      <c r="J372" s="9" t="s">
        <v>145</v>
      </c>
    </row>
    <row r="373" spans="1:10">
      <c r="A373" s="5"/>
      <c r="B373" s="6"/>
      <c r="C373" s="7"/>
      <c r="D373" s="9"/>
      <c r="E373" s="95"/>
      <c r="F373" s="9"/>
      <c r="G373" s="9"/>
      <c r="H373" s="6"/>
      <c r="I373" s="9"/>
      <c r="J373" s="9" t="s">
        <v>145</v>
      </c>
    </row>
    <row r="374" spans="1:10">
      <c r="A374" s="5"/>
      <c r="B374" s="6"/>
      <c r="C374" s="7"/>
      <c r="D374" s="9"/>
      <c r="E374" s="95"/>
      <c r="F374" s="9"/>
      <c r="G374" s="9"/>
      <c r="H374" s="6"/>
      <c r="I374" s="9"/>
      <c r="J374" s="9" t="s">
        <v>145</v>
      </c>
    </row>
    <row r="375" spans="1:10">
      <c r="A375" s="5"/>
      <c r="B375" s="6"/>
      <c r="C375" s="7"/>
      <c r="D375" s="9"/>
      <c r="E375" s="95"/>
      <c r="F375" s="9"/>
      <c r="G375" s="9"/>
      <c r="H375" s="6"/>
      <c r="I375" s="9"/>
      <c r="J375" s="9" t="s">
        <v>145</v>
      </c>
    </row>
    <row r="376" spans="1:10">
      <c r="A376" s="5"/>
      <c r="B376" s="6"/>
      <c r="C376" s="7"/>
      <c r="D376" s="9"/>
      <c r="E376" s="95"/>
      <c r="F376" s="9"/>
      <c r="G376" s="9"/>
      <c r="H376" s="6"/>
      <c r="I376" s="9"/>
      <c r="J376" s="9" t="s">
        <v>145</v>
      </c>
    </row>
    <row r="377" spans="1:10">
      <c r="A377" s="5"/>
      <c r="B377" s="6"/>
      <c r="C377" s="7"/>
      <c r="D377" s="9"/>
      <c r="E377" s="95"/>
      <c r="F377" s="9"/>
      <c r="G377" s="9"/>
      <c r="H377" s="6"/>
      <c r="I377" s="9"/>
      <c r="J377" s="9" t="s">
        <v>145</v>
      </c>
    </row>
    <row r="378" spans="1:10">
      <c r="A378" s="5"/>
      <c r="B378" s="6"/>
      <c r="C378" s="7"/>
      <c r="D378" s="9"/>
      <c r="E378" s="95"/>
      <c r="F378" s="9"/>
      <c r="G378" s="9"/>
      <c r="H378" s="6"/>
      <c r="I378" s="9"/>
      <c r="J378" s="9" t="s">
        <v>145</v>
      </c>
    </row>
    <row r="379" spans="1:10">
      <c r="A379" s="5"/>
      <c r="B379" s="6"/>
      <c r="C379" s="7"/>
      <c r="D379" s="9"/>
      <c r="E379" s="95"/>
      <c r="F379" s="9"/>
      <c r="G379" s="9"/>
      <c r="H379" s="6"/>
      <c r="I379" s="9"/>
      <c r="J379" s="9" t="s">
        <v>145</v>
      </c>
    </row>
    <row r="380" spans="1:10">
      <c r="A380" s="5"/>
      <c r="B380" s="6"/>
      <c r="C380" s="7"/>
      <c r="D380" s="9"/>
      <c r="E380" s="95"/>
      <c r="F380" s="9"/>
      <c r="G380" s="9"/>
      <c r="H380" s="6"/>
      <c r="I380" s="9"/>
      <c r="J380" s="9" t="s">
        <v>145</v>
      </c>
    </row>
    <row r="381" spans="1:10">
      <c r="A381" s="5"/>
      <c r="B381" s="6"/>
      <c r="C381" s="7"/>
      <c r="D381" s="9"/>
      <c r="E381" s="95"/>
      <c r="F381" s="9"/>
      <c r="G381" s="9"/>
      <c r="H381" s="6"/>
      <c r="I381" s="9"/>
      <c r="J381" s="9" t="s">
        <v>145</v>
      </c>
    </row>
    <row r="382" spans="1:10">
      <c r="A382" s="5"/>
      <c r="B382" s="6"/>
      <c r="C382" s="7"/>
      <c r="D382" s="9"/>
      <c r="E382" s="95"/>
      <c r="F382" s="9"/>
      <c r="G382" s="9"/>
      <c r="H382" s="6"/>
      <c r="I382" s="9"/>
      <c r="J382" s="9" t="s">
        <v>145</v>
      </c>
    </row>
    <row r="383" spans="1:10">
      <c r="A383" s="5"/>
      <c r="B383" s="6"/>
      <c r="C383" s="7"/>
      <c r="D383" s="9"/>
      <c r="E383" s="95"/>
      <c r="F383" s="9"/>
      <c r="G383" s="9"/>
      <c r="H383" s="6"/>
      <c r="I383" s="9"/>
      <c r="J383" s="9" t="s">
        <v>145</v>
      </c>
    </row>
    <row r="384" spans="1:10">
      <c r="A384" s="5"/>
      <c r="B384" s="6"/>
      <c r="C384" s="7"/>
      <c r="D384" s="9"/>
      <c r="E384" s="95"/>
      <c r="F384" s="9"/>
      <c r="G384" s="9"/>
      <c r="H384" s="6"/>
      <c r="I384" s="9"/>
      <c r="J384" s="9" t="s">
        <v>145</v>
      </c>
    </row>
    <row r="385" spans="1:10">
      <c r="A385" s="5"/>
      <c r="B385" s="6"/>
      <c r="C385" s="7"/>
      <c r="D385" s="9"/>
      <c r="E385" s="95"/>
      <c r="F385" s="9"/>
      <c r="G385" s="9"/>
      <c r="H385" s="6"/>
      <c r="I385" s="9"/>
      <c r="J385" s="9" t="s">
        <v>145</v>
      </c>
    </row>
    <row r="386" spans="1:10">
      <c r="A386" s="5"/>
      <c r="B386" s="6"/>
      <c r="C386" s="7"/>
      <c r="D386" s="9"/>
      <c r="E386" s="95"/>
      <c r="F386" s="9"/>
      <c r="G386" s="9"/>
      <c r="H386" s="6"/>
      <c r="I386" s="9"/>
      <c r="J386" s="9" t="s">
        <v>145</v>
      </c>
    </row>
    <row r="387" spans="1:10">
      <c r="A387" s="5"/>
      <c r="B387" s="6"/>
      <c r="C387" s="7"/>
      <c r="D387" s="9"/>
      <c r="E387" s="95"/>
      <c r="F387" s="9"/>
      <c r="G387" s="9"/>
      <c r="H387" s="6"/>
      <c r="I387" s="9"/>
      <c r="J387" s="9" t="s">
        <v>145</v>
      </c>
    </row>
    <row r="388" spans="1:10">
      <c r="A388" s="5"/>
      <c r="B388" s="6"/>
      <c r="C388" s="7"/>
      <c r="D388" s="9"/>
      <c r="E388" s="95"/>
      <c r="F388" s="9"/>
      <c r="G388" s="9"/>
      <c r="H388" s="6"/>
      <c r="I388" s="9"/>
      <c r="J388" s="9" t="s">
        <v>145</v>
      </c>
    </row>
    <row r="389" spans="1:10">
      <c r="A389" s="5"/>
      <c r="B389" s="6"/>
      <c r="C389" s="7"/>
      <c r="D389" s="9"/>
      <c r="E389" s="95"/>
      <c r="F389" s="9"/>
      <c r="G389" s="9"/>
      <c r="H389" s="6"/>
      <c r="I389" s="9"/>
      <c r="J389" s="9" t="s">
        <v>145</v>
      </c>
    </row>
    <row r="390" spans="1:10">
      <c r="A390" s="5"/>
      <c r="B390" s="6"/>
      <c r="C390" s="7"/>
      <c r="D390" s="9"/>
      <c r="E390" s="95"/>
      <c r="F390" s="9"/>
      <c r="G390" s="9"/>
      <c r="H390" s="6"/>
      <c r="I390" s="9"/>
      <c r="J390" s="9" t="s">
        <v>145</v>
      </c>
    </row>
    <row r="391" spans="1:10">
      <c r="A391" s="5"/>
      <c r="B391" s="6"/>
      <c r="C391" s="7"/>
      <c r="D391" s="9"/>
      <c r="E391" s="95"/>
      <c r="F391" s="9"/>
      <c r="G391" s="9"/>
      <c r="H391" s="6"/>
      <c r="I391" s="9"/>
      <c r="J391" s="9" t="s">
        <v>145</v>
      </c>
    </row>
    <row r="392" spans="1:10">
      <c r="A392" s="5"/>
      <c r="B392" s="6"/>
      <c r="C392" s="7"/>
      <c r="D392" s="9"/>
      <c r="E392" s="95"/>
      <c r="F392" s="9"/>
      <c r="G392" s="9"/>
      <c r="H392" s="6"/>
      <c r="I392" s="9"/>
      <c r="J392" s="9" t="s">
        <v>145</v>
      </c>
    </row>
    <row r="393" spans="1:10">
      <c r="A393" s="5"/>
      <c r="B393" s="6"/>
      <c r="C393" s="7"/>
      <c r="D393" s="9"/>
      <c r="E393" s="95"/>
      <c r="F393" s="9"/>
      <c r="G393" s="9"/>
      <c r="H393" s="6"/>
      <c r="I393" s="9"/>
      <c r="J393" s="9" t="s">
        <v>145</v>
      </c>
    </row>
    <row r="394" spans="1:10">
      <c r="A394" s="5"/>
      <c r="B394" s="6"/>
      <c r="C394" s="7"/>
      <c r="D394" s="9"/>
      <c r="E394" s="95"/>
      <c r="F394" s="9"/>
      <c r="G394" s="9"/>
      <c r="H394" s="6"/>
      <c r="I394" s="9"/>
      <c r="J394" s="9" t="s">
        <v>145</v>
      </c>
    </row>
    <row r="395" spans="1:10">
      <c r="A395" s="5"/>
      <c r="B395" s="6"/>
      <c r="C395" s="7"/>
      <c r="D395" s="9"/>
      <c r="E395" s="95"/>
      <c r="F395" s="9"/>
      <c r="G395" s="9"/>
      <c r="H395" s="6"/>
      <c r="I395" s="9"/>
      <c r="J395" s="9" t="s">
        <v>145</v>
      </c>
    </row>
    <row r="396" spans="1:10">
      <c r="A396" s="5"/>
      <c r="B396" s="6"/>
      <c r="C396" s="7"/>
      <c r="D396" s="9"/>
      <c r="E396" s="95"/>
      <c r="F396" s="9"/>
      <c r="G396" s="9"/>
      <c r="H396" s="6"/>
      <c r="I396" s="9"/>
      <c r="J396" s="9" t="s">
        <v>145</v>
      </c>
    </row>
    <row r="397" spans="1:10">
      <c r="A397" s="5"/>
      <c r="B397" s="6"/>
      <c r="C397" s="7"/>
      <c r="D397" s="9"/>
      <c r="E397" s="95"/>
      <c r="F397" s="9"/>
      <c r="G397" s="9"/>
      <c r="H397" s="6"/>
      <c r="I397" s="9"/>
      <c r="J397" s="9" t="s">
        <v>145</v>
      </c>
    </row>
    <row r="398" spans="1:10">
      <c r="A398" s="5"/>
      <c r="B398" s="6"/>
      <c r="C398" s="7"/>
      <c r="D398" s="9"/>
      <c r="E398" s="95"/>
      <c r="F398" s="9"/>
      <c r="G398" s="9"/>
      <c r="H398" s="6"/>
      <c r="I398" s="9"/>
      <c r="J398" s="9" t="s">
        <v>145</v>
      </c>
    </row>
    <row r="399" spans="1:10">
      <c r="A399" s="5"/>
      <c r="B399" s="6"/>
      <c r="C399" s="7"/>
      <c r="D399" s="9"/>
      <c r="E399" s="95"/>
      <c r="F399" s="9"/>
      <c r="G399" s="9"/>
      <c r="H399" s="6"/>
      <c r="I399" s="9"/>
      <c r="J399" s="9" t="s">
        <v>145</v>
      </c>
    </row>
    <row r="400" spans="1:10">
      <c r="A400" s="5"/>
      <c r="B400" s="6"/>
      <c r="C400" s="7"/>
      <c r="D400" s="9"/>
      <c r="E400" s="95"/>
      <c r="F400" s="9"/>
      <c r="G400" s="9"/>
      <c r="H400" s="6"/>
      <c r="I400" s="9"/>
      <c r="J400" s="9" t="s">
        <v>145</v>
      </c>
    </row>
    <row r="401" spans="1:10">
      <c r="A401" s="5"/>
      <c r="B401" s="6"/>
      <c r="C401" s="7"/>
      <c r="D401" s="9"/>
      <c r="E401" s="95"/>
      <c r="F401" s="9"/>
      <c r="G401" s="9"/>
      <c r="H401" s="6"/>
      <c r="I401" s="9"/>
      <c r="J401" s="9" t="s">
        <v>145</v>
      </c>
    </row>
    <row r="402" spans="1:10">
      <c r="A402" s="5"/>
      <c r="B402" s="6"/>
      <c r="C402" s="7"/>
      <c r="D402" s="9"/>
      <c r="E402" s="95"/>
      <c r="F402" s="9"/>
      <c r="G402" s="9"/>
      <c r="H402" s="6"/>
      <c r="I402" s="9"/>
      <c r="J402" s="9" t="s">
        <v>145</v>
      </c>
    </row>
    <row r="403" spans="1:10">
      <c r="A403" s="5"/>
      <c r="B403" s="6"/>
      <c r="C403" s="7"/>
      <c r="D403" s="9"/>
      <c r="E403" s="95"/>
      <c r="F403" s="9"/>
      <c r="G403" s="9"/>
      <c r="H403" s="6"/>
      <c r="I403" s="9"/>
      <c r="J403" s="9" t="s">
        <v>145</v>
      </c>
    </row>
    <row r="404" spans="1:10">
      <c r="A404" s="5"/>
      <c r="B404" s="6"/>
      <c r="C404" s="7"/>
      <c r="D404" s="9"/>
      <c r="E404" s="95"/>
      <c r="F404" s="9"/>
      <c r="G404" s="9"/>
      <c r="H404" s="6"/>
      <c r="I404" s="9"/>
      <c r="J404" s="9" t="s">
        <v>145</v>
      </c>
    </row>
    <row r="405" spans="1:10">
      <c r="A405" s="5"/>
      <c r="B405" s="6"/>
      <c r="C405" s="7"/>
      <c r="D405" s="9"/>
      <c r="E405" s="95"/>
      <c r="F405" s="9"/>
      <c r="G405" s="9"/>
      <c r="H405" s="6"/>
      <c r="I405" s="9"/>
      <c r="J405" s="9" t="s">
        <v>145</v>
      </c>
    </row>
    <row r="406" spans="1:10">
      <c r="A406" s="5"/>
      <c r="B406" s="6"/>
      <c r="C406" s="7"/>
      <c r="D406" s="9"/>
      <c r="E406" s="95"/>
      <c r="F406" s="9"/>
      <c r="G406" s="9"/>
      <c r="H406" s="6"/>
      <c r="I406" s="9"/>
      <c r="J406" s="9" t="s">
        <v>145</v>
      </c>
    </row>
    <row r="407" spans="1:10">
      <c r="A407" s="5"/>
      <c r="B407" s="6"/>
      <c r="C407" s="7"/>
      <c r="D407" s="9"/>
      <c r="E407" s="95"/>
      <c r="F407" s="9"/>
      <c r="G407" s="9"/>
      <c r="H407" s="6"/>
      <c r="I407" s="9"/>
      <c r="J407" s="9" t="s">
        <v>145</v>
      </c>
    </row>
    <row r="408" spans="1:10">
      <c r="A408" s="5"/>
      <c r="B408" s="6"/>
      <c r="C408" s="7"/>
      <c r="D408" s="9"/>
      <c r="E408" s="95"/>
      <c r="F408" s="9"/>
      <c r="G408" s="9"/>
      <c r="H408" s="6"/>
      <c r="I408" s="9"/>
      <c r="J408" s="9" t="s">
        <v>145</v>
      </c>
    </row>
    <row r="409" spans="1:10">
      <c r="A409" s="5"/>
      <c r="B409" s="6"/>
      <c r="C409" s="7"/>
      <c r="D409" s="9"/>
      <c r="E409" s="95"/>
      <c r="F409" s="9"/>
      <c r="G409" s="9"/>
      <c r="H409" s="6"/>
      <c r="I409" s="9"/>
      <c r="J409" s="9" t="s">
        <v>145</v>
      </c>
    </row>
    <row r="410" spans="1:10">
      <c r="A410" s="5"/>
      <c r="B410" s="6"/>
      <c r="C410" s="7"/>
      <c r="D410" s="9"/>
      <c r="E410" s="95"/>
      <c r="F410" s="9"/>
      <c r="G410" s="9"/>
      <c r="H410" s="6"/>
      <c r="I410" s="9"/>
      <c r="J410" s="9" t="s">
        <v>145</v>
      </c>
    </row>
  </sheetData>
  <autoFilter ref="A6:M410" xr:uid="{2E476635-5A15-48D1-804B-1ADD578775A1}"/>
  <mergeCells count="2">
    <mergeCell ref="A2:J2"/>
    <mergeCell ref="A3:B3"/>
  </mergeCells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C7870-CE8D-4261-ABCC-C8E881907844}">
  <dimension ref="A2:M554"/>
  <sheetViews>
    <sheetView workbookViewId="0">
      <selection sqref="A1:A1048576"/>
    </sheetView>
  </sheetViews>
  <sheetFormatPr defaultColWidth="9.81640625" defaultRowHeight="17"/>
  <cols>
    <col min="1" max="1" width="7.81640625" style="10" customWidth="1"/>
    <col min="2" max="2" width="35.81640625" style="3" bestFit="1" customWidth="1"/>
    <col min="3" max="3" width="16.453125" style="10" customWidth="1"/>
    <col min="4" max="4" width="20.1796875" style="10" customWidth="1"/>
    <col min="5" max="5" width="27.453125" style="11" customWidth="1"/>
    <col min="6" max="7" width="10.54296875" style="10" customWidth="1"/>
    <col min="8" max="8" width="52.1796875" style="3" customWidth="1"/>
    <col min="9" max="9" width="8.7265625" style="10" customWidth="1"/>
    <col min="10" max="10" width="20" style="10" hidden="1" customWidth="1"/>
    <col min="11" max="16384" width="9.81640625" style="3"/>
  </cols>
  <sheetData>
    <row r="2" spans="1:13" s="31" customFormat="1" ht="35.15" customHeight="1">
      <c r="A2" s="96"/>
      <c r="B2" s="96"/>
      <c r="C2" s="96"/>
      <c r="D2" s="96"/>
      <c r="E2" s="96"/>
      <c r="F2" s="96"/>
      <c r="G2" s="96"/>
      <c r="H2" s="96"/>
      <c r="I2" s="96"/>
      <c r="J2" s="96"/>
      <c r="K2" s="30"/>
      <c r="L2" s="30"/>
      <c r="M2" s="30"/>
    </row>
    <row r="3" spans="1:13" s="31" customFormat="1" ht="23.15" customHeight="1">
      <c r="A3" s="97" t="s">
        <v>228</v>
      </c>
      <c r="B3" s="97"/>
      <c r="C3" s="32"/>
      <c r="D3" s="33"/>
      <c r="E3" s="32"/>
      <c r="F3" s="32"/>
      <c r="G3" s="32"/>
      <c r="H3" s="32"/>
      <c r="I3" s="32"/>
      <c r="J3" s="32"/>
      <c r="K3" s="32"/>
      <c r="L3" s="32"/>
      <c r="M3" s="34"/>
    </row>
    <row r="4" spans="1:13" ht="5.15" customHeight="1"/>
    <row r="5" spans="1:13">
      <c r="G5" s="10">
        <f>SUBTOTAL(3,G7:G555)</f>
        <v>380</v>
      </c>
    </row>
    <row r="6" spans="1:13" ht="25.5" customHeight="1">
      <c r="A6" s="1" t="s">
        <v>102</v>
      </c>
      <c r="B6" s="2" t="s">
        <v>103</v>
      </c>
      <c r="C6" s="1" t="s">
        <v>104</v>
      </c>
      <c r="D6" s="1" t="s">
        <v>105</v>
      </c>
      <c r="E6" s="2" t="s">
        <v>106</v>
      </c>
      <c r="F6" s="1" t="s">
        <v>107</v>
      </c>
      <c r="G6" s="1" t="s">
        <v>6</v>
      </c>
      <c r="H6" s="1" t="s">
        <v>108</v>
      </c>
      <c r="I6" s="1" t="s">
        <v>109</v>
      </c>
      <c r="J6" s="1" t="s">
        <v>110</v>
      </c>
    </row>
    <row r="7" spans="1:13">
      <c r="A7" s="5" t="s">
        <v>239</v>
      </c>
      <c r="B7" s="6" t="s">
        <v>1115</v>
      </c>
      <c r="C7" s="7">
        <v>46078</v>
      </c>
      <c r="D7" s="9" t="s">
        <v>241</v>
      </c>
      <c r="E7" s="8" t="s">
        <v>28</v>
      </c>
      <c r="F7" s="9" t="s">
        <v>242</v>
      </c>
      <c r="G7" s="9">
        <v>1</v>
      </c>
      <c r="H7" s="6" t="s">
        <v>910</v>
      </c>
      <c r="I7" s="9" t="s">
        <v>258</v>
      </c>
      <c r="J7" s="9" t="s">
        <v>145</v>
      </c>
    </row>
    <row r="8" spans="1:13">
      <c r="A8" s="5" t="s">
        <v>245</v>
      </c>
      <c r="B8" s="6" t="s">
        <v>1115</v>
      </c>
      <c r="C8" s="7">
        <v>46078</v>
      </c>
      <c r="D8" s="9" t="s">
        <v>241</v>
      </c>
      <c r="E8" s="4" t="s">
        <v>29</v>
      </c>
      <c r="F8" s="9" t="s">
        <v>246</v>
      </c>
      <c r="G8" s="9">
        <v>1</v>
      </c>
      <c r="H8" s="6" t="s">
        <v>910</v>
      </c>
      <c r="I8" s="9" t="s">
        <v>258</v>
      </c>
      <c r="J8" s="9" t="s">
        <v>145</v>
      </c>
    </row>
    <row r="9" spans="1:13">
      <c r="A9" s="5" t="s">
        <v>247</v>
      </c>
      <c r="B9" s="6" t="s">
        <v>1115</v>
      </c>
      <c r="C9" s="7">
        <v>46078</v>
      </c>
      <c r="D9" s="9" t="s">
        <v>261</v>
      </c>
      <c r="E9" s="8" t="s">
        <v>62</v>
      </c>
      <c r="F9" s="9" t="s">
        <v>242</v>
      </c>
      <c r="G9" s="9">
        <v>1</v>
      </c>
      <c r="H9" s="6" t="s">
        <v>910</v>
      </c>
      <c r="I9" s="9" t="s">
        <v>258</v>
      </c>
      <c r="J9" s="9" t="s">
        <v>145</v>
      </c>
    </row>
    <row r="10" spans="1:13">
      <c r="A10" s="5" t="s">
        <v>250</v>
      </c>
      <c r="B10" s="6" t="s">
        <v>1115</v>
      </c>
      <c r="C10" s="7">
        <v>46078</v>
      </c>
      <c r="D10" s="9" t="s">
        <v>360</v>
      </c>
      <c r="E10" s="4" t="s">
        <v>59</v>
      </c>
      <c r="F10" s="9" t="s">
        <v>242</v>
      </c>
      <c r="G10" s="9">
        <v>2</v>
      </c>
      <c r="H10" s="6" t="s">
        <v>910</v>
      </c>
      <c r="I10" s="9" t="s">
        <v>258</v>
      </c>
      <c r="J10" s="9" t="s">
        <v>145</v>
      </c>
    </row>
    <row r="11" spans="1:13">
      <c r="A11" s="5" t="s">
        <v>251</v>
      </c>
      <c r="B11" s="6" t="s">
        <v>1116</v>
      </c>
      <c r="C11" s="7">
        <v>46079</v>
      </c>
      <c r="D11" s="9" t="s">
        <v>241</v>
      </c>
      <c r="E11" s="8" t="s">
        <v>28</v>
      </c>
      <c r="F11" s="9" t="s">
        <v>242</v>
      </c>
      <c r="G11" s="9">
        <v>1</v>
      </c>
      <c r="H11" s="6" t="s">
        <v>249</v>
      </c>
      <c r="I11" s="9" t="s">
        <v>628</v>
      </c>
      <c r="J11" s="9" t="s">
        <v>145</v>
      </c>
    </row>
    <row r="12" spans="1:13">
      <c r="A12" s="5" t="s">
        <v>254</v>
      </c>
      <c r="B12" s="6" t="s">
        <v>1116</v>
      </c>
      <c r="C12" s="7">
        <v>46079</v>
      </c>
      <c r="D12" s="9" t="s">
        <v>241</v>
      </c>
      <c r="E12" s="8" t="s">
        <v>29</v>
      </c>
      <c r="F12" s="9" t="s">
        <v>246</v>
      </c>
      <c r="G12" s="9">
        <v>1</v>
      </c>
      <c r="H12" s="6" t="s">
        <v>249</v>
      </c>
      <c r="I12" s="9" t="s">
        <v>628</v>
      </c>
      <c r="J12" s="9" t="s">
        <v>145</v>
      </c>
    </row>
    <row r="13" spans="1:13">
      <c r="A13" s="5" t="s">
        <v>255</v>
      </c>
      <c r="B13" s="6" t="s">
        <v>1116</v>
      </c>
      <c r="C13" s="7">
        <v>46079</v>
      </c>
      <c r="D13" s="9" t="s">
        <v>395</v>
      </c>
      <c r="E13" s="8" t="s">
        <v>57</v>
      </c>
      <c r="F13" s="9" t="s">
        <v>242</v>
      </c>
      <c r="G13" s="9">
        <v>1</v>
      </c>
      <c r="H13" s="6" t="s">
        <v>249</v>
      </c>
      <c r="I13" s="9" t="s">
        <v>628</v>
      </c>
      <c r="J13" s="9" t="s">
        <v>145</v>
      </c>
    </row>
    <row r="14" spans="1:13">
      <c r="A14" s="5" t="s">
        <v>259</v>
      </c>
      <c r="B14" s="6" t="s">
        <v>1117</v>
      </c>
      <c r="C14" s="7">
        <v>46080</v>
      </c>
      <c r="D14" s="9" t="s">
        <v>241</v>
      </c>
      <c r="E14" s="8" t="s">
        <v>28</v>
      </c>
      <c r="F14" s="9" t="s">
        <v>242</v>
      </c>
      <c r="G14" s="9">
        <v>1</v>
      </c>
      <c r="H14" s="6" t="s">
        <v>1118</v>
      </c>
      <c r="I14" s="9" t="s">
        <v>605</v>
      </c>
      <c r="J14" s="9" t="s">
        <v>145</v>
      </c>
    </row>
    <row r="15" spans="1:13">
      <c r="A15" s="5" t="s">
        <v>260</v>
      </c>
      <c r="B15" s="6" t="s">
        <v>1117</v>
      </c>
      <c r="C15" s="7">
        <v>46080</v>
      </c>
      <c r="D15" s="9" t="s">
        <v>241</v>
      </c>
      <c r="E15" s="8" t="s">
        <v>29</v>
      </c>
      <c r="F15" s="9" t="s">
        <v>246</v>
      </c>
      <c r="G15" s="9">
        <v>1</v>
      </c>
      <c r="H15" s="6" t="s">
        <v>1118</v>
      </c>
      <c r="I15" s="9" t="s">
        <v>605</v>
      </c>
      <c r="J15" s="9" t="s">
        <v>145</v>
      </c>
    </row>
    <row r="16" spans="1:13">
      <c r="A16" s="5" t="s">
        <v>262</v>
      </c>
      <c r="B16" s="6" t="s">
        <v>1117</v>
      </c>
      <c r="C16" s="7">
        <v>46080</v>
      </c>
      <c r="D16" s="9" t="s">
        <v>261</v>
      </c>
      <c r="E16" s="8" t="s">
        <v>62</v>
      </c>
      <c r="F16" s="9" t="s">
        <v>242</v>
      </c>
      <c r="G16" s="9">
        <v>1</v>
      </c>
      <c r="H16" s="6" t="s">
        <v>1118</v>
      </c>
      <c r="I16" s="9" t="s">
        <v>605</v>
      </c>
      <c r="J16" s="9" t="s">
        <v>145</v>
      </c>
    </row>
    <row r="17" spans="1:10">
      <c r="A17" s="5" t="s">
        <v>267</v>
      </c>
      <c r="B17" s="6" t="s">
        <v>1117</v>
      </c>
      <c r="C17" s="7">
        <v>46080</v>
      </c>
      <c r="D17" s="9" t="s">
        <v>241</v>
      </c>
      <c r="E17" s="8" t="s">
        <v>28</v>
      </c>
      <c r="F17" s="9" t="s">
        <v>242</v>
      </c>
      <c r="G17" s="9">
        <v>1</v>
      </c>
      <c r="H17" s="6" t="s">
        <v>1118</v>
      </c>
      <c r="I17" s="9" t="s">
        <v>605</v>
      </c>
      <c r="J17" s="9" t="s">
        <v>145</v>
      </c>
    </row>
    <row r="18" spans="1:10">
      <c r="A18" s="5" t="s">
        <v>268</v>
      </c>
      <c r="B18" s="6" t="s">
        <v>1117</v>
      </c>
      <c r="C18" s="7">
        <v>46080</v>
      </c>
      <c r="D18" s="9" t="s">
        <v>241</v>
      </c>
      <c r="E18" s="8" t="s">
        <v>27</v>
      </c>
      <c r="F18" s="9" t="s">
        <v>246</v>
      </c>
      <c r="G18" s="9">
        <v>1</v>
      </c>
      <c r="H18" s="6" t="s">
        <v>1118</v>
      </c>
      <c r="I18" s="9" t="s">
        <v>605</v>
      </c>
      <c r="J18" s="9" t="s">
        <v>145</v>
      </c>
    </row>
    <row r="19" spans="1:10">
      <c r="A19" s="5" t="s">
        <v>269</v>
      </c>
      <c r="B19" s="6" t="s">
        <v>1119</v>
      </c>
      <c r="C19" s="7">
        <v>46080</v>
      </c>
      <c r="D19" s="9" t="s">
        <v>299</v>
      </c>
      <c r="E19" s="8" t="s">
        <v>22</v>
      </c>
      <c r="F19" s="9" t="s">
        <v>242</v>
      </c>
      <c r="G19" s="9">
        <v>1</v>
      </c>
      <c r="H19" s="6" t="s">
        <v>1120</v>
      </c>
      <c r="I19" s="9" t="s">
        <v>311</v>
      </c>
      <c r="J19" s="9" t="s">
        <v>145</v>
      </c>
    </row>
    <row r="20" spans="1:10">
      <c r="A20" s="5" t="s">
        <v>272</v>
      </c>
      <c r="B20" s="6" t="s">
        <v>1119</v>
      </c>
      <c r="C20" s="7">
        <v>46080</v>
      </c>
      <c r="D20" s="9" t="s">
        <v>299</v>
      </c>
      <c r="E20" s="4" t="s">
        <v>21</v>
      </c>
      <c r="F20" s="9" t="s">
        <v>246</v>
      </c>
      <c r="G20" s="9">
        <v>1</v>
      </c>
      <c r="H20" s="6" t="s">
        <v>1120</v>
      </c>
      <c r="I20" s="9" t="s">
        <v>311</v>
      </c>
      <c r="J20" s="9" t="s">
        <v>145</v>
      </c>
    </row>
    <row r="21" spans="1:10">
      <c r="A21" s="5" t="s">
        <v>276</v>
      </c>
      <c r="B21" s="6" t="s">
        <v>1119</v>
      </c>
      <c r="C21" s="7">
        <v>46080</v>
      </c>
      <c r="D21" s="9" t="s">
        <v>500</v>
      </c>
      <c r="E21" s="8" t="s">
        <v>52</v>
      </c>
      <c r="F21" s="9" t="s">
        <v>242</v>
      </c>
      <c r="G21" s="9">
        <v>1</v>
      </c>
      <c r="H21" s="6" t="s">
        <v>1120</v>
      </c>
      <c r="I21" s="9" t="s">
        <v>311</v>
      </c>
      <c r="J21" s="9" t="s">
        <v>145</v>
      </c>
    </row>
    <row r="22" spans="1:10">
      <c r="A22" s="5" t="s">
        <v>277</v>
      </c>
      <c r="B22" s="6" t="s">
        <v>1119</v>
      </c>
      <c r="C22" s="7">
        <v>46080</v>
      </c>
      <c r="D22" s="9" t="s">
        <v>261</v>
      </c>
      <c r="E22" s="8" t="s">
        <v>64</v>
      </c>
      <c r="F22" s="9" t="s">
        <v>242</v>
      </c>
      <c r="G22" s="9">
        <v>2</v>
      </c>
      <c r="H22" s="6" t="s">
        <v>1120</v>
      </c>
      <c r="I22" s="9" t="s">
        <v>311</v>
      </c>
      <c r="J22" s="9" t="s">
        <v>145</v>
      </c>
    </row>
    <row r="23" spans="1:10">
      <c r="A23" s="5" t="s">
        <v>279</v>
      </c>
      <c r="B23" s="6" t="s">
        <v>1119</v>
      </c>
      <c r="C23" s="7">
        <v>46080</v>
      </c>
      <c r="D23" s="9" t="s">
        <v>270</v>
      </c>
      <c r="E23" s="8" t="s">
        <v>271</v>
      </c>
      <c r="F23" s="9" t="s">
        <v>242</v>
      </c>
      <c r="G23" s="9">
        <v>2</v>
      </c>
      <c r="H23" s="6" t="s">
        <v>1120</v>
      </c>
      <c r="I23" s="9" t="s">
        <v>311</v>
      </c>
      <c r="J23" s="9" t="s">
        <v>145</v>
      </c>
    </row>
    <row r="24" spans="1:10">
      <c r="A24" s="5" t="s">
        <v>280</v>
      </c>
      <c r="B24" s="6" t="s">
        <v>1119</v>
      </c>
      <c r="C24" s="7">
        <v>46080</v>
      </c>
      <c r="D24" s="9" t="s">
        <v>261</v>
      </c>
      <c r="E24" s="8" t="s">
        <v>62</v>
      </c>
      <c r="F24" s="9" t="s">
        <v>242</v>
      </c>
      <c r="G24" s="9">
        <v>3</v>
      </c>
      <c r="H24" s="6" t="s">
        <v>1120</v>
      </c>
      <c r="I24" s="9" t="s">
        <v>311</v>
      </c>
      <c r="J24" s="9" t="s">
        <v>145</v>
      </c>
    </row>
    <row r="25" spans="1:10">
      <c r="A25" s="5" t="s">
        <v>282</v>
      </c>
      <c r="B25" s="6" t="s">
        <v>1121</v>
      </c>
      <c r="C25" s="7">
        <v>46080</v>
      </c>
      <c r="D25" s="9" t="s">
        <v>241</v>
      </c>
      <c r="E25" s="8" t="s">
        <v>28</v>
      </c>
      <c r="F25" s="9" t="s">
        <v>242</v>
      </c>
      <c r="G25" s="9">
        <v>2</v>
      </c>
      <c r="H25" s="6" t="s">
        <v>243</v>
      </c>
      <c r="I25" s="9" t="s">
        <v>388</v>
      </c>
      <c r="J25" s="9" t="s">
        <v>145</v>
      </c>
    </row>
    <row r="26" spans="1:10">
      <c r="A26" s="5" t="s">
        <v>285</v>
      </c>
      <c r="B26" s="6" t="s">
        <v>1121</v>
      </c>
      <c r="C26" s="7">
        <v>46080</v>
      </c>
      <c r="D26" s="9" t="s">
        <v>241</v>
      </c>
      <c r="E26" s="4" t="s">
        <v>27</v>
      </c>
      <c r="F26" s="9" t="s">
        <v>246</v>
      </c>
      <c r="G26" s="9">
        <v>2</v>
      </c>
      <c r="H26" s="6" t="s">
        <v>243</v>
      </c>
      <c r="I26" s="9" t="s">
        <v>388</v>
      </c>
      <c r="J26" s="9" t="s">
        <v>145</v>
      </c>
    </row>
    <row r="27" spans="1:10">
      <c r="A27" s="5" t="s">
        <v>286</v>
      </c>
      <c r="B27" s="6" t="s">
        <v>1122</v>
      </c>
      <c r="C27" s="7">
        <v>46080</v>
      </c>
      <c r="D27" s="9" t="s">
        <v>241</v>
      </c>
      <c r="E27" s="8" t="s">
        <v>28</v>
      </c>
      <c r="F27" s="9" t="s">
        <v>242</v>
      </c>
      <c r="G27" s="9">
        <v>1</v>
      </c>
      <c r="H27" s="6" t="s">
        <v>243</v>
      </c>
      <c r="I27" s="9" t="s">
        <v>311</v>
      </c>
      <c r="J27" s="9" t="s">
        <v>145</v>
      </c>
    </row>
    <row r="28" spans="1:10">
      <c r="A28" s="5" t="s">
        <v>287</v>
      </c>
      <c r="B28" s="6" t="s">
        <v>1122</v>
      </c>
      <c r="C28" s="7">
        <v>46080</v>
      </c>
      <c r="D28" s="9" t="s">
        <v>241</v>
      </c>
      <c r="E28" s="8" t="s">
        <v>27</v>
      </c>
      <c r="F28" s="9" t="s">
        <v>246</v>
      </c>
      <c r="G28" s="9">
        <v>1</v>
      </c>
      <c r="H28" s="6" t="s">
        <v>243</v>
      </c>
      <c r="I28" s="9" t="s">
        <v>311</v>
      </c>
      <c r="J28" s="9" t="s">
        <v>145</v>
      </c>
    </row>
    <row r="29" spans="1:10">
      <c r="A29" s="5" t="s">
        <v>290</v>
      </c>
      <c r="B29" s="6" t="s">
        <v>1123</v>
      </c>
      <c r="C29" s="7">
        <v>46084</v>
      </c>
      <c r="D29" s="9" t="s">
        <v>241</v>
      </c>
      <c r="E29" s="8" t="s">
        <v>28</v>
      </c>
      <c r="F29" s="9" t="s">
        <v>242</v>
      </c>
      <c r="G29" s="9">
        <v>1</v>
      </c>
      <c r="H29" s="6" t="s">
        <v>243</v>
      </c>
      <c r="I29" s="9" t="s">
        <v>244</v>
      </c>
      <c r="J29" s="9" t="s">
        <v>145</v>
      </c>
    </row>
    <row r="30" spans="1:10">
      <c r="A30" s="5" t="s">
        <v>291</v>
      </c>
      <c r="B30" s="6" t="s">
        <v>1123</v>
      </c>
      <c r="C30" s="7">
        <v>46084</v>
      </c>
      <c r="D30" s="9" t="s">
        <v>241</v>
      </c>
      <c r="E30" s="4" t="s">
        <v>27</v>
      </c>
      <c r="F30" s="9" t="s">
        <v>246</v>
      </c>
      <c r="G30" s="9">
        <v>1</v>
      </c>
      <c r="H30" s="6" t="s">
        <v>243</v>
      </c>
      <c r="I30" s="9" t="s">
        <v>244</v>
      </c>
      <c r="J30" s="9" t="s">
        <v>145</v>
      </c>
    </row>
    <row r="31" spans="1:10">
      <c r="A31" s="5" t="s">
        <v>293</v>
      </c>
      <c r="B31" s="6" t="s">
        <v>1124</v>
      </c>
      <c r="C31" s="7">
        <v>46085</v>
      </c>
      <c r="D31" s="9" t="s">
        <v>241</v>
      </c>
      <c r="E31" s="8" t="s">
        <v>28</v>
      </c>
      <c r="F31" s="9" t="s">
        <v>242</v>
      </c>
      <c r="G31" s="9">
        <v>1</v>
      </c>
      <c r="H31" s="6" t="s">
        <v>408</v>
      </c>
      <c r="I31" s="9" t="s">
        <v>388</v>
      </c>
      <c r="J31" s="9" t="s">
        <v>145</v>
      </c>
    </row>
    <row r="32" spans="1:10">
      <c r="A32" s="5" t="s">
        <v>294</v>
      </c>
      <c r="B32" s="6" t="s">
        <v>1124</v>
      </c>
      <c r="C32" s="7">
        <v>46085</v>
      </c>
      <c r="D32" s="9" t="s">
        <v>241</v>
      </c>
      <c r="E32" s="8" t="s">
        <v>29</v>
      </c>
      <c r="F32" s="9" t="s">
        <v>246</v>
      </c>
      <c r="G32" s="9">
        <v>1</v>
      </c>
      <c r="H32" s="6" t="s">
        <v>408</v>
      </c>
      <c r="I32" s="9" t="s">
        <v>388</v>
      </c>
      <c r="J32" s="9" t="s">
        <v>145</v>
      </c>
    </row>
    <row r="33" spans="1:10">
      <c r="A33" s="5" t="s">
        <v>296</v>
      </c>
      <c r="B33" s="6" t="s">
        <v>1125</v>
      </c>
      <c r="C33" s="7">
        <v>46085</v>
      </c>
      <c r="D33" s="9" t="s">
        <v>299</v>
      </c>
      <c r="E33" s="8" t="s">
        <v>22</v>
      </c>
      <c r="F33" s="9" t="s">
        <v>242</v>
      </c>
      <c r="G33" s="9">
        <v>1</v>
      </c>
      <c r="H33" s="6" t="s">
        <v>328</v>
      </c>
      <c r="I33" s="9" t="s">
        <v>329</v>
      </c>
      <c r="J33" s="9" t="s">
        <v>145</v>
      </c>
    </row>
    <row r="34" spans="1:10">
      <c r="A34" s="5" t="s">
        <v>297</v>
      </c>
      <c r="B34" s="6" t="s">
        <v>1125</v>
      </c>
      <c r="C34" s="7">
        <v>46085</v>
      </c>
      <c r="D34" s="9" t="s">
        <v>299</v>
      </c>
      <c r="E34" s="8" t="s">
        <v>24</v>
      </c>
      <c r="F34" s="9" t="s">
        <v>246</v>
      </c>
      <c r="G34" s="9">
        <v>1</v>
      </c>
      <c r="H34" s="6" t="s">
        <v>328</v>
      </c>
      <c r="I34" s="9" t="s">
        <v>329</v>
      </c>
      <c r="J34" s="9" t="s">
        <v>145</v>
      </c>
    </row>
    <row r="35" spans="1:10">
      <c r="A35" s="5" t="s">
        <v>300</v>
      </c>
      <c r="B35" s="6" t="s">
        <v>1125</v>
      </c>
      <c r="C35" s="7">
        <v>46085</v>
      </c>
      <c r="D35" s="9" t="s">
        <v>261</v>
      </c>
      <c r="E35" s="8" t="s">
        <v>64</v>
      </c>
      <c r="F35" s="9" t="s">
        <v>242</v>
      </c>
      <c r="G35" s="9">
        <v>5</v>
      </c>
      <c r="H35" s="6" t="s">
        <v>328</v>
      </c>
      <c r="I35" s="9" t="s">
        <v>329</v>
      </c>
      <c r="J35" s="9" t="s">
        <v>145</v>
      </c>
    </row>
    <row r="36" spans="1:10">
      <c r="A36" s="5" t="s">
        <v>301</v>
      </c>
      <c r="B36" s="6" t="s">
        <v>1125</v>
      </c>
      <c r="C36" s="7">
        <v>46085</v>
      </c>
      <c r="D36" s="9" t="s">
        <v>270</v>
      </c>
      <c r="E36" s="8" t="s">
        <v>271</v>
      </c>
      <c r="F36" s="9" t="s">
        <v>242</v>
      </c>
      <c r="G36" s="9">
        <v>5</v>
      </c>
      <c r="H36" s="6" t="s">
        <v>328</v>
      </c>
      <c r="I36" s="9" t="s">
        <v>329</v>
      </c>
      <c r="J36" s="9" t="s">
        <v>145</v>
      </c>
    </row>
    <row r="37" spans="1:10">
      <c r="A37" s="5" t="s">
        <v>302</v>
      </c>
      <c r="B37" s="6" t="s">
        <v>1125</v>
      </c>
      <c r="C37" s="7">
        <v>46085</v>
      </c>
      <c r="D37" s="9" t="s">
        <v>503</v>
      </c>
      <c r="E37" s="8" t="s">
        <v>206</v>
      </c>
      <c r="F37" s="9" t="s">
        <v>242</v>
      </c>
      <c r="G37" s="9">
        <v>2</v>
      </c>
      <c r="H37" s="6" t="s">
        <v>328</v>
      </c>
      <c r="I37" s="9" t="s">
        <v>329</v>
      </c>
      <c r="J37" s="9" t="s">
        <v>145</v>
      </c>
    </row>
    <row r="38" spans="1:10">
      <c r="A38" s="5" t="s">
        <v>303</v>
      </c>
      <c r="B38" s="6" t="s">
        <v>1126</v>
      </c>
      <c r="C38" s="7">
        <v>46085</v>
      </c>
      <c r="D38" s="9" t="s">
        <v>241</v>
      </c>
      <c r="E38" s="8" t="s">
        <v>28</v>
      </c>
      <c r="F38" s="9" t="s">
        <v>242</v>
      </c>
      <c r="G38" s="9">
        <v>1</v>
      </c>
      <c r="H38" s="6" t="s">
        <v>243</v>
      </c>
      <c r="I38" s="9" t="s">
        <v>605</v>
      </c>
      <c r="J38" s="9" t="s">
        <v>145</v>
      </c>
    </row>
    <row r="39" spans="1:10">
      <c r="A39" s="5" t="s">
        <v>305</v>
      </c>
      <c r="B39" s="6" t="s">
        <v>1126</v>
      </c>
      <c r="C39" s="7">
        <v>46085</v>
      </c>
      <c r="D39" s="9" t="s">
        <v>241</v>
      </c>
      <c r="E39" s="8" t="s">
        <v>27</v>
      </c>
      <c r="F39" s="9" t="s">
        <v>246</v>
      </c>
      <c r="G39" s="9">
        <v>1</v>
      </c>
      <c r="H39" s="6" t="s">
        <v>243</v>
      </c>
      <c r="I39" s="9" t="s">
        <v>605</v>
      </c>
      <c r="J39" s="9" t="s">
        <v>145</v>
      </c>
    </row>
    <row r="40" spans="1:10">
      <c r="A40" s="5" t="s">
        <v>306</v>
      </c>
      <c r="B40" s="6" t="s">
        <v>1127</v>
      </c>
      <c r="C40" s="7">
        <v>46086</v>
      </c>
      <c r="D40" s="9" t="s">
        <v>299</v>
      </c>
      <c r="E40" s="8" t="s">
        <v>376</v>
      </c>
      <c r="F40" s="9" t="s">
        <v>242</v>
      </c>
      <c r="G40" s="9">
        <v>1</v>
      </c>
      <c r="H40" s="6" t="s">
        <v>249</v>
      </c>
      <c r="I40" s="9" t="s">
        <v>311</v>
      </c>
      <c r="J40" s="9" t="s">
        <v>145</v>
      </c>
    </row>
    <row r="41" spans="1:10">
      <c r="A41" s="5" t="s">
        <v>307</v>
      </c>
      <c r="B41" s="6" t="s">
        <v>1127</v>
      </c>
      <c r="C41" s="7">
        <v>46086</v>
      </c>
      <c r="D41" s="9" t="s">
        <v>299</v>
      </c>
      <c r="E41" s="8" t="s">
        <v>22</v>
      </c>
      <c r="F41" s="9" t="s">
        <v>246</v>
      </c>
      <c r="G41" s="9">
        <v>1</v>
      </c>
      <c r="H41" s="6" t="s">
        <v>249</v>
      </c>
      <c r="I41" s="9" t="s">
        <v>311</v>
      </c>
      <c r="J41" s="9" t="s">
        <v>145</v>
      </c>
    </row>
    <row r="42" spans="1:10">
      <c r="A42" s="5" t="s">
        <v>308</v>
      </c>
      <c r="B42" s="6" t="s">
        <v>1128</v>
      </c>
      <c r="C42" s="7">
        <v>46086</v>
      </c>
      <c r="D42" s="9" t="s">
        <v>299</v>
      </c>
      <c r="E42" s="8" t="s">
        <v>22</v>
      </c>
      <c r="F42" s="9" t="s">
        <v>242</v>
      </c>
      <c r="G42" s="9">
        <v>1</v>
      </c>
      <c r="H42" s="6" t="s">
        <v>249</v>
      </c>
      <c r="I42" s="9" t="s">
        <v>311</v>
      </c>
      <c r="J42" s="9" t="s">
        <v>145</v>
      </c>
    </row>
    <row r="43" spans="1:10">
      <c r="A43" s="5" t="s">
        <v>312</v>
      </c>
      <c r="B43" s="6" t="s">
        <v>1128</v>
      </c>
      <c r="C43" s="7">
        <v>46086</v>
      </c>
      <c r="D43" s="9" t="s">
        <v>299</v>
      </c>
      <c r="E43" s="8" t="s">
        <v>376</v>
      </c>
      <c r="F43" s="9" t="s">
        <v>246</v>
      </c>
      <c r="G43" s="9">
        <v>1</v>
      </c>
      <c r="H43" s="6" t="s">
        <v>249</v>
      </c>
      <c r="I43" s="9" t="s">
        <v>311</v>
      </c>
      <c r="J43" s="9" t="s">
        <v>145</v>
      </c>
    </row>
    <row r="44" spans="1:10">
      <c r="A44" s="5" t="s">
        <v>313</v>
      </c>
      <c r="B44" s="6" t="s">
        <v>1129</v>
      </c>
      <c r="C44" s="7">
        <v>46087</v>
      </c>
      <c r="D44" s="9" t="s">
        <v>241</v>
      </c>
      <c r="E44" s="8" t="s">
        <v>28</v>
      </c>
      <c r="F44" s="9" t="s">
        <v>242</v>
      </c>
      <c r="G44" s="9">
        <v>1</v>
      </c>
      <c r="H44" s="6" t="s">
        <v>931</v>
      </c>
      <c r="I44" s="9" t="s">
        <v>616</v>
      </c>
      <c r="J44" s="9" t="s">
        <v>145</v>
      </c>
    </row>
    <row r="45" spans="1:10">
      <c r="A45" s="5" t="s">
        <v>314</v>
      </c>
      <c r="B45" s="6" t="s">
        <v>1129</v>
      </c>
      <c r="C45" s="7">
        <v>46087</v>
      </c>
      <c r="D45" s="9" t="s">
        <v>241</v>
      </c>
      <c r="E45" s="8" t="s">
        <v>29</v>
      </c>
      <c r="F45" s="9" t="s">
        <v>246</v>
      </c>
      <c r="G45" s="9">
        <v>1</v>
      </c>
      <c r="H45" s="6" t="s">
        <v>931</v>
      </c>
      <c r="I45" s="9" t="s">
        <v>616</v>
      </c>
      <c r="J45" s="9" t="s">
        <v>145</v>
      </c>
    </row>
    <row r="46" spans="1:10">
      <c r="A46" s="5" t="s">
        <v>317</v>
      </c>
      <c r="B46" s="6" t="s">
        <v>1129</v>
      </c>
      <c r="C46" s="7">
        <v>46087</v>
      </c>
      <c r="D46" s="9" t="s">
        <v>261</v>
      </c>
      <c r="E46" s="8" t="s">
        <v>281</v>
      </c>
      <c r="F46" s="9" t="s">
        <v>242</v>
      </c>
      <c r="G46" s="9">
        <v>2</v>
      </c>
      <c r="H46" s="6" t="s">
        <v>931</v>
      </c>
      <c r="I46" s="9" t="s">
        <v>616</v>
      </c>
      <c r="J46" s="9" t="s">
        <v>145</v>
      </c>
    </row>
    <row r="47" spans="1:10">
      <c r="A47" s="5" t="s">
        <v>318</v>
      </c>
      <c r="B47" s="6" t="s">
        <v>1130</v>
      </c>
      <c r="C47" s="7">
        <v>46057</v>
      </c>
      <c r="D47" s="9" t="s">
        <v>241</v>
      </c>
      <c r="E47" s="8" t="s">
        <v>28</v>
      </c>
      <c r="F47" s="9" t="s">
        <v>242</v>
      </c>
      <c r="G47" s="9">
        <v>1</v>
      </c>
      <c r="H47" s="6" t="s">
        <v>310</v>
      </c>
      <c r="I47" s="9" t="s">
        <v>605</v>
      </c>
      <c r="J47" s="9" t="s">
        <v>145</v>
      </c>
    </row>
    <row r="48" spans="1:10">
      <c r="A48" s="5" t="s">
        <v>321</v>
      </c>
      <c r="B48" s="6" t="s">
        <v>1130</v>
      </c>
      <c r="C48" s="7">
        <v>46057</v>
      </c>
      <c r="D48" s="9" t="s">
        <v>241</v>
      </c>
      <c r="E48" s="4" t="s">
        <v>29</v>
      </c>
      <c r="F48" s="9" t="s">
        <v>246</v>
      </c>
      <c r="G48" s="9">
        <v>1</v>
      </c>
      <c r="H48" s="6" t="s">
        <v>310</v>
      </c>
      <c r="I48" s="9" t="s">
        <v>605</v>
      </c>
      <c r="J48" s="9" t="s">
        <v>145</v>
      </c>
    </row>
    <row r="49" spans="1:10">
      <c r="A49" s="5" t="s">
        <v>322</v>
      </c>
      <c r="B49" s="6" t="s">
        <v>1131</v>
      </c>
      <c r="C49" s="7">
        <v>46087</v>
      </c>
      <c r="D49" s="9" t="s">
        <v>241</v>
      </c>
      <c r="E49" s="4" t="s">
        <v>28</v>
      </c>
      <c r="F49" s="9" t="s">
        <v>242</v>
      </c>
      <c r="G49" s="9">
        <v>1</v>
      </c>
      <c r="H49" s="6" t="s">
        <v>328</v>
      </c>
      <c r="I49" s="9" t="s">
        <v>609</v>
      </c>
      <c r="J49" s="9" t="s">
        <v>145</v>
      </c>
    </row>
    <row r="50" spans="1:10">
      <c r="A50" s="5" t="s">
        <v>324</v>
      </c>
      <c r="B50" s="6" t="s">
        <v>1131</v>
      </c>
      <c r="C50" s="7">
        <v>46087</v>
      </c>
      <c r="D50" s="9" t="s">
        <v>241</v>
      </c>
      <c r="E50" s="8" t="s">
        <v>29</v>
      </c>
      <c r="F50" s="9" t="s">
        <v>246</v>
      </c>
      <c r="G50" s="9">
        <v>1</v>
      </c>
      <c r="H50" s="6" t="s">
        <v>328</v>
      </c>
      <c r="I50" s="9" t="s">
        <v>609</v>
      </c>
      <c r="J50" s="9" t="s">
        <v>145</v>
      </c>
    </row>
    <row r="51" spans="1:10">
      <c r="A51" s="5" t="s">
        <v>325</v>
      </c>
      <c r="B51" s="6" t="s">
        <v>1132</v>
      </c>
      <c r="C51" s="7">
        <v>46090</v>
      </c>
      <c r="D51" s="9" t="s">
        <v>299</v>
      </c>
      <c r="E51" s="8" t="s">
        <v>376</v>
      </c>
      <c r="F51" s="9" t="s">
        <v>242</v>
      </c>
      <c r="G51" s="9">
        <v>1</v>
      </c>
      <c r="H51" s="6" t="s">
        <v>1133</v>
      </c>
      <c r="I51" s="9" t="s">
        <v>244</v>
      </c>
      <c r="J51" s="9" t="s">
        <v>145</v>
      </c>
    </row>
    <row r="52" spans="1:10">
      <c r="A52" s="5" t="s">
        <v>326</v>
      </c>
      <c r="B52" s="6" t="s">
        <v>1132</v>
      </c>
      <c r="C52" s="7">
        <v>46090</v>
      </c>
      <c r="D52" s="9" t="s">
        <v>299</v>
      </c>
      <c r="E52" s="8" t="s">
        <v>376</v>
      </c>
      <c r="F52" s="9" t="s">
        <v>246</v>
      </c>
      <c r="G52" s="9">
        <v>1</v>
      </c>
      <c r="H52" s="6" t="s">
        <v>1133</v>
      </c>
      <c r="I52" s="9" t="s">
        <v>244</v>
      </c>
      <c r="J52" s="9" t="s">
        <v>145</v>
      </c>
    </row>
    <row r="53" spans="1:10">
      <c r="A53" s="5" t="s">
        <v>330</v>
      </c>
      <c r="B53" s="6" t="s">
        <v>1134</v>
      </c>
      <c r="C53" s="7">
        <v>46090</v>
      </c>
      <c r="D53" s="9" t="s">
        <v>564</v>
      </c>
      <c r="E53" s="4" t="s">
        <v>920</v>
      </c>
      <c r="F53" s="9" t="s">
        <v>242</v>
      </c>
      <c r="G53" s="9">
        <v>1</v>
      </c>
      <c r="H53" s="6" t="s">
        <v>1135</v>
      </c>
      <c r="I53" s="9" t="s">
        <v>976</v>
      </c>
      <c r="J53" s="9" t="s">
        <v>145</v>
      </c>
    </row>
    <row r="54" spans="1:10">
      <c r="A54" s="5" t="s">
        <v>331</v>
      </c>
      <c r="B54" s="6" t="s">
        <v>1134</v>
      </c>
      <c r="C54" s="7">
        <v>46090</v>
      </c>
      <c r="D54" s="9" t="s">
        <v>564</v>
      </c>
      <c r="E54" s="8" t="s">
        <v>41</v>
      </c>
      <c r="F54" s="9" t="s">
        <v>246</v>
      </c>
      <c r="G54" s="9">
        <v>1</v>
      </c>
      <c r="H54" s="6" t="s">
        <v>1135</v>
      </c>
      <c r="I54" s="9" t="s">
        <v>976</v>
      </c>
      <c r="J54" s="9" t="s">
        <v>145</v>
      </c>
    </row>
    <row r="55" spans="1:10">
      <c r="A55" s="5" t="s">
        <v>332</v>
      </c>
      <c r="B55" s="6" t="s">
        <v>1134</v>
      </c>
      <c r="C55" s="7">
        <v>46090</v>
      </c>
      <c r="D55" s="9" t="s">
        <v>261</v>
      </c>
      <c r="E55" s="4" t="s">
        <v>64</v>
      </c>
      <c r="F55" s="9" t="s">
        <v>242</v>
      </c>
      <c r="G55" s="9">
        <v>1</v>
      </c>
      <c r="H55" s="6" t="s">
        <v>1135</v>
      </c>
      <c r="I55" s="9" t="s">
        <v>976</v>
      </c>
      <c r="J55" s="9" t="s">
        <v>145</v>
      </c>
    </row>
    <row r="56" spans="1:10">
      <c r="A56" s="5" t="s">
        <v>334</v>
      </c>
      <c r="B56" s="6" t="s">
        <v>1134</v>
      </c>
      <c r="C56" s="7">
        <v>46090</v>
      </c>
      <c r="D56" s="9" t="s">
        <v>270</v>
      </c>
      <c r="E56" s="8" t="s">
        <v>271</v>
      </c>
      <c r="F56" s="9" t="s">
        <v>242</v>
      </c>
      <c r="G56" s="9">
        <v>1</v>
      </c>
      <c r="H56" s="6" t="s">
        <v>1135</v>
      </c>
      <c r="I56" s="9" t="s">
        <v>976</v>
      </c>
      <c r="J56" s="9" t="s">
        <v>145</v>
      </c>
    </row>
    <row r="57" spans="1:10">
      <c r="A57" s="5" t="s">
        <v>335</v>
      </c>
      <c r="B57" s="6" t="s">
        <v>1134</v>
      </c>
      <c r="C57" s="7">
        <v>46090</v>
      </c>
      <c r="D57" s="9" t="s">
        <v>503</v>
      </c>
      <c r="E57" s="4" t="s">
        <v>192</v>
      </c>
      <c r="F57" s="9" t="s">
        <v>242</v>
      </c>
      <c r="G57" s="9">
        <v>1</v>
      </c>
      <c r="H57" s="6" t="s">
        <v>1135</v>
      </c>
      <c r="I57" s="9" t="s">
        <v>976</v>
      </c>
      <c r="J57" s="9" t="s">
        <v>145</v>
      </c>
    </row>
    <row r="58" spans="1:10">
      <c r="A58" s="5" t="s">
        <v>338</v>
      </c>
      <c r="B58" s="6" t="s">
        <v>1136</v>
      </c>
      <c r="C58" s="7">
        <v>46090</v>
      </c>
      <c r="D58" s="9" t="s">
        <v>241</v>
      </c>
      <c r="E58" s="8" t="s">
        <v>28</v>
      </c>
      <c r="F58" s="9" t="s">
        <v>242</v>
      </c>
      <c r="G58" s="9">
        <v>1</v>
      </c>
      <c r="H58" s="6" t="s">
        <v>931</v>
      </c>
      <c r="I58" s="9" t="s">
        <v>253</v>
      </c>
      <c r="J58" s="9" t="s">
        <v>145</v>
      </c>
    </row>
    <row r="59" spans="1:10">
      <c r="A59" s="5" t="s">
        <v>339</v>
      </c>
      <c r="B59" s="6" t="s">
        <v>1136</v>
      </c>
      <c r="C59" s="7">
        <v>46090</v>
      </c>
      <c r="D59" s="9" t="s">
        <v>241</v>
      </c>
      <c r="E59" s="8" t="s">
        <v>29</v>
      </c>
      <c r="F59" s="9" t="s">
        <v>246</v>
      </c>
      <c r="G59" s="9">
        <v>1</v>
      </c>
      <c r="H59" s="6" t="s">
        <v>931</v>
      </c>
      <c r="I59" s="9" t="s">
        <v>253</v>
      </c>
      <c r="J59" s="9" t="s">
        <v>145</v>
      </c>
    </row>
    <row r="60" spans="1:10">
      <c r="A60" s="5" t="s">
        <v>342</v>
      </c>
      <c r="B60" s="6" t="s">
        <v>1137</v>
      </c>
      <c r="C60" s="7">
        <v>46090</v>
      </c>
      <c r="D60" s="9" t="s">
        <v>299</v>
      </c>
      <c r="E60" s="8" t="s">
        <v>376</v>
      </c>
      <c r="F60" s="9" t="s">
        <v>242</v>
      </c>
      <c r="G60" s="9">
        <v>1</v>
      </c>
      <c r="H60" s="6" t="s">
        <v>1138</v>
      </c>
      <c r="I60" s="9" t="s">
        <v>258</v>
      </c>
      <c r="J60" s="9" t="s">
        <v>145</v>
      </c>
    </row>
    <row r="61" spans="1:10">
      <c r="A61" s="5" t="s">
        <v>343</v>
      </c>
      <c r="B61" s="6" t="s">
        <v>1137</v>
      </c>
      <c r="C61" s="7">
        <v>46090</v>
      </c>
      <c r="D61" s="9" t="s">
        <v>299</v>
      </c>
      <c r="E61" s="8" t="s">
        <v>376</v>
      </c>
      <c r="F61" s="9" t="s">
        <v>246</v>
      </c>
      <c r="G61" s="9">
        <v>1</v>
      </c>
      <c r="H61" s="6" t="s">
        <v>1138</v>
      </c>
      <c r="I61" s="9" t="s">
        <v>258</v>
      </c>
      <c r="J61" s="9" t="s">
        <v>145</v>
      </c>
    </row>
    <row r="62" spans="1:10">
      <c r="A62" s="5" t="s">
        <v>345</v>
      </c>
      <c r="B62" s="6" t="s">
        <v>1139</v>
      </c>
      <c r="C62" s="7">
        <v>46091</v>
      </c>
      <c r="D62" s="9" t="s">
        <v>264</v>
      </c>
      <c r="E62" s="8" t="s">
        <v>38</v>
      </c>
      <c r="F62" s="9" t="s">
        <v>242</v>
      </c>
      <c r="G62" s="9">
        <v>1</v>
      </c>
      <c r="H62" s="6" t="s">
        <v>940</v>
      </c>
      <c r="I62" s="9" t="s">
        <v>514</v>
      </c>
      <c r="J62" s="9" t="s">
        <v>145</v>
      </c>
    </row>
    <row r="63" spans="1:10">
      <c r="A63" s="5" t="s">
        <v>346</v>
      </c>
      <c r="B63" s="6" t="s">
        <v>1139</v>
      </c>
      <c r="C63" s="7">
        <v>46091</v>
      </c>
      <c r="D63" s="9" t="s">
        <v>264</v>
      </c>
      <c r="E63" s="4" t="s">
        <v>35</v>
      </c>
      <c r="F63" s="9" t="s">
        <v>246</v>
      </c>
      <c r="G63" s="9">
        <v>1</v>
      </c>
      <c r="H63" s="6" t="s">
        <v>940</v>
      </c>
      <c r="I63" s="9" t="s">
        <v>514</v>
      </c>
      <c r="J63" s="9" t="s">
        <v>145</v>
      </c>
    </row>
    <row r="64" spans="1:10">
      <c r="A64" s="5" t="s">
        <v>349</v>
      </c>
      <c r="B64" s="6" t="s">
        <v>1139</v>
      </c>
      <c r="C64" s="7">
        <v>46091</v>
      </c>
      <c r="D64" s="9" t="s">
        <v>261</v>
      </c>
      <c r="E64" s="8" t="s">
        <v>64</v>
      </c>
      <c r="F64" s="9" t="s">
        <v>242</v>
      </c>
      <c r="G64" s="9">
        <v>2</v>
      </c>
      <c r="H64" s="6" t="s">
        <v>940</v>
      </c>
      <c r="I64" s="9" t="s">
        <v>514</v>
      </c>
      <c r="J64" s="9" t="s">
        <v>145</v>
      </c>
    </row>
    <row r="65" spans="1:10">
      <c r="A65" s="5" t="s">
        <v>350</v>
      </c>
      <c r="B65" s="6" t="s">
        <v>1139</v>
      </c>
      <c r="C65" s="7">
        <v>46091</v>
      </c>
      <c r="D65" s="9" t="s">
        <v>270</v>
      </c>
      <c r="E65" s="8" t="s">
        <v>271</v>
      </c>
      <c r="F65" s="9" t="s">
        <v>242</v>
      </c>
      <c r="G65" s="9">
        <v>2</v>
      </c>
      <c r="H65" s="6" t="s">
        <v>940</v>
      </c>
      <c r="I65" s="9" t="s">
        <v>514</v>
      </c>
      <c r="J65" s="9" t="s">
        <v>145</v>
      </c>
    </row>
    <row r="66" spans="1:10">
      <c r="A66" s="5" t="s">
        <v>353</v>
      </c>
      <c r="B66" s="6" t="s">
        <v>1140</v>
      </c>
      <c r="C66" s="7">
        <v>46092</v>
      </c>
      <c r="D66" s="9" t="s">
        <v>299</v>
      </c>
      <c r="E66" s="8" t="s">
        <v>376</v>
      </c>
      <c r="F66" s="9" t="s">
        <v>242</v>
      </c>
      <c r="G66" s="9">
        <v>1</v>
      </c>
      <c r="H66" s="6" t="s">
        <v>423</v>
      </c>
      <c r="I66" s="9" t="s">
        <v>415</v>
      </c>
      <c r="J66" s="9" t="s">
        <v>145</v>
      </c>
    </row>
    <row r="67" spans="1:10">
      <c r="A67" s="5" t="s">
        <v>354</v>
      </c>
      <c r="B67" s="6" t="s">
        <v>1140</v>
      </c>
      <c r="C67" s="7">
        <v>46092</v>
      </c>
      <c r="D67" s="9" t="s">
        <v>299</v>
      </c>
      <c r="E67" s="8" t="s">
        <v>376</v>
      </c>
      <c r="F67" s="9" t="s">
        <v>246</v>
      </c>
      <c r="G67" s="9">
        <v>1</v>
      </c>
      <c r="H67" s="6" t="s">
        <v>423</v>
      </c>
      <c r="I67" s="9" t="s">
        <v>415</v>
      </c>
      <c r="J67" s="9" t="s">
        <v>145</v>
      </c>
    </row>
    <row r="68" spans="1:10">
      <c r="A68" s="5" t="s">
        <v>355</v>
      </c>
      <c r="B68" s="6" t="s">
        <v>1141</v>
      </c>
      <c r="C68" s="7">
        <v>46092</v>
      </c>
      <c r="D68" s="9" t="s">
        <v>241</v>
      </c>
      <c r="E68" s="8" t="s">
        <v>28</v>
      </c>
      <c r="F68" s="9" t="s">
        <v>242</v>
      </c>
      <c r="G68" s="9">
        <v>2</v>
      </c>
      <c r="H68" s="6" t="s">
        <v>1142</v>
      </c>
      <c r="I68" s="9" t="s">
        <v>244</v>
      </c>
      <c r="J68" s="9" t="s">
        <v>145</v>
      </c>
    </row>
    <row r="69" spans="1:10">
      <c r="A69" s="5" t="s">
        <v>358</v>
      </c>
      <c r="B69" s="6" t="s">
        <v>1141</v>
      </c>
      <c r="C69" s="7">
        <v>46092</v>
      </c>
      <c r="D69" s="9" t="s">
        <v>241</v>
      </c>
      <c r="E69" s="8" t="s">
        <v>29</v>
      </c>
      <c r="F69" s="9" t="s">
        <v>246</v>
      </c>
      <c r="G69" s="9">
        <v>2</v>
      </c>
      <c r="H69" s="6" t="s">
        <v>1142</v>
      </c>
      <c r="I69" s="9" t="s">
        <v>244</v>
      </c>
      <c r="J69" s="9" t="s">
        <v>145</v>
      </c>
    </row>
    <row r="70" spans="1:10">
      <c r="A70" s="5" t="s">
        <v>359</v>
      </c>
      <c r="B70" s="6" t="s">
        <v>1143</v>
      </c>
      <c r="C70" s="7">
        <v>46092</v>
      </c>
      <c r="D70" s="9" t="s">
        <v>241</v>
      </c>
      <c r="E70" s="8" t="s">
        <v>28</v>
      </c>
      <c r="F70" s="9" t="s">
        <v>586</v>
      </c>
      <c r="G70" s="9">
        <v>1</v>
      </c>
      <c r="H70" s="6" t="s">
        <v>587</v>
      </c>
      <c r="I70" s="9" t="s">
        <v>244</v>
      </c>
      <c r="J70" s="9" t="s">
        <v>145</v>
      </c>
    </row>
    <row r="71" spans="1:10">
      <c r="A71" s="5" t="s">
        <v>361</v>
      </c>
      <c r="B71" s="6" t="s">
        <v>1144</v>
      </c>
      <c r="C71" s="7">
        <v>46094</v>
      </c>
      <c r="D71" s="9" t="s">
        <v>241</v>
      </c>
      <c r="E71" s="8" t="s">
        <v>28</v>
      </c>
      <c r="F71" s="9" t="s">
        <v>242</v>
      </c>
      <c r="G71" s="9">
        <v>1</v>
      </c>
      <c r="H71" s="6" t="s">
        <v>249</v>
      </c>
      <c r="I71" s="9" t="s">
        <v>363</v>
      </c>
      <c r="J71" s="9" t="s">
        <v>145</v>
      </c>
    </row>
    <row r="72" spans="1:10">
      <c r="A72" s="5" t="s">
        <v>364</v>
      </c>
      <c r="B72" s="6" t="s">
        <v>1144</v>
      </c>
      <c r="C72" s="7">
        <v>46094</v>
      </c>
      <c r="D72" s="9" t="s">
        <v>241</v>
      </c>
      <c r="E72" s="4" t="s">
        <v>29</v>
      </c>
      <c r="F72" s="9" t="s">
        <v>246</v>
      </c>
      <c r="G72" s="9">
        <v>1</v>
      </c>
      <c r="H72" s="6" t="s">
        <v>249</v>
      </c>
      <c r="I72" s="9" t="s">
        <v>363</v>
      </c>
      <c r="J72" s="9" t="s">
        <v>145</v>
      </c>
    </row>
    <row r="73" spans="1:10">
      <c r="A73" s="5" t="s">
        <v>365</v>
      </c>
      <c r="B73" s="6" t="s">
        <v>1145</v>
      </c>
      <c r="C73" s="7">
        <v>46094</v>
      </c>
      <c r="D73" s="9" t="s">
        <v>241</v>
      </c>
      <c r="E73" s="8" t="s">
        <v>28</v>
      </c>
      <c r="F73" s="9" t="s">
        <v>242</v>
      </c>
      <c r="G73" s="9">
        <v>1</v>
      </c>
      <c r="H73" s="6" t="s">
        <v>243</v>
      </c>
      <c r="I73" s="9" t="s">
        <v>388</v>
      </c>
      <c r="J73" s="9" t="s">
        <v>145</v>
      </c>
    </row>
    <row r="74" spans="1:10">
      <c r="A74" s="5" t="s">
        <v>368</v>
      </c>
      <c r="B74" s="6" t="s">
        <v>1145</v>
      </c>
      <c r="C74" s="7">
        <v>46094</v>
      </c>
      <c r="D74" s="9" t="s">
        <v>241</v>
      </c>
      <c r="E74" s="8" t="s">
        <v>27</v>
      </c>
      <c r="F74" s="9" t="s">
        <v>246</v>
      </c>
      <c r="G74" s="9">
        <v>1</v>
      </c>
      <c r="H74" s="6" t="s">
        <v>243</v>
      </c>
      <c r="I74" s="9" t="s">
        <v>388</v>
      </c>
      <c r="J74" s="9" t="s">
        <v>145</v>
      </c>
    </row>
    <row r="75" spans="1:10">
      <c r="A75" s="5" t="s">
        <v>369</v>
      </c>
      <c r="B75" s="6" t="s">
        <v>1146</v>
      </c>
      <c r="C75" s="7">
        <v>46094</v>
      </c>
      <c r="D75" s="9" t="s">
        <v>241</v>
      </c>
      <c r="E75" s="8" t="s">
        <v>28</v>
      </c>
      <c r="F75" s="9" t="s">
        <v>242</v>
      </c>
      <c r="G75" s="9">
        <v>1</v>
      </c>
      <c r="H75" s="6" t="s">
        <v>243</v>
      </c>
      <c r="I75" s="9" t="s">
        <v>258</v>
      </c>
      <c r="J75" s="9" t="s">
        <v>145</v>
      </c>
    </row>
    <row r="76" spans="1:10">
      <c r="A76" s="5" t="s">
        <v>370</v>
      </c>
      <c r="B76" s="6" t="s">
        <v>1146</v>
      </c>
      <c r="C76" s="7">
        <v>46094</v>
      </c>
      <c r="D76" s="9" t="s">
        <v>241</v>
      </c>
      <c r="E76" s="8" t="s">
        <v>27</v>
      </c>
      <c r="F76" s="9" t="s">
        <v>246</v>
      </c>
      <c r="G76" s="9">
        <v>1</v>
      </c>
      <c r="H76" s="6" t="s">
        <v>243</v>
      </c>
      <c r="I76" s="9" t="s">
        <v>258</v>
      </c>
      <c r="J76" s="9" t="s">
        <v>145</v>
      </c>
    </row>
    <row r="77" spans="1:10">
      <c r="A77" s="5" t="s">
        <v>372</v>
      </c>
      <c r="B77" s="6" t="s">
        <v>1146</v>
      </c>
      <c r="C77" s="7">
        <v>46094</v>
      </c>
      <c r="D77" s="9" t="s">
        <v>261</v>
      </c>
      <c r="E77" s="8" t="s">
        <v>281</v>
      </c>
      <c r="F77" s="9" t="s">
        <v>242</v>
      </c>
      <c r="G77" s="9">
        <v>3</v>
      </c>
      <c r="H77" s="6" t="s">
        <v>243</v>
      </c>
      <c r="I77" s="9" t="s">
        <v>258</v>
      </c>
      <c r="J77" s="9" t="s">
        <v>145</v>
      </c>
    </row>
    <row r="78" spans="1:10">
      <c r="A78" s="5" t="s">
        <v>373</v>
      </c>
      <c r="B78" s="6" t="s">
        <v>1147</v>
      </c>
      <c r="C78" s="7">
        <v>46094</v>
      </c>
      <c r="D78" s="9" t="s">
        <v>241</v>
      </c>
      <c r="E78" s="8" t="s">
        <v>28</v>
      </c>
      <c r="F78" s="9" t="s">
        <v>242</v>
      </c>
      <c r="G78" s="9">
        <v>1</v>
      </c>
      <c r="H78" s="6" t="s">
        <v>328</v>
      </c>
      <c r="I78" s="9" t="s">
        <v>388</v>
      </c>
      <c r="J78" s="9" t="s">
        <v>145</v>
      </c>
    </row>
    <row r="79" spans="1:10">
      <c r="A79" s="5" t="s">
        <v>375</v>
      </c>
      <c r="B79" s="6" t="s">
        <v>1147</v>
      </c>
      <c r="C79" s="7">
        <v>46094</v>
      </c>
      <c r="D79" s="9" t="s">
        <v>241</v>
      </c>
      <c r="E79" s="8" t="s">
        <v>29</v>
      </c>
      <c r="F79" s="9" t="s">
        <v>246</v>
      </c>
      <c r="G79" s="9">
        <v>1</v>
      </c>
      <c r="H79" s="6" t="s">
        <v>328</v>
      </c>
      <c r="I79" s="9" t="s">
        <v>388</v>
      </c>
      <c r="J79" s="9" t="s">
        <v>145</v>
      </c>
    </row>
    <row r="80" spans="1:10">
      <c r="A80" s="5" t="s">
        <v>377</v>
      </c>
      <c r="B80" s="6" t="s">
        <v>1148</v>
      </c>
      <c r="C80" s="7">
        <v>46094</v>
      </c>
      <c r="D80" s="9" t="s">
        <v>299</v>
      </c>
      <c r="E80" s="4" t="s">
        <v>376</v>
      </c>
      <c r="F80" s="9" t="s">
        <v>242</v>
      </c>
      <c r="G80" s="9">
        <v>1</v>
      </c>
      <c r="H80" s="6" t="s">
        <v>310</v>
      </c>
      <c r="I80" s="9" t="s">
        <v>284</v>
      </c>
      <c r="J80" s="9" t="s">
        <v>145</v>
      </c>
    </row>
    <row r="81" spans="1:10">
      <c r="A81" s="5" t="s">
        <v>378</v>
      </c>
      <c r="B81" s="6" t="s">
        <v>1148</v>
      </c>
      <c r="C81" s="7">
        <v>46094</v>
      </c>
      <c r="D81" s="9" t="s">
        <v>299</v>
      </c>
      <c r="E81" s="8" t="s">
        <v>376</v>
      </c>
      <c r="F81" s="9" t="s">
        <v>246</v>
      </c>
      <c r="G81" s="9">
        <v>1</v>
      </c>
      <c r="H81" s="6" t="s">
        <v>310</v>
      </c>
      <c r="I81" s="9" t="s">
        <v>284</v>
      </c>
      <c r="J81" s="9" t="s">
        <v>145</v>
      </c>
    </row>
    <row r="82" spans="1:10">
      <c r="A82" s="5" t="s">
        <v>379</v>
      </c>
      <c r="B82" s="6" t="s">
        <v>1149</v>
      </c>
      <c r="C82" s="7">
        <v>46094</v>
      </c>
      <c r="D82" s="9" t="s">
        <v>564</v>
      </c>
      <c r="E82" s="8" t="s">
        <v>920</v>
      </c>
      <c r="F82" s="9" t="s">
        <v>242</v>
      </c>
      <c r="G82" s="9">
        <v>1</v>
      </c>
      <c r="H82" s="6" t="s">
        <v>1135</v>
      </c>
      <c r="I82" s="9" t="s">
        <v>258</v>
      </c>
      <c r="J82" s="9" t="s">
        <v>145</v>
      </c>
    </row>
    <row r="83" spans="1:10">
      <c r="A83" s="5" t="s">
        <v>381</v>
      </c>
      <c r="B83" s="6" t="s">
        <v>1149</v>
      </c>
      <c r="C83" s="7">
        <v>46094</v>
      </c>
      <c r="D83" s="9" t="s">
        <v>564</v>
      </c>
      <c r="E83" s="8" t="s">
        <v>40</v>
      </c>
      <c r="F83" s="9" t="s">
        <v>246</v>
      </c>
      <c r="G83" s="9">
        <v>1</v>
      </c>
      <c r="H83" s="6" t="s">
        <v>1135</v>
      </c>
      <c r="I83" s="9" t="s">
        <v>258</v>
      </c>
      <c r="J83" s="9" t="s">
        <v>145</v>
      </c>
    </row>
    <row r="84" spans="1:10">
      <c r="A84" s="5" t="s">
        <v>382</v>
      </c>
      <c r="B84" s="6" t="s">
        <v>1149</v>
      </c>
      <c r="C84" s="7">
        <v>46094</v>
      </c>
      <c r="D84" s="9" t="s">
        <v>503</v>
      </c>
      <c r="E84" s="8" t="s">
        <v>160</v>
      </c>
      <c r="F84" s="9" t="s">
        <v>242</v>
      </c>
      <c r="G84" s="9">
        <v>8</v>
      </c>
      <c r="H84" s="6" t="s">
        <v>1135</v>
      </c>
      <c r="I84" s="9" t="s">
        <v>258</v>
      </c>
      <c r="J84" s="9" t="s">
        <v>145</v>
      </c>
    </row>
    <row r="85" spans="1:10">
      <c r="A85" s="5" t="s">
        <v>384</v>
      </c>
      <c r="B85" s="6" t="s">
        <v>1149</v>
      </c>
      <c r="C85" s="7">
        <v>46094</v>
      </c>
      <c r="D85" s="9" t="s">
        <v>503</v>
      </c>
      <c r="E85" s="8" t="s">
        <v>187</v>
      </c>
      <c r="F85" s="9" t="s">
        <v>242</v>
      </c>
      <c r="G85" s="9">
        <v>1</v>
      </c>
      <c r="H85" s="6" t="s">
        <v>1135</v>
      </c>
      <c r="I85" s="9" t="s">
        <v>258</v>
      </c>
      <c r="J85" s="9" t="s">
        <v>145</v>
      </c>
    </row>
    <row r="86" spans="1:10">
      <c r="A86" s="5" t="s">
        <v>385</v>
      </c>
      <c r="B86" s="6" t="s">
        <v>1149</v>
      </c>
      <c r="C86" s="7">
        <v>46094</v>
      </c>
      <c r="D86" s="9" t="s">
        <v>503</v>
      </c>
      <c r="E86" s="8" t="s">
        <v>75</v>
      </c>
      <c r="F86" s="9" t="s">
        <v>242</v>
      </c>
      <c r="G86" s="9">
        <v>2</v>
      </c>
      <c r="H86" s="6" t="s">
        <v>1135</v>
      </c>
      <c r="I86" s="9" t="s">
        <v>258</v>
      </c>
      <c r="J86" s="9" t="s">
        <v>145</v>
      </c>
    </row>
    <row r="87" spans="1:10">
      <c r="A87" s="5" t="s">
        <v>389</v>
      </c>
      <c r="B87" s="6" t="s">
        <v>1149</v>
      </c>
      <c r="C87" s="7">
        <v>46094</v>
      </c>
      <c r="D87" s="9" t="s">
        <v>711</v>
      </c>
      <c r="E87" s="8" t="s">
        <v>111</v>
      </c>
      <c r="F87" s="9" t="s">
        <v>242</v>
      </c>
      <c r="G87" s="9">
        <v>1</v>
      </c>
      <c r="H87" s="6" t="s">
        <v>1135</v>
      </c>
      <c r="I87" s="9" t="s">
        <v>258</v>
      </c>
      <c r="J87" s="9" t="s">
        <v>145</v>
      </c>
    </row>
    <row r="88" spans="1:10">
      <c r="A88" s="5" t="s">
        <v>390</v>
      </c>
      <c r="B88" s="6" t="s">
        <v>1149</v>
      </c>
      <c r="C88" s="7">
        <v>46094</v>
      </c>
      <c r="D88" s="9" t="s">
        <v>714</v>
      </c>
      <c r="E88" s="8" t="s">
        <v>715</v>
      </c>
      <c r="F88" s="9" t="s">
        <v>242</v>
      </c>
      <c r="G88" s="9">
        <v>1</v>
      </c>
      <c r="H88" s="6" t="s">
        <v>1135</v>
      </c>
      <c r="I88" s="9" t="s">
        <v>258</v>
      </c>
      <c r="J88" s="9" t="s">
        <v>145</v>
      </c>
    </row>
    <row r="89" spans="1:10">
      <c r="A89" s="5" t="s">
        <v>391</v>
      </c>
      <c r="B89" s="6" t="s">
        <v>1150</v>
      </c>
      <c r="C89" s="7">
        <v>46094</v>
      </c>
      <c r="D89" s="9" t="s">
        <v>241</v>
      </c>
      <c r="E89" s="8" t="s">
        <v>28</v>
      </c>
      <c r="F89" s="9" t="s">
        <v>242</v>
      </c>
      <c r="G89" s="9">
        <v>1</v>
      </c>
      <c r="H89" s="6" t="s">
        <v>243</v>
      </c>
      <c r="I89" s="9" t="s">
        <v>258</v>
      </c>
      <c r="J89" s="9" t="s">
        <v>145</v>
      </c>
    </row>
    <row r="90" spans="1:10">
      <c r="A90" s="5" t="s">
        <v>393</v>
      </c>
      <c r="B90" s="6" t="s">
        <v>1150</v>
      </c>
      <c r="C90" s="7">
        <v>46094</v>
      </c>
      <c r="D90" s="9" t="s">
        <v>241</v>
      </c>
      <c r="E90" s="8" t="s">
        <v>29</v>
      </c>
      <c r="F90" s="9" t="s">
        <v>246</v>
      </c>
      <c r="G90" s="9">
        <v>1</v>
      </c>
      <c r="H90" s="6" t="s">
        <v>243</v>
      </c>
      <c r="I90" s="9" t="s">
        <v>258</v>
      </c>
      <c r="J90" s="9" t="s">
        <v>145</v>
      </c>
    </row>
    <row r="91" spans="1:10">
      <c r="A91" s="5" t="s">
        <v>394</v>
      </c>
      <c r="B91" s="6" t="s">
        <v>1151</v>
      </c>
      <c r="C91" s="7">
        <v>46097</v>
      </c>
      <c r="D91" s="9" t="s">
        <v>241</v>
      </c>
      <c r="E91" s="8" t="s">
        <v>1152</v>
      </c>
      <c r="F91" s="9" t="s">
        <v>242</v>
      </c>
      <c r="G91" s="9">
        <v>1</v>
      </c>
      <c r="H91" s="6" t="s">
        <v>243</v>
      </c>
      <c r="I91" s="9" t="s">
        <v>616</v>
      </c>
      <c r="J91" s="9" t="s">
        <v>145</v>
      </c>
    </row>
    <row r="92" spans="1:10">
      <c r="A92" s="5" t="s">
        <v>396</v>
      </c>
      <c r="B92" s="6" t="s">
        <v>1151</v>
      </c>
      <c r="C92" s="7">
        <v>46097</v>
      </c>
      <c r="D92" s="9" t="s">
        <v>241</v>
      </c>
      <c r="E92" s="8" t="s">
        <v>27</v>
      </c>
      <c r="F92" s="9" t="s">
        <v>246</v>
      </c>
      <c r="G92" s="9">
        <v>1</v>
      </c>
      <c r="H92" s="6" t="s">
        <v>243</v>
      </c>
      <c r="I92" s="9" t="s">
        <v>616</v>
      </c>
      <c r="J92" s="9" t="s">
        <v>145</v>
      </c>
    </row>
    <row r="93" spans="1:10">
      <c r="A93" s="5" t="s">
        <v>398</v>
      </c>
      <c r="B93" s="6" t="s">
        <v>1153</v>
      </c>
      <c r="C93" s="7">
        <v>46097</v>
      </c>
      <c r="D93" s="9" t="s">
        <v>299</v>
      </c>
      <c r="E93" s="4" t="s">
        <v>376</v>
      </c>
      <c r="F93" s="9" t="s">
        <v>242</v>
      </c>
      <c r="G93" s="9">
        <v>1</v>
      </c>
      <c r="H93" s="6" t="s">
        <v>954</v>
      </c>
      <c r="I93" s="9" t="s">
        <v>532</v>
      </c>
      <c r="J93" s="9" t="s">
        <v>145</v>
      </c>
    </row>
    <row r="94" spans="1:10">
      <c r="A94" s="5" t="s">
        <v>399</v>
      </c>
      <c r="B94" s="6" t="s">
        <v>1153</v>
      </c>
      <c r="C94" s="7">
        <v>46097</v>
      </c>
      <c r="D94" s="9" t="s">
        <v>299</v>
      </c>
      <c r="E94" s="8" t="s">
        <v>376</v>
      </c>
      <c r="F94" s="9" t="s">
        <v>246</v>
      </c>
      <c r="G94" s="9">
        <v>1</v>
      </c>
      <c r="H94" s="6" t="s">
        <v>954</v>
      </c>
      <c r="I94" s="9" t="s">
        <v>532</v>
      </c>
      <c r="J94" s="9" t="s">
        <v>145</v>
      </c>
    </row>
    <row r="95" spans="1:10">
      <c r="A95" s="5" t="s">
        <v>401</v>
      </c>
      <c r="B95" s="6" t="s">
        <v>1154</v>
      </c>
      <c r="C95" s="7">
        <v>46097</v>
      </c>
      <c r="D95" s="9" t="s">
        <v>241</v>
      </c>
      <c r="E95" s="8" t="s">
        <v>28</v>
      </c>
      <c r="F95" s="9" t="s">
        <v>242</v>
      </c>
      <c r="G95" s="9">
        <v>1</v>
      </c>
      <c r="H95" s="6" t="s">
        <v>243</v>
      </c>
      <c r="I95" s="9" t="s">
        <v>605</v>
      </c>
      <c r="J95" s="9" t="s">
        <v>145</v>
      </c>
    </row>
    <row r="96" spans="1:10">
      <c r="A96" s="5" t="s">
        <v>402</v>
      </c>
      <c r="B96" s="6" t="s">
        <v>1154</v>
      </c>
      <c r="C96" s="7">
        <v>46097</v>
      </c>
      <c r="D96" s="9" t="s">
        <v>241</v>
      </c>
      <c r="E96" s="8" t="s">
        <v>27</v>
      </c>
      <c r="F96" s="9" t="s">
        <v>246</v>
      </c>
      <c r="G96" s="9">
        <v>1</v>
      </c>
      <c r="H96" s="6" t="s">
        <v>243</v>
      </c>
      <c r="I96" s="9" t="s">
        <v>605</v>
      </c>
      <c r="J96" s="9" t="s">
        <v>145</v>
      </c>
    </row>
    <row r="97" spans="1:10">
      <c r="A97" s="5" t="s">
        <v>403</v>
      </c>
      <c r="B97" s="6" t="s">
        <v>1154</v>
      </c>
      <c r="C97" s="7">
        <v>46097</v>
      </c>
      <c r="D97" s="9" t="s">
        <v>261</v>
      </c>
      <c r="E97" s="8" t="s">
        <v>281</v>
      </c>
      <c r="F97" s="9" t="s">
        <v>242</v>
      </c>
      <c r="G97" s="9">
        <v>3</v>
      </c>
      <c r="H97" s="6" t="s">
        <v>243</v>
      </c>
      <c r="I97" s="9" t="s">
        <v>605</v>
      </c>
      <c r="J97" s="9" t="s">
        <v>145</v>
      </c>
    </row>
    <row r="98" spans="1:10">
      <c r="A98" s="5" t="s">
        <v>405</v>
      </c>
      <c r="B98" s="6" t="s">
        <v>1155</v>
      </c>
      <c r="C98" s="7">
        <v>46097</v>
      </c>
      <c r="D98" s="9" t="s">
        <v>299</v>
      </c>
      <c r="E98" s="8" t="s">
        <v>22</v>
      </c>
      <c r="F98" s="9" t="s">
        <v>242</v>
      </c>
      <c r="G98" s="9">
        <v>1</v>
      </c>
      <c r="H98" s="6" t="s">
        <v>513</v>
      </c>
      <c r="I98" s="9" t="s">
        <v>532</v>
      </c>
      <c r="J98" s="9" t="s">
        <v>145</v>
      </c>
    </row>
    <row r="99" spans="1:10">
      <c r="A99" s="5" t="s">
        <v>406</v>
      </c>
      <c r="B99" s="6" t="s">
        <v>1155</v>
      </c>
      <c r="C99" s="7">
        <v>46097</v>
      </c>
      <c r="D99" s="9" t="s">
        <v>299</v>
      </c>
      <c r="E99" s="8" t="s">
        <v>22</v>
      </c>
      <c r="F99" s="9" t="s">
        <v>246</v>
      </c>
      <c r="G99" s="9">
        <v>1</v>
      </c>
      <c r="H99" s="6" t="s">
        <v>513</v>
      </c>
      <c r="I99" s="9" t="s">
        <v>532</v>
      </c>
      <c r="J99" s="9" t="s">
        <v>145</v>
      </c>
    </row>
    <row r="100" spans="1:10">
      <c r="A100" s="5" t="s">
        <v>409</v>
      </c>
      <c r="B100" s="6" t="s">
        <v>1156</v>
      </c>
      <c r="C100" s="7">
        <v>46098</v>
      </c>
      <c r="D100" s="9" t="s">
        <v>241</v>
      </c>
      <c r="E100" s="8" t="s">
        <v>28</v>
      </c>
      <c r="F100" s="9" t="s">
        <v>242</v>
      </c>
      <c r="G100" s="9">
        <v>1</v>
      </c>
      <c r="H100" s="6" t="s">
        <v>1157</v>
      </c>
      <c r="I100" s="9" t="s">
        <v>258</v>
      </c>
      <c r="J100" s="9" t="s">
        <v>145</v>
      </c>
    </row>
    <row r="101" spans="1:10">
      <c r="A101" s="5" t="s">
        <v>410</v>
      </c>
      <c r="B101" s="6" t="s">
        <v>1156</v>
      </c>
      <c r="C101" s="7">
        <v>46098</v>
      </c>
      <c r="D101" s="9" t="s">
        <v>241</v>
      </c>
      <c r="E101" s="8" t="s">
        <v>27</v>
      </c>
      <c r="F101" s="9" t="s">
        <v>246</v>
      </c>
      <c r="G101" s="9">
        <v>1</v>
      </c>
      <c r="H101" s="6" t="s">
        <v>1157</v>
      </c>
      <c r="I101" s="9" t="s">
        <v>258</v>
      </c>
      <c r="J101" s="9" t="s">
        <v>145</v>
      </c>
    </row>
    <row r="102" spans="1:10">
      <c r="A102" s="5" t="s">
        <v>412</v>
      </c>
      <c r="B102" s="6" t="s">
        <v>1156</v>
      </c>
      <c r="C102" s="7">
        <v>46098</v>
      </c>
      <c r="D102" s="9" t="s">
        <v>261</v>
      </c>
      <c r="E102" s="8" t="s">
        <v>62</v>
      </c>
      <c r="F102" s="9" t="s">
        <v>242</v>
      </c>
      <c r="G102" s="9">
        <v>4</v>
      </c>
      <c r="H102" s="6" t="s">
        <v>1157</v>
      </c>
      <c r="I102" s="9" t="s">
        <v>258</v>
      </c>
      <c r="J102" s="9" t="s">
        <v>145</v>
      </c>
    </row>
    <row r="103" spans="1:10">
      <c r="A103" s="5" t="s">
        <v>413</v>
      </c>
      <c r="B103" s="6" t="s">
        <v>1158</v>
      </c>
      <c r="C103" s="7">
        <v>46098</v>
      </c>
      <c r="D103" s="9" t="s">
        <v>241</v>
      </c>
      <c r="E103" s="8" t="s">
        <v>28</v>
      </c>
      <c r="F103" s="9" t="s">
        <v>242</v>
      </c>
      <c r="G103" s="9">
        <v>1</v>
      </c>
      <c r="H103" s="6" t="s">
        <v>243</v>
      </c>
      <c r="I103" s="9" t="s">
        <v>258</v>
      </c>
      <c r="J103" s="9" t="s">
        <v>145</v>
      </c>
    </row>
    <row r="104" spans="1:10">
      <c r="A104" s="5" t="s">
        <v>416</v>
      </c>
      <c r="B104" s="6" t="s">
        <v>1158</v>
      </c>
      <c r="C104" s="7">
        <v>46098</v>
      </c>
      <c r="D104" s="9" t="s">
        <v>241</v>
      </c>
      <c r="E104" s="8" t="s">
        <v>27</v>
      </c>
      <c r="F104" s="9" t="s">
        <v>246</v>
      </c>
      <c r="G104" s="9">
        <v>1</v>
      </c>
      <c r="H104" s="6" t="s">
        <v>243</v>
      </c>
      <c r="I104" s="9" t="s">
        <v>258</v>
      </c>
      <c r="J104" s="9" t="s">
        <v>145</v>
      </c>
    </row>
    <row r="105" spans="1:10">
      <c r="A105" s="5" t="s">
        <v>417</v>
      </c>
      <c r="B105" s="6" t="s">
        <v>1158</v>
      </c>
      <c r="C105" s="7">
        <v>46098</v>
      </c>
      <c r="D105" s="9" t="s">
        <v>261</v>
      </c>
      <c r="E105" s="8" t="s">
        <v>62</v>
      </c>
      <c r="F105" s="9" t="s">
        <v>242</v>
      </c>
      <c r="G105" s="9">
        <v>2</v>
      </c>
      <c r="H105" s="6" t="s">
        <v>243</v>
      </c>
      <c r="I105" s="9" t="s">
        <v>258</v>
      </c>
      <c r="J105" s="9" t="s">
        <v>145</v>
      </c>
    </row>
    <row r="106" spans="1:10">
      <c r="A106" s="5" t="s">
        <v>420</v>
      </c>
      <c r="B106" s="6" t="s">
        <v>1159</v>
      </c>
      <c r="C106" s="7">
        <v>46098</v>
      </c>
      <c r="D106" s="9" t="s">
        <v>241</v>
      </c>
      <c r="E106" s="8" t="s">
        <v>28</v>
      </c>
      <c r="F106" s="9" t="s">
        <v>242</v>
      </c>
      <c r="G106" s="9">
        <v>1</v>
      </c>
      <c r="H106" s="6" t="s">
        <v>423</v>
      </c>
      <c r="I106" s="9" t="s">
        <v>605</v>
      </c>
      <c r="J106" s="9" t="s">
        <v>145</v>
      </c>
    </row>
    <row r="107" spans="1:10">
      <c r="A107" s="5" t="s">
        <v>421</v>
      </c>
      <c r="B107" s="6" t="s">
        <v>1159</v>
      </c>
      <c r="C107" s="7">
        <v>46098</v>
      </c>
      <c r="D107" s="9" t="s">
        <v>241</v>
      </c>
      <c r="E107" s="8" t="s">
        <v>27</v>
      </c>
      <c r="F107" s="9" t="s">
        <v>246</v>
      </c>
      <c r="G107" s="9">
        <v>1</v>
      </c>
      <c r="H107" s="6" t="s">
        <v>423</v>
      </c>
      <c r="I107" s="9" t="s">
        <v>605</v>
      </c>
      <c r="J107" s="9" t="s">
        <v>145</v>
      </c>
    </row>
    <row r="108" spans="1:10">
      <c r="A108" s="5" t="s">
        <v>424</v>
      </c>
      <c r="B108" s="6" t="s">
        <v>1159</v>
      </c>
      <c r="C108" s="7">
        <v>46098</v>
      </c>
      <c r="D108" s="9" t="s">
        <v>261</v>
      </c>
      <c r="E108" s="8" t="s">
        <v>62</v>
      </c>
      <c r="F108" s="9" t="s">
        <v>242</v>
      </c>
      <c r="G108" s="9">
        <v>2</v>
      </c>
      <c r="H108" s="6" t="s">
        <v>423</v>
      </c>
      <c r="I108" s="9" t="s">
        <v>605</v>
      </c>
      <c r="J108" s="9" t="s">
        <v>145</v>
      </c>
    </row>
    <row r="109" spans="1:10">
      <c r="A109" s="5" t="s">
        <v>425</v>
      </c>
      <c r="B109" s="6" t="s">
        <v>1160</v>
      </c>
      <c r="C109" s="7">
        <v>46099</v>
      </c>
      <c r="D109" s="9" t="s">
        <v>241</v>
      </c>
      <c r="E109" s="4" t="s">
        <v>28</v>
      </c>
      <c r="F109" s="9" t="s">
        <v>242</v>
      </c>
      <c r="G109" s="9">
        <v>1</v>
      </c>
      <c r="H109" s="6" t="s">
        <v>243</v>
      </c>
      <c r="I109" s="9" t="s">
        <v>244</v>
      </c>
      <c r="J109" s="9" t="s">
        <v>145</v>
      </c>
    </row>
    <row r="110" spans="1:10">
      <c r="A110" s="5" t="s">
        <v>427</v>
      </c>
      <c r="B110" s="6" t="s">
        <v>1160</v>
      </c>
      <c r="C110" s="7">
        <v>46099</v>
      </c>
      <c r="D110" s="9" t="s">
        <v>241</v>
      </c>
      <c r="E110" s="8" t="s">
        <v>28</v>
      </c>
      <c r="F110" s="9" t="s">
        <v>246</v>
      </c>
      <c r="G110" s="9">
        <v>1</v>
      </c>
      <c r="H110" s="6" t="s">
        <v>243</v>
      </c>
      <c r="I110" s="9" t="s">
        <v>244</v>
      </c>
      <c r="J110" s="9" t="s">
        <v>145</v>
      </c>
    </row>
    <row r="111" spans="1:10" ht="15" customHeight="1">
      <c r="A111" s="5" t="s">
        <v>428</v>
      </c>
      <c r="B111" s="6" t="s">
        <v>1161</v>
      </c>
      <c r="C111" s="7">
        <v>46099</v>
      </c>
      <c r="D111" s="9" t="s">
        <v>299</v>
      </c>
      <c r="E111" s="8" t="s">
        <v>22</v>
      </c>
      <c r="F111" s="9" t="s">
        <v>242</v>
      </c>
      <c r="G111" s="9">
        <v>1</v>
      </c>
      <c r="H111" s="6" t="s">
        <v>408</v>
      </c>
      <c r="I111" s="9" t="s">
        <v>484</v>
      </c>
      <c r="J111" s="9" t="s">
        <v>145</v>
      </c>
    </row>
    <row r="112" spans="1:10">
      <c r="A112" s="5" t="s">
        <v>430</v>
      </c>
      <c r="B112" s="6" t="s">
        <v>1161</v>
      </c>
      <c r="C112" s="7">
        <v>46099</v>
      </c>
      <c r="D112" s="9" t="s">
        <v>299</v>
      </c>
      <c r="E112" s="4" t="s">
        <v>22</v>
      </c>
      <c r="F112" s="9" t="s">
        <v>246</v>
      </c>
      <c r="G112" s="9">
        <v>1</v>
      </c>
      <c r="H112" s="6" t="s">
        <v>408</v>
      </c>
      <c r="I112" s="9" t="s">
        <v>484</v>
      </c>
      <c r="J112" s="9" t="s">
        <v>145</v>
      </c>
    </row>
    <row r="113" spans="1:10">
      <c r="A113" s="5" t="s">
        <v>431</v>
      </c>
      <c r="B113" s="6" t="s">
        <v>1162</v>
      </c>
      <c r="C113" s="7">
        <v>46100</v>
      </c>
      <c r="D113" s="9" t="s">
        <v>241</v>
      </c>
      <c r="E113" s="8" t="s">
        <v>28</v>
      </c>
      <c r="F113" s="9" t="s">
        <v>242</v>
      </c>
      <c r="G113" s="9">
        <v>1</v>
      </c>
      <c r="H113" s="6" t="s">
        <v>243</v>
      </c>
      <c r="I113" s="9" t="s">
        <v>609</v>
      </c>
      <c r="J113" s="9" t="s">
        <v>145</v>
      </c>
    </row>
    <row r="114" spans="1:10">
      <c r="A114" s="5" t="s">
        <v>433</v>
      </c>
      <c r="B114" s="6" t="s">
        <v>1162</v>
      </c>
      <c r="C114" s="7">
        <v>46100</v>
      </c>
      <c r="D114" s="9" t="s">
        <v>241</v>
      </c>
      <c r="E114" s="8" t="s">
        <v>27</v>
      </c>
      <c r="F114" s="9" t="s">
        <v>246</v>
      </c>
      <c r="G114" s="9">
        <v>1</v>
      </c>
      <c r="H114" s="6" t="s">
        <v>243</v>
      </c>
      <c r="I114" s="9" t="s">
        <v>609</v>
      </c>
      <c r="J114" s="9" t="s">
        <v>145</v>
      </c>
    </row>
    <row r="115" spans="1:10">
      <c r="A115" s="5" t="s">
        <v>434</v>
      </c>
      <c r="B115" s="6" t="s">
        <v>1163</v>
      </c>
      <c r="C115" s="7">
        <v>46100</v>
      </c>
      <c r="D115" s="9" t="s">
        <v>241</v>
      </c>
      <c r="E115" s="4" t="s">
        <v>28</v>
      </c>
      <c r="F115" s="9" t="s">
        <v>242</v>
      </c>
      <c r="G115" s="9">
        <v>1</v>
      </c>
      <c r="H115" s="6" t="s">
        <v>243</v>
      </c>
      <c r="I115" s="9" t="s">
        <v>609</v>
      </c>
      <c r="J115" s="9" t="s">
        <v>145</v>
      </c>
    </row>
    <row r="116" spans="1:10">
      <c r="A116" s="5" t="s">
        <v>435</v>
      </c>
      <c r="B116" s="6" t="s">
        <v>1163</v>
      </c>
      <c r="C116" s="7">
        <v>46100</v>
      </c>
      <c r="D116" s="9" t="s">
        <v>241</v>
      </c>
      <c r="E116" s="8" t="s">
        <v>27</v>
      </c>
      <c r="F116" s="9" t="s">
        <v>246</v>
      </c>
      <c r="G116" s="9">
        <v>1</v>
      </c>
      <c r="H116" s="6" t="s">
        <v>243</v>
      </c>
      <c r="I116" s="9" t="s">
        <v>609</v>
      </c>
      <c r="J116" s="9" t="s">
        <v>145</v>
      </c>
    </row>
    <row r="117" spans="1:10">
      <c r="A117" s="5" t="s">
        <v>437</v>
      </c>
      <c r="B117" s="6" t="s">
        <v>1164</v>
      </c>
      <c r="C117" s="7">
        <v>46101</v>
      </c>
      <c r="D117" s="9" t="s">
        <v>241</v>
      </c>
      <c r="E117" s="8" t="s">
        <v>28</v>
      </c>
      <c r="F117" s="9" t="s">
        <v>242</v>
      </c>
      <c r="G117" s="9">
        <v>1</v>
      </c>
      <c r="H117" s="6" t="s">
        <v>587</v>
      </c>
      <c r="I117" s="9" t="s">
        <v>244</v>
      </c>
      <c r="J117" s="9" t="s">
        <v>145</v>
      </c>
    </row>
    <row r="118" spans="1:10">
      <c r="A118" s="5" t="s">
        <v>438</v>
      </c>
      <c r="B118" s="6" t="s">
        <v>1165</v>
      </c>
      <c r="C118" s="7">
        <v>46101</v>
      </c>
      <c r="D118" s="9" t="s">
        <v>264</v>
      </c>
      <c r="E118" s="8" t="s">
        <v>35</v>
      </c>
      <c r="F118" s="9" t="s">
        <v>242</v>
      </c>
      <c r="G118" s="9">
        <v>1</v>
      </c>
      <c r="H118" s="6" t="s">
        <v>328</v>
      </c>
      <c r="I118" s="9" t="s">
        <v>284</v>
      </c>
      <c r="J118" s="9" t="s">
        <v>145</v>
      </c>
    </row>
    <row r="119" spans="1:10">
      <c r="A119" s="5" t="s">
        <v>439</v>
      </c>
      <c r="B119" s="6" t="s">
        <v>1165</v>
      </c>
      <c r="C119" s="7">
        <v>46101</v>
      </c>
      <c r="D119" s="9" t="s">
        <v>264</v>
      </c>
      <c r="E119" s="8" t="s">
        <v>35</v>
      </c>
      <c r="F119" s="9" t="s">
        <v>246</v>
      </c>
      <c r="G119" s="9">
        <v>1</v>
      </c>
      <c r="H119" s="6" t="s">
        <v>328</v>
      </c>
      <c r="I119" s="9" t="s">
        <v>284</v>
      </c>
      <c r="J119" s="9" t="s">
        <v>145</v>
      </c>
    </row>
    <row r="120" spans="1:10">
      <c r="A120" s="5" t="s">
        <v>441</v>
      </c>
      <c r="B120" s="6" t="s">
        <v>1166</v>
      </c>
      <c r="C120" s="7">
        <v>46101</v>
      </c>
      <c r="D120" s="9" t="s">
        <v>241</v>
      </c>
      <c r="E120" s="8" t="s">
        <v>28</v>
      </c>
      <c r="F120" s="9" t="s">
        <v>242</v>
      </c>
      <c r="G120" s="9">
        <v>1</v>
      </c>
      <c r="H120" s="6" t="s">
        <v>243</v>
      </c>
      <c r="I120" s="9" t="s">
        <v>609</v>
      </c>
      <c r="J120" s="9" t="s">
        <v>145</v>
      </c>
    </row>
    <row r="121" spans="1:10">
      <c r="A121" s="5" t="s">
        <v>442</v>
      </c>
      <c r="B121" s="6" t="s">
        <v>1166</v>
      </c>
      <c r="C121" s="7">
        <v>46101</v>
      </c>
      <c r="D121" s="9" t="s">
        <v>241</v>
      </c>
      <c r="E121" s="4" t="s">
        <v>27</v>
      </c>
      <c r="F121" s="9" t="s">
        <v>246</v>
      </c>
      <c r="G121" s="9">
        <v>1</v>
      </c>
      <c r="H121" s="6" t="s">
        <v>243</v>
      </c>
      <c r="I121" s="9" t="s">
        <v>609</v>
      </c>
      <c r="J121" s="9" t="s">
        <v>145</v>
      </c>
    </row>
    <row r="122" spans="1:10">
      <c r="A122" s="5" t="s">
        <v>444</v>
      </c>
      <c r="B122" s="6" t="s">
        <v>1167</v>
      </c>
      <c r="C122" s="7">
        <v>46101</v>
      </c>
      <c r="D122" s="9" t="s">
        <v>241</v>
      </c>
      <c r="E122" s="8" t="s">
        <v>28</v>
      </c>
      <c r="F122" s="9" t="s">
        <v>242</v>
      </c>
      <c r="G122" s="9">
        <v>1</v>
      </c>
      <c r="H122" s="6" t="s">
        <v>243</v>
      </c>
      <c r="I122" s="9" t="s">
        <v>609</v>
      </c>
      <c r="J122" s="9" t="s">
        <v>145</v>
      </c>
    </row>
    <row r="123" spans="1:10">
      <c r="A123" s="5" t="s">
        <v>445</v>
      </c>
      <c r="B123" s="6" t="s">
        <v>1167</v>
      </c>
      <c r="C123" s="7">
        <v>46101</v>
      </c>
      <c r="D123" s="9" t="s">
        <v>241</v>
      </c>
      <c r="E123" s="8" t="s">
        <v>27</v>
      </c>
      <c r="F123" s="9" t="s">
        <v>246</v>
      </c>
      <c r="G123" s="9">
        <v>1</v>
      </c>
      <c r="H123" s="6" t="s">
        <v>243</v>
      </c>
      <c r="I123" s="9" t="s">
        <v>609</v>
      </c>
      <c r="J123" s="9" t="s">
        <v>145</v>
      </c>
    </row>
    <row r="124" spans="1:10">
      <c r="A124" s="5" t="s">
        <v>446</v>
      </c>
      <c r="B124" s="6" t="s">
        <v>1168</v>
      </c>
      <c r="C124" s="7">
        <v>46101</v>
      </c>
      <c r="D124" s="9" t="s">
        <v>241</v>
      </c>
      <c r="E124" s="8" t="s">
        <v>28</v>
      </c>
      <c r="F124" s="9" t="s">
        <v>242</v>
      </c>
      <c r="G124" s="9">
        <v>1</v>
      </c>
      <c r="H124" s="6" t="s">
        <v>348</v>
      </c>
      <c r="I124" s="9" t="s">
        <v>284</v>
      </c>
      <c r="J124" s="9" t="s">
        <v>145</v>
      </c>
    </row>
    <row r="125" spans="1:10">
      <c r="A125" s="5" t="s">
        <v>448</v>
      </c>
      <c r="B125" s="6" t="s">
        <v>1168</v>
      </c>
      <c r="C125" s="7">
        <v>46101</v>
      </c>
      <c r="D125" s="9" t="s">
        <v>241</v>
      </c>
      <c r="E125" s="8" t="s">
        <v>29</v>
      </c>
      <c r="F125" s="9" t="s">
        <v>246</v>
      </c>
      <c r="G125" s="9">
        <v>1</v>
      </c>
      <c r="H125" s="6" t="s">
        <v>348</v>
      </c>
      <c r="I125" s="9" t="s">
        <v>284</v>
      </c>
      <c r="J125" s="9" t="s">
        <v>145</v>
      </c>
    </row>
    <row r="126" spans="1:10">
      <c r="A126" s="5" t="s">
        <v>449</v>
      </c>
      <c r="B126" s="6" t="s">
        <v>1168</v>
      </c>
      <c r="C126" s="7">
        <v>46101</v>
      </c>
      <c r="D126" s="9" t="s">
        <v>261</v>
      </c>
      <c r="E126" s="8" t="s">
        <v>281</v>
      </c>
      <c r="F126" s="9" t="s">
        <v>242</v>
      </c>
      <c r="G126" s="9">
        <v>2</v>
      </c>
      <c r="H126" s="6" t="s">
        <v>348</v>
      </c>
      <c r="I126" s="9" t="s">
        <v>284</v>
      </c>
      <c r="J126" s="9" t="s">
        <v>145</v>
      </c>
    </row>
    <row r="127" spans="1:10">
      <c r="A127" s="5" t="s">
        <v>450</v>
      </c>
      <c r="B127" s="6" t="s">
        <v>1169</v>
      </c>
      <c r="C127" s="7">
        <v>46104</v>
      </c>
      <c r="D127" s="9" t="s">
        <v>241</v>
      </c>
      <c r="E127" s="8" t="s">
        <v>28</v>
      </c>
      <c r="F127" s="9" t="s">
        <v>242</v>
      </c>
      <c r="G127" s="9">
        <v>1</v>
      </c>
      <c r="H127" s="6" t="s">
        <v>942</v>
      </c>
      <c r="I127" s="9" t="s">
        <v>266</v>
      </c>
      <c r="J127" s="9" t="s">
        <v>145</v>
      </c>
    </row>
    <row r="128" spans="1:10">
      <c r="A128" s="5" t="s">
        <v>451</v>
      </c>
      <c r="B128" s="6" t="s">
        <v>1169</v>
      </c>
      <c r="C128" s="7">
        <v>46104</v>
      </c>
      <c r="D128" s="9" t="s">
        <v>241</v>
      </c>
      <c r="E128" s="8" t="s">
        <v>29</v>
      </c>
      <c r="F128" s="9" t="s">
        <v>246</v>
      </c>
      <c r="G128" s="9">
        <v>1</v>
      </c>
      <c r="H128" s="6" t="s">
        <v>942</v>
      </c>
      <c r="I128" s="9" t="s">
        <v>266</v>
      </c>
      <c r="J128" s="9" t="s">
        <v>145</v>
      </c>
    </row>
    <row r="129" spans="1:10">
      <c r="A129" s="5" t="s">
        <v>453</v>
      </c>
      <c r="B129" s="6" t="s">
        <v>1169</v>
      </c>
      <c r="C129" s="7">
        <v>46104</v>
      </c>
      <c r="D129" s="9" t="s">
        <v>395</v>
      </c>
      <c r="E129" s="8" t="s">
        <v>57</v>
      </c>
      <c r="F129" s="9" t="s">
        <v>242</v>
      </c>
      <c r="G129" s="9">
        <v>1</v>
      </c>
      <c r="H129" s="6" t="s">
        <v>942</v>
      </c>
      <c r="I129" s="9" t="s">
        <v>266</v>
      </c>
      <c r="J129" s="9" t="s">
        <v>145</v>
      </c>
    </row>
    <row r="130" spans="1:10">
      <c r="A130" s="5" t="s">
        <v>454</v>
      </c>
      <c r="B130" s="6" t="s">
        <v>1170</v>
      </c>
      <c r="C130" s="7">
        <v>46104</v>
      </c>
      <c r="D130" s="9" t="s">
        <v>241</v>
      </c>
      <c r="E130" s="8" t="s">
        <v>28</v>
      </c>
      <c r="F130" s="9" t="s">
        <v>242</v>
      </c>
      <c r="G130" s="9">
        <v>1</v>
      </c>
      <c r="H130" s="6" t="s">
        <v>243</v>
      </c>
      <c r="I130" s="9" t="s">
        <v>484</v>
      </c>
      <c r="J130" s="9" t="s">
        <v>145</v>
      </c>
    </row>
    <row r="131" spans="1:10">
      <c r="A131" s="5" t="s">
        <v>456</v>
      </c>
      <c r="B131" s="6" t="s">
        <v>1170</v>
      </c>
      <c r="C131" s="7">
        <v>46104</v>
      </c>
      <c r="D131" s="9" t="s">
        <v>241</v>
      </c>
      <c r="E131" s="8" t="s">
        <v>29</v>
      </c>
      <c r="F131" s="9" t="s">
        <v>246</v>
      </c>
      <c r="G131" s="9">
        <v>1</v>
      </c>
      <c r="H131" s="6" t="s">
        <v>243</v>
      </c>
      <c r="I131" s="9" t="s">
        <v>484</v>
      </c>
      <c r="J131" s="9" t="s">
        <v>145</v>
      </c>
    </row>
    <row r="132" spans="1:10">
      <c r="A132" s="5" t="s">
        <v>457</v>
      </c>
      <c r="B132" s="6" t="s">
        <v>1171</v>
      </c>
      <c r="C132" s="7">
        <v>46104</v>
      </c>
      <c r="D132" s="9" t="s">
        <v>241</v>
      </c>
      <c r="E132" s="8" t="s">
        <v>1152</v>
      </c>
      <c r="F132" s="9" t="s">
        <v>242</v>
      </c>
      <c r="G132" s="9">
        <v>1</v>
      </c>
      <c r="H132" s="6" t="s">
        <v>243</v>
      </c>
      <c r="I132" s="9" t="s">
        <v>609</v>
      </c>
      <c r="J132" s="9" t="s">
        <v>145</v>
      </c>
    </row>
    <row r="133" spans="1:10">
      <c r="A133" s="5" t="s">
        <v>458</v>
      </c>
      <c r="B133" s="6" t="s">
        <v>1171</v>
      </c>
      <c r="C133" s="7">
        <v>46104</v>
      </c>
      <c r="D133" s="9" t="s">
        <v>241</v>
      </c>
      <c r="E133" s="8" t="s">
        <v>27</v>
      </c>
      <c r="F133" s="9" t="s">
        <v>246</v>
      </c>
      <c r="G133" s="9">
        <v>1</v>
      </c>
      <c r="H133" s="6" t="s">
        <v>243</v>
      </c>
      <c r="I133" s="9" t="s">
        <v>609</v>
      </c>
      <c r="J133" s="9" t="s">
        <v>145</v>
      </c>
    </row>
    <row r="134" spans="1:10">
      <c r="A134" s="5" t="s">
        <v>460</v>
      </c>
      <c r="B134" s="6" t="s">
        <v>1172</v>
      </c>
      <c r="C134" s="7">
        <v>46104</v>
      </c>
      <c r="D134" s="9" t="s">
        <v>241</v>
      </c>
      <c r="E134" s="8" t="s">
        <v>28</v>
      </c>
      <c r="F134" s="9" t="s">
        <v>242</v>
      </c>
      <c r="G134" s="9">
        <v>1</v>
      </c>
      <c r="H134" s="6" t="s">
        <v>1173</v>
      </c>
      <c r="I134" s="9" t="s">
        <v>258</v>
      </c>
      <c r="J134" s="9" t="s">
        <v>145</v>
      </c>
    </row>
    <row r="135" spans="1:10">
      <c r="A135" s="5" t="s">
        <v>461</v>
      </c>
      <c r="B135" s="6" t="s">
        <v>1172</v>
      </c>
      <c r="C135" s="7">
        <v>46104</v>
      </c>
      <c r="D135" s="9" t="s">
        <v>241</v>
      </c>
      <c r="E135" s="4" t="s">
        <v>29</v>
      </c>
      <c r="F135" s="9" t="s">
        <v>246</v>
      </c>
      <c r="G135" s="9">
        <v>1</v>
      </c>
      <c r="H135" s="6" t="s">
        <v>1173</v>
      </c>
      <c r="I135" s="9" t="s">
        <v>258</v>
      </c>
      <c r="J135" s="9" t="s">
        <v>145</v>
      </c>
    </row>
    <row r="136" spans="1:10">
      <c r="A136" s="5" t="s">
        <v>463</v>
      </c>
      <c r="B136" s="6" t="s">
        <v>1174</v>
      </c>
      <c r="C136" s="7">
        <v>46085</v>
      </c>
      <c r="D136" s="9" t="s">
        <v>241</v>
      </c>
      <c r="E136" s="8" t="s">
        <v>28</v>
      </c>
      <c r="F136" s="9" t="s">
        <v>242</v>
      </c>
      <c r="G136" s="9">
        <v>1</v>
      </c>
      <c r="H136" s="6" t="s">
        <v>1175</v>
      </c>
      <c r="I136" s="9" t="s">
        <v>311</v>
      </c>
      <c r="J136" s="9" t="s">
        <v>145</v>
      </c>
    </row>
    <row r="137" spans="1:10">
      <c r="A137" s="5" t="s">
        <v>464</v>
      </c>
      <c r="B137" s="6" t="s">
        <v>1174</v>
      </c>
      <c r="C137" s="7">
        <v>46085</v>
      </c>
      <c r="D137" s="9" t="s">
        <v>241</v>
      </c>
      <c r="E137" s="8" t="s">
        <v>27</v>
      </c>
      <c r="F137" s="9" t="s">
        <v>246</v>
      </c>
      <c r="G137" s="9">
        <v>1</v>
      </c>
      <c r="H137" s="6" t="s">
        <v>1175</v>
      </c>
      <c r="I137" s="9" t="s">
        <v>311</v>
      </c>
      <c r="J137" s="9" t="s">
        <v>145</v>
      </c>
    </row>
    <row r="138" spans="1:10">
      <c r="A138" s="5" t="s">
        <v>466</v>
      </c>
      <c r="B138" s="6" t="s">
        <v>1176</v>
      </c>
      <c r="C138" s="7">
        <v>46085</v>
      </c>
      <c r="D138" s="9" t="s">
        <v>241</v>
      </c>
      <c r="E138" s="8" t="s">
        <v>28</v>
      </c>
      <c r="F138" s="9" t="s">
        <v>242</v>
      </c>
      <c r="G138" s="9">
        <v>1</v>
      </c>
      <c r="H138" s="6" t="s">
        <v>1175</v>
      </c>
      <c r="I138" s="9" t="s">
        <v>311</v>
      </c>
      <c r="J138" s="9" t="s">
        <v>145</v>
      </c>
    </row>
    <row r="139" spans="1:10">
      <c r="A139" s="5" t="s">
        <v>467</v>
      </c>
      <c r="B139" s="6" t="s">
        <v>1176</v>
      </c>
      <c r="C139" s="7">
        <v>46085</v>
      </c>
      <c r="D139" s="9" t="s">
        <v>241</v>
      </c>
      <c r="E139" s="8" t="s">
        <v>27</v>
      </c>
      <c r="F139" s="9" t="s">
        <v>246</v>
      </c>
      <c r="G139" s="9">
        <v>1</v>
      </c>
      <c r="H139" s="6" t="s">
        <v>1175</v>
      </c>
      <c r="I139" s="9" t="s">
        <v>311</v>
      </c>
      <c r="J139" s="9" t="s">
        <v>145</v>
      </c>
    </row>
    <row r="140" spans="1:10">
      <c r="A140" s="5" t="s">
        <v>468</v>
      </c>
      <c r="B140" s="6" t="s">
        <v>1176</v>
      </c>
      <c r="C140" s="7">
        <v>46085</v>
      </c>
      <c r="D140" s="9" t="s">
        <v>261</v>
      </c>
      <c r="E140" s="8" t="s">
        <v>62</v>
      </c>
      <c r="F140" s="9" t="s">
        <v>242</v>
      </c>
      <c r="G140" s="9">
        <v>1</v>
      </c>
      <c r="H140" s="6" t="s">
        <v>1175</v>
      </c>
      <c r="I140" s="9" t="s">
        <v>311</v>
      </c>
      <c r="J140" s="9" t="s">
        <v>145</v>
      </c>
    </row>
    <row r="141" spans="1:10">
      <c r="A141" s="5" t="s">
        <v>471</v>
      </c>
      <c r="B141" s="6" t="s">
        <v>1177</v>
      </c>
      <c r="C141" s="7">
        <v>46085</v>
      </c>
      <c r="D141" s="9" t="s">
        <v>241</v>
      </c>
      <c r="E141" s="8" t="s">
        <v>28</v>
      </c>
      <c r="F141" s="9" t="s">
        <v>242</v>
      </c>
      <c r="G141" s="9">
        <v>1</v>
      </c>
      <c r="H141" s="6" t="s">
        <v>1175</v>
      </c>
      <c r="I141" s="9" t="s">
        <v>311</v>
      </c>
      <c r="J141" s="9" t="s">
        <v>145</v>
      </c>
    </row>
    <row r="142" spans="1:10">
      <c r="A142" s="5" t="s">
        <v>472</v>
      </c>
      <c r="B142" s="6" t="s">
        <v>1177</v>
      </c>
      <c r="C142" s="7">
        <v>46085</v>
      </c>
      <c r="D142" s="9" t="s">
        <v>241</v>
      </c>
      <c r="E142" s="4" t="s">
        <v>29</v>
      </c>
      <c r="F142" s="9" t="s">
        <v>246</v>
      </c>
      <c r="G142" s="9">
        <v>1</v>
      </c>
      <c r="H142" s="6" t="s">
        <v>1175</v>
      </c>
      <c r="I142" s="9" t="s">
        <v>311</v>
      </c>
      <c r="J142" s="9" t="s">
        <v>145</v>
      </c>
    </row>
    <row r="143" spans="1:10">
      <c r="A143" s="5" t="s">
        <v>475</v>
      </c>
      <c r="B143" s="6" t="s">
        <v>1178</v>
      </c>
      <c r="C143" s="7">
        <v>46085</v>
      </c>
      <c r="D143" s="9" t="s">
        <v>241</v>
      </c>
      <c r="E143" s="4" t="s">
        <v>28</v>
      </c>
      <c r="F143" s="9" t="s">
        <v>242</v>
      </c>
      <c r="G143" s="9">
        <v>1</v>
      </c>
      <c r="H143" s="6" t="s">
        <v>1175</v>
      </c>
      <c r="I143" s="9" t="s">
        <v>311</v>
      </c>
      <c r="J143" s="9" t="s">
        <v>145</v>
      </c>
    </row>
    <row r="144" spans="1:10">
      <c r="A144" s="5" t="s">
        <v>476</v>
      </c>
      <c r="B144" s="6" t="s">
        <v>1178</v>
      </c>
      <c r="C144" s="7">
        <v>46085</v>
      </c>
      <c r="D144" s="9" t="s">
        <v>241</v>
      </c>
      <c r="E144" s="8" t="s">
        <v>27</v>
      </c>
      <c r="F144" s="9" t="s">
        <v>246</v>
      </c>
      <c r="G144" s="9">
        <v>1</v>
      </c>
      <c r="H144" s="6" t="s">
        <v>1175</v>
      </c>
      <c r="I144" s="9" t="s">
        <v>311</v>
      </c>
      <c r="J144" s="9" t="s">
        <v>145</v>
      </c>
    </row>
    <row r="145" spans="1:10">
      <c r="A145" s="5" t="s">
        <v>477</v>
      </c>
      <c r="B145" s="6" t="s">
        <v>1179</v>
      </c>
      <c r="C145" s="7">
        <v>46085</v>
      </c>
      <c r="D145" s="9" t="s">
        <v>241</v>
      </c>
      <c r="E145" s="8" t="s">
        <v>28</v>
      </c>
      <c r="F145" s="9" t="s">
        <v>242</v>
      </c>
      <c r="G145" s="9">
        <v>1</v>
      </c>
      <c r="H145" s="6" t="s">
        <v>1175</v>
      </c>
      <c r="I145" s="9" t="s">
        <v>311</v>
      </c>
      <c r="J145" s="9" t="s">
        <v>145</v>
      </c>
    </row>
    <row r="146" spans="1:10">
      <c r="A146" s="5" t="s">
        <v>478</v>
      </c>
      <c r="B146" s="6" t="s">
        <v>1179</v>
      </c>
      <c r="C146" s="7">
        <v>46085</v>
      </c>
      <c r="D146" s="9" t="s">
        <v>241</v>
      </c>
      <c r="E146" s="8" t="s">
        <v>27</v>
      </c>
      <c r="F146" s="9" t="s">
        <v>246</v>
      </c>
      <c r="G146" s="9">
        <v>1</v>
      </c>
      <c r="H146" s="6" t="s">
        <v>1175</v>
      </c>
      <c r="I146" s="9" t="s">
        <v>311</v>
      </c>
      <c r="J146" s="9" t="s">
        <v>145</v>
      </c>
    </row>
    <row r="147" spans="1:10">
      <c r="A147" s="5" t="s">
        <v>480</v>
      </c>
      <c r="B147" s="6" t="s">
        <v>1180</v>
      </c>
      <c r="C147" s="7">
        <v>46085</v>
      </c>
      <c r="D147" s="9" t="s">
        <v>241</v>
      </c>
      <c r="E147" s="4" t="s">
        <v>28</v>
      </c>
      <c r="F147" s="9" t="s">
        <v>242</v>
      </c>
      <c r="G147" s="9">
        <v>1</v>
      </c>
      <c r="H147" s="6" t="s">
        <v>1175</v>
      </c>
      <c r="I147" s="9" t="s">
        <v>311</v>
      </c>
      <c r="J147" s="9" t="s">
        <v>145</v>
      </c>
    </row>
    <row r="148" spans="1:10">
      <c r="A148" s="5" t="s">
        <v>481</v>
      </c>
      <c r="B148" s="6" t="s">
        <v>1180</v>
      </c>
      <c r="C148" s="7">
        <v>46085</v>
      </c>
      <c r="D148" s="9" t="s">
        <v>241</v>
      </c>
      <c r="E148" s="8" t="s">
        <v>27</v>
      </c>
      <c r="F148" s="9" t="s">
        <v>246</v>
      </c>
      <c r="G148" s="9">
        <v>1</v>
      </c>
      <c r="H148" s="6" t="s">
        <v>1175</v>
      </c>
      <c r="I148" s="9" t="s">
        <v>311</v>
      </c>
      <c r="J148" s="9" t="s">
        <v>145</v>
      </c>
    </row>
    <row r="149" spans="1:10">
      <c r="A149" s="5" t="s">
        <v>482</v>
      </c>
      <c r="B149" s="6" t="s">
        <v>1181</v>
      </c>
      <c r="C149" s="7">
        <v>46085</v>
      </c>
      <c r="D149" s="9" t="s">
        <v>241</v>
      </c>
      <c r="E149" s="8" t="s">
        <v>28</v>
      </c>
      <c r="F149" s="9" t="s">
        <v>242</v>
      </c>
      <c r="G149" s="9">
        <v>1</v>
      </c>
      <c r="H149" s="6" t="s">
        <v>1175</v>
      </c>
      <c r="I149" s="9" t="s">
        <v>311</v>
      </c>
      <c r="J149" s="9" t="s">
        <v>145</v>
      </c>
    </row>
    <row r="150" spans="1:10">
      <c r="A150" s="5" t="s">
        <v>485</v>
      </c>
      <c r="B150" s="6" t="s">
        <v>1181</v>
      </c>
      <c r="C150" s="7">
        <v>46085</v>
      </c>
      <c r="D150" s="9" t="s">
        <v>241</v>
      </c>
      <c r="E150" s="8" t="s">
        <v>29</v>
      </c>
      <c r="F150" s="9" t="s">
        <v>246</v>
      </c>
      <c r="G150" s="9">
        <v>1</v>
      </c>
      <c r="H150" s="6" t="s">
        <v>1175</v>
      </c>
      <c r="I150" s="9" t="s">
        <v>311</v>
      </c>
      <c r="J150" s="9" t="s">
        <v>145</v>
      </c>
    </row>
    <row r="151" spans="1:10">
      <c r="A151" s="5" t="s">
        <v>486</v>
      </c>
      <c r="B151" s="6" t="s">
        <v>1182</v>
      </c>
      <c r="C151" s="7">
        <v>46085</v>
      </c>
      <c r="D151" s="9" t="s">
        <v>241</v>
      </c>
      <c r="E151" s="4" t="s">
        <v>28</v>
      </c>
      <c r="F151" s="9" t="s">
        <v>242</v>
      </c>
      <c r="G151" s="9">
        <v>1</v>
      </c>
      <c r="H151" s="6" t="s">
        <v>1175</v>
      </c>
      <c r="I151" s="9" t="s">
        <v>311</v>
      </c>
      <c r="J151" s="9" t="s">
        <v>145</v>
      </c>
    </row>
    <row r="152" spans="1:10">
      <c r="A152" s="5" t="s">
        <v>488</v>
      </c>
      <c r="B152" s="6" t="s">
        <v>1182</v>
      </c>
      <c r="C152" s="7">
        <v>46085</v>
      </c>
      <c r="D152" s="9" t="s">
        <v>241</v>
      </c>
      <c r="E152" s="8" t="s">
        <v>29</v>
      </c>
      <c r="F152" s="9" t="s">
        <v>246</v>
      </c>
      <c r="G152" s="9">
        <v>1</v>
      </c>
      <c r="H152" s="6" t="s">
        <v>1175</v>
      </c>
      <c r="I152" s="9" t="s">
        <v>311</v>
      </c>
      <c r="J152" s="9" t="s">
        <v>145</v>
      </c>
    </row>
    <row r="153" spans="1:10">
      <c r="A153" s="5" t="s">
        <v>489</v>
      </c>
      <c r="B153" s="6" t="s">
        <v>1183</v>
      </c>
      <c r="C153" s="7">
        <v>46087</v>
      </c>
      <c r="D153" s="9" t="s">
        <v>241</v>
      </c>
      <c r="E153" s="4" t="s">
        <v>28</v>
      </c>
      <c r="F153" s="9" t="s">
        <v>242</v>
      </c>
      <c r="G153" s="9">
        <v>1</v>
      </c>
      <c r="H153" s="6" t="s">
        <v>243</v>
      </c>
      <c r="I153" s="9" t="s">
        <v>311</v>
      </c>
      <c r="J153" s="9" t="s">
        <v>145</v>
      </c>
    </row>
    <row r="154" spans="1:10">
      <c r="A154" s="5" t="s">
        <v>492</v>
      </c>
      <c r="B154" s="6" t="s">
        <v>1183</v>
      </c>
      <c r="C154" s="7">
        <v>46087</v>
      </c>
      <c r="D154" s="9" t="s">
        <v>241</v>
      </c>
      <c r="E154" s="8" t="s">
        <v>29</v>
      </c>
      <c r="F154" s="9" t="s">
        <v>246</v>
      </c>
      <c r="G154" s="9">
        <v>1</v>
      </c>
      <c r="H154" s="6" t="s">
        <v>243</v>
      </c>
      <c r="I154" s="9" t="s">
        <v>311</v>
      </c>
      <c r="J154" s="9" t="s">
        <v>145</v>
      </c>
    </row>
    <row r="155" spans="1:10">
      <c r="A155" s="5" t="s">
        <v>493</v>
      </c>
      <c r="B155" s="6" t="s">
        <v>1184</v>
      </c>
      <c r="C155" s="7">
        <v>46088</v>
      </c>
      <c r="D155" s="9" t="s">
        <v>241</v>
      </c>
      <c r="E155" s="4" t="s">
        <v>28</v>
      </c>
      <c r="F155" s="9" t="s">
        <v>242</v>
      </c>
      <c r="G155" s="9">
        <v>1</v>
      </c>
      <c r="H155" s="6" t="s">
        <v>243</v>
      </c>
      <c r="I155" s="9" t="s">
        <v>253</v>
      </c>
      <c r="J155" s="9" t="s">
        <v>145</v>
      </c>
    </row>
    <row r="156" spans="1:10">
      <c r="A156" s="5" t="s">
        <v>495</v>
      </c>
      <c r="B156" s="6" t="s">
        <v>1184</v>
      </c>
      <c r="C156" s="7">
        <v>46088</v>
      </c>
      <c r="D156" s="9" t="s">
        <v>241</v>
      </c>
      <c r="E156" s="8" t="s">
        <v>27</v>
      </c>
      <c r="F156" s="9" t="s">
        <v>246</v>
      </c>
      <c r="G156" s="9">
        <v>1</v>
      </c>
      <c r="H156" s="6" t="s">
        <v>243</v>
      </c>
      <c r="I156" s="9" t="s">
        <v>253</v>
      </c>
      <c r="J156" s="9" t="s">
        <v>145</v>
      </c>
    </row>
    <row r="157" spans="1:10">
      <c r="A157" s="5" t="s">
        <v>496</v>
      </c>
      <c r="B157" s="6" t="s">
        <v>1185</v>
      </c>
      <c r="C157" s="7">
        <v>46088</v>
      </c>
      <c r="D157" s="9" t="s">
        <v>241</v>
      </c>
      <c r="E157" s="8" t="s">
        <v>28</v>
      </c>
      <c r="F157" s="9" t="s">
        <v>242</v>
      </c>
      <c r="G157" s="9">
        <v>1</v>
      </c>
      <c r="H157" s="6" t="s">
        <v>1175</v>
      </c>
      <c r="I157" s="9" t="s">
        <v>311</v>
      </c>
      <c r="J157" s="9" t="s">
        <v>145</v>
      </c>
    </row>
    <row r="158" spans="1:10">
      <c r="A158" s="5" t="s">
        <v>498</v>
      </c>
      <c r="B158" s="6" t="s">
        <v>1185</v>
      </c>
      <c r="C158" s="7">
        <v>46088</v>
      </c>
      <c r="D158" s="9" t="s">
        <v>241</v>
      </c>
      <c r="E158" s="4" t="s">
        <v>27</v>
      </c>
      <c r="F158" s="9" t="s">
        <v>246</v>
      </c>
      <c r="G158" s="9">
        <v>1</v>
      </c>
      <c r="H158" s="6" t="s">
        <v>1175</v>
      </c>
      <c r="I158" s="9" t="s">
        <v>311</v>
      </c>
      <c r="J158" s="9" t="s">
        <v>145</v>
      </c>
    </row>
    <row r="159" spans="1:10">
      <c r="A159" s="5" t="s">
        <v>499</v>
      </c>
      <c r="B159" s="6" t="s">
        <v>1186</v>
      </c>
      <c r="C159" s="7">
        <v>46091</v>
      </c>
      <c r="D159" s="9" t="s">
        <v>241</v>
      </c>
      <c r="E159" s="8" t="s">
        <v>28</v>
      </c>
      <c r="F159" s="9" t="s">
        <v>242</v>
      </c>
      <c r="G159" s="9">
        <v>1</v>
      </c>
      <c r="H159" s="6" t="s">
        <v>243</v>
      </c>
      <c r="I159" s="9" t="s">
        <v>311</v>
      </c>
      <c r="J159" s="9" t="s">
        <v>145</v>
      </c>
    </row>
    <row r="160" spans="1:10">
      <c r="A160" s="5" t="s">
        <v>501</v>
      </c>
      <c r="B160" s="6" t="s">
        <v>1186</v>
      </c>
      <c r="C160" s="7">
        <v>46091</v>
      </c>
      <c r="D160" s="9" t="s">
        <v>241</v>
      </c>
      <c r="E160" s="4" t="s">
        <v>29</v>
      </c>
      <c r="F160" s="9" t="s">
        <v>246</v>
      </c>
      <c r="G160" s="9">
        <v>1</v>
      </c>
      <c r="H160" s="6" t="s">
        <v>243</v>
      </c>
      <c r="I160" s="9" t="s">
        <v>311</v>
      </c>
      <c r="J160" s="9" t="s">
        <v>145</v>
      </c>
    </row>
    <row r="161" spans="1:10">
      <c r="A161" s="5" t="s">
        <v>502</v>
      </c>
      <c r="B161" s="6" t="s">
        <v>1187</v>
      </c>
      <c r="C161" s="7">
        <v>46092</v>
      </c>
      <c r="D161" s="9" t="s">
        <v>241</v>
      </c>
      <c r="E161" s="8" t="s">
        <v>28</v>
      </c>
      <c r="F161" s="9" t="s">
        <v>242</v>
      </c>
      <c r="G161" s="9">
        <v>1</v>
      </c>
      <c r="H161" s="6" t="s">
        <v>243</v>
      </c>
      <c r="I161" s="9" t="s">
        <v>311</v>
      </c>
      <c r="J161" s="9" t="s">
        <v>145</v>
      </c>
    </row>
    <row r="162" spans="1:10">
      <c r="A162" s="5" t="s">
        <v>504</v>
      </c>
      <c r="B162" s="6" t="s">
        <v>1187</v>
      </c>
      <c r="C162" s="7">
        <v>46092</v>
      </c>
      <c r="D162" s="9" t="s">
        <v>241</v>
      </c>
      <c r="E162" s="4" t="s">
        <v>27</v>
      </c>
      <c r="F162" s="9" t="s">
        <v>246</v>
      </c>
      <c r="G162" s="9">
        <v>1</v>
      </c>
      <c r="H162" s="6" t="s">
        <v>243</v>
      </c>
      <c r="I162" s="9" t="s">
        <v>311</v>
      </c>
      <c r="J162" s="9" t="s">
        <v>145</v>
      </c>
    </row>
    <row r="163" spans="1:10">
      <c r="A163" s="5" t="s">
        <v>507</v>
      </c>
      <c r="B163" s="6" t="s">
        <v>1188</v>
      </c>
      <c r="C163" s="7">
        <v>46093</v>
      </c>
      <c r="D163" s="9" t="s">
        <v>264</v>
      </c>
      <c r="E163" s="8" t="s">
        <v>35</v>
      </c>
      <c r="F163" s="9" t="s">
        <v>242</v>
      </c>
      <c r="G163" s="9">
        <v>1</v>
      </c>
      <c r="H163" s="6" t="s">
        <v>328</v>
      </c>
      <c r="I163" s="9" t="s">
        <v>311</v>
      </c>
      <c r="J163" s="9" t="s">
        <v>145</v>
      </c>
    </row>
    <row r="164" spans="1:10">
      <c r="A164" s="5" t="s">
        <v>508</v>
      </c>
      <c r="B164" s="6" t="s">
        <v>1188</v>
      </c>
      <c r="C164" s="7">
        <v>46093</v>
      </c>
      <c r="D164" s="9" t="s">
        <v>264</v>
      </c>
      <c r="E164" s="8" t="s">
        <v>35</v>
      </c>
      <c r="F164" s="9" t="s">
        <v>246</v>
      </c>
      <c r="G164" s="9">
        <v>1</v>
      </c>
      <c r="H164" s="6" t="s">
        <v>328</v>
      </c>
      <c r="I164" s="9" t="s">
        <v>311</v>
      </c>
      <c r="J164" s="9" t="s">
        <v>145</v>
      </c>
    </row>
    <row r="165" spans="1:10">
      <c r="A165" s="5" t="s">
        <v>510</v>
      </c>
      <c r="B165" s="6" t="s">
        <v>1189</v>
      </c>
      <c r="C165" s="7">
        <v>46093</v>
      </c>
      <c r="D165" s="9" t="s">
        <v>241</v>
      </c>
      <c r="E165" s="8" t="s">
        <v>28</v>
      </c>
      <c r="F165" s="9" t="s">
        <v>242</v>
      </c>
      <c r="G165" s="9">
        <v>1</v>
      </c>
      <c r="H165" s="6" t="s">
        <v>243</v>
      </c>
      <c r="I165" s="9" t="s">
        <v>311</v>
      </c>
      <c r="J165" s="9" t="s">
        <v>145</v>
      </c>
    </row>
    <row r="166" spans="1:10">
      <c r="A166" s="5" t="s">
        <v>511</v>
      </c>
      <c r="B166" s="6" t="s">
        <v>1189</v>
      </c>
      <c r="C166" s="7">
        <v>46093</v>
      </c>
      <c r="D166" s="9" t="s">
        <v>241</v>
      </c>
      <c r="E166" s="8" t="s">
        <v>27</v>
      </c>
      <c r="F166" s="9" t="s">
        <v>246</v>
      </c>
      <c r="G166" s="9">
        <v>1</v>
      </c>
      <c r="H166" s="6" t="s">
        <v>243</v>
      </c>
      <c r="I166" s="9" t="s">
        <v>311</v>
      </c>
      <c r="J166" s="9" t="s">
        <v>145</v>
      </c>
    </row>
    <row r="167" spans="1:10">
      <c r="A167" s="5" t="s">
        <v>515</v>
      </c>
      <c r="B167" s="6" t="s">
        <v>1190</v>
      </c>
      <c r="C167" s="7">
        <v>46094</v>
      </c>
      <c r="D167" s="9" t="s">
        <v>241</v>
      </c>
      <c r="E167" s="8" t="s">
        <v>28</v>
      </c>
      <c r="F167" s="9" t="s">
        <v>242</v>
      </c>
      <c r="G167" s="9">
        <v>1</v>
      </c>
      <c r="H167" s="6" t="s">
        <v>243</v>
      </c>
      <c r="I167" s="9" t="s">
        <v>311</v>
      </c>
      <c r="J167" s="9" t="s">
        <v>145</v>
      </c>
    </row>
    <row r="168" spans="1:10">
      <c r="A168" s="5" t="s">
        <v>516</v>
      </c>
      <c r="B168" s="6" t="s">
        <v>1190</v>
      </c>
      <c r="C168" s="7">
        <v>46094</v>
      </c>
      <c r="D168" s="9" t="s">
        <v>241</v>
      </c>
      <c r="E168" s="8" t="s">
        <v>27</v>
      </c>
      <c r="F168" s="9" t="s">
        <v>246</v>
      </c>
      <c r="G168" s="9">
        <v>1</v>
      </c>
      <c r="H168" s="6" t="s">
        <v>243</v>
      </c>
      <c r="I168" s="9" t="s">
        <v>311</v>
      </c>
      <c r="J168" s="9" t="s">
        <v>145</v>
      </c>
    </row>
    <row r="169" spans="1:10">
      <c r="A169" s="5" t="s">
        <v>519</v>
      </c>
      <c r="B169" s="6" t="s">
        <v>1191</v>
      </c>
      <c r="C169" s="7">
        <v>46094</v>
      </c>
      <c r="D169" s="9" t="s">
        <v>241</v>
      </c>
      <c r="E169" s="8" t="s">
        <v>28</v>
      </c>
      <c r="F169" s="9" t="s">
        <v>242</v>
      </c>
      <c r="G169" s="9">
        <v>1</v>
      </c>
      <c r="H169" s="6" t="s">
        <v>243</v>
      </c>
      <c r="I169" s="9" t="s">
        <v>311</v>
      </c>
      <c r="J169" s="9" t="s">
        <v>145</v>
      </c>
    </row>
    <row r="170" spans="1:10">
      <c r="A170" s="5" t="s">
        <v>520</v>
      </c>
      <c r="B170" s="6" t="s">
        <v>1191</v>
      </c>
      <c r="C170" s="7">
        <v>46094</v>
      </c>
      <c r="D170" s="9" t="s">
        <v>241</v>
      </c>
      <c r="E170" s="4" t="s">
        <v>29</v>
      </c>
      <c r="F170" s="9" t="s">
        <v>246</v>
      </c>
      <c r="G170" s="9">
        <v>1</v>
      </c>
      <c r="H170" s="6" t="s">
        <v>243</v>
      </c>
      <c r="I170" s="9" t="s">
        <v>311</v>
      </c>
      <c r="J170" s="9" t="s">
        <v>145</v>
      </c>
    </row>
    <row r="171" spans="1:10">
      <c r="A171" s="5" t="s">
        <v>521</v>
      </c>
      <c r="B171" s="6" t="s">
        <v>1192</v>
      </c>
      <c r="C171" s="7">
        <v>46097</v>
      </c>
      <c r="D171" s="9" t="s">
        <v>241</v>
      </c>
      <c r="E171" s="8" t="s">
        <v>28</v>
      </c>
      <c r="F171" s="9" t="s">
        <v>242</v>
      </c>
      <c r="G171" s="9">
        <v>1</v>
      </c>
      <c r="H171" s="6" t="s">
        <v>243</v>
      </c>
      <c r="I171" s="9" t="s">
        <v>311</v>
      </c>
      <c r="J171" s="9" t="s">
        <v>145</v>
      </c>
    </row>
    <row r="172" spans="1:10">
      <c r="A172" s="5" t="s">
        <v>523</v>
      </c>
      <c r="B172" s="6" t="s">
        <v>1192</v>
      </c>
      <c r="C172" s="7">
        <v>46097</v>
      </c>
      <c r="D172" s="9" t="s">
        <v>241</v>
      </c>
      <c r="E172" s="8" t="s">
        <v>27</v>
      </c>
      <c r="F172" s="9" t="s">
        <v>246</v>
      </c>
      <c r="G172" s="9">
        <v>1</v>
      </c>
      <c r="H172" s="6" t="s">
        <v>243</v>
      </c>
      <c r="I172" s="9" t="s">
        <v>311</v>
      </c>
      <c r="J172" s="9" t="s">
        <v>145</v>
      </c>
    </row>
    <row r="173" spans="1:10">
      <c r="A173" s="5" t="s">
        <v>524</v>
      </c>
      <c r="B173" s="6" t="s">
        <v>1193</v>
      </c>
      <c r="C173" s="7">
        <v>46097</v>
      </c>
      <c r="D173" s="9" t="s">
        <v>241</v>
      </c>
      <c r="E173" s="8" t="s">
        <v>28</v>
      </c>
      <c r="F173" s="9" t="s">
        <v>242</v>
      </c>
      <c r="G173" s="9">
        <v>1</v>
      </c>
      <c r="H173" s="6" t="s">
        <v>243</v>
      </c>
      <c r="I173" s="9" t="s">
        <v>311</v>
      </c>
      <c r="J173" s="9" t="s">
        <v>145</v>
      </c>
    </row>
    <row r="174" spans="1:10">
      <c r="A174" s="5" t="s">
        <v>527</v>
      </c>
      <c r="B174" s="6" t="s">
        <v>1193</v>
      </c>
      <c r="C174" s="7">
        <v>46097</v>
      </c>
      <c r="D174" s="9" t="s">
        <v>241</v>
      </c>
      <c r="E174" s="4" t="s">
        <v>27</v>
      </c>
      <c r="F174" s="9" t="s">
        <v>246</v>
      </c>
      <c r="G174" s="9">
        <v>1</v>
      </c>
      <c r="H174" s="6" t="s">
        <v>243</v>
      </c>
      <c r="I174" s="9" t="s">
        <v>311</v>
      </c>
      <c r="J174" s="9" t="s">
        <v>145</v>
      </c>
    </row>
    <row r="175" spans="1:10">
      <c r="A175" s="5" t="s">
        <v>528</v>
      </c>
      <c r="B175" s="6" t="s">
        <v>1194</v>
      </c>
      <c r="C175" s="7">
        <v>46099</v>
      </c>
      <c r="D175" s="9" t="s">
        <v>241</v>
      </c>
      <c r="E175" s="8" t="s">
        <v>28</v>
      </c>
      <c r="F175" s="9" t="s">
        <v>242</v>
      </c>
      <c r="G175" s="9">
        <v>1</v>
      </c>
      <c r="H175" s="6" t="s">
        <v>243</v>
      </c>
      <c r="I175" s="9" t="s">
        <v>311</v>
      </c>
      <c r="J175" s="9" t="s">
        <v>145</v>
      </c>
    </row>
    <row r="176" spans="1:10">
      <c r="A176" s="5" t="s">
        <v>529</v>
      </c>
      <c r="B176" s="6" t="s">
        <v>1194</v>
      </c>
      <c r="C176" s="7">
        <v>46099</v>
      </c>
      <c r="D176" s="9" t="s">
        <v>241</v>
      </c>
      <c r="E176" s="8" t="s">
        <v>27</v>
      </c>
      <c r="F176" s="9" t="s">
        <v>246</v>
      </c>
      <c r="G176" s="9">
        <v>1</v>
      </c>
      <c r="H176" s="6" t="s">
        <v>243</v>
      </c>
      <c r="I176" s="9" t="s">
        <v>311</v>
      </c>
      <c r="J176" s="9" t="s">
        <v>145</v>
      </c>
    </row>
    <row r="177" spans="1:10">
      <c r="A177" s="5" t="s">
        <v>533</v>
      </c>
      <c r="B177" s="6" t="s">
        <v>1195</v>
      </c>
      <c r="C177" s="7">
        <v>46100</v>
      </c>
      <c r="D177" s="9" t="s">
        <v>1</v>
      </c>
      <c r="E177" s="8" t="s">
        <v>16</v>
      </c>
      <c r="F177" s="9" t="s">
        <v>242</v>
      </c>
      <c r="G177" s="9">
        <v>1</v>
      </c>
      <c r="H177" s="6" t="s">
        <v>993</v>
      </c>
      <c r="I177" s="9" t="s">
        <v>311</v>
      </c>
      <c r="J177" s="9" t="s">
        <v>145</v>
      </c>
    </row>
    <row r="178" spans="1:10">
      <c r="A178" s="5" t="s">
        <v>534</v>
      </c>
      <c r="B178" s="6" t="s">
        <v>1195</v>
      </c>
      <c r="C178" s="7">
        <v>46100</v>
      </c>
      <c r="D178" s="9" t="s">
        <v>1</v>
      </c>
      <c r="E178" s="8" t="s">
        <v>9</v>
      </c>
      <c r="F178" s="9" t="s">
        <v>246</v>
      </c>
      <c r="G178" s="9">
        <v>1</v>
      </c>
      <c r="H178" s="6" t="s">
        <v>993</v>
      </c>
      <c r="I178" s="9" t="s">
        <v>311</v>
      </c>
      <c r="J178" s="9" t="s">
        <v>145</v>
      </c>
    </row>
    <row r="179" spans="1:10">
      <c r="A179" s="5" t="s">
        <v>537</v>
      </c>
      <c r="B179" s="6" t="s">
        <v>1195</v>
      </c>
      <c r="C179" s="7">
        <v>46100</v>
      </c>
      <c r="D179" s="9" t="s">
        <v>261</v>
      </c>
      <c r="E179" s="8" t="s">
        <v>64</v>
      </c>
      <c r="F179" s="9" t="s">
        <v>242</v>
      </c>
      <c r="G179" s="9">
        <v>4</v>
      </c>
      <c r="H179" s="6" t="s">
        <v>993</v>
      </c>
      <c r="I179" s="9" t="s">
        <v>311</v>
      </c>
      <c r="J179" s="9" t="s">
        <v>145</v>
      </c>
    </row>
    <row r="180" spans="1:10">
      <c r="A180" s="5" t="s">
        <v>538</v>
      </c>
      <c r="B180" s="6" t="s">
        <v>1195</v>
      </c>
      <c r="C180" s="7">
        <v>46100</v>
      </c>
      <c r="D180" s="9" t="s">
        <v>270</v>
      </c>
      <c r="E180" s="8" t="s">
        <v>271</v>
      </c>
      <c r="F180" s="9" t="s">
        <v>242</v>
      </c>
      <c r="G180" s="9">
        <v>4</v>
      </c>
      <c r="H180" s="6" t="s">
        <v>993</v>
      </c>
      <c r="I180" s="9" t="s">
        <v>311</v>
      </c>
      <c r="J180" s="9" t="s">
        <v>145</v>
      </c>
    </row>
    <row r="181" spans="1:10">
      <c r="A181" s="5" t="s">
        <v>539</v>
      </c>
      <c r="B181" s="6" t="s">
        <v>1195</v>
      </c>
      <c r="C181" s="7">
        <v>46100</v>
      </c>
      <c r="D181" s="9" t="s">
        <v>270</v>
      </c>
      <c r="E181" s="4" t="s">
        <v>663</v>
      </c>
      <c r="F181" s="9" t="s">
        <v>242</v>
      </c>
      <c r="G181" s="9">
        <v>1</v>
      </c>
      <c r="H181" s="6" t="s">
        <v>993</v>
      </c>
      <c r="I181" s="9" t="s">
        <v>311</v>
      </c>
      <c r="J181" s="9" t="s">
        <v>145</v>
      </c>
    </row>
    <row r="182" spans="1:10">
      <c r="A182" s="5" t="s">
        <v>541</v>
      </c>
      <c r="B182" s="6" t="s">
        <v>1195</v>
      </c>
      <c r="C182" s="7">
        <v>46100</v>
      </c>
      <c r="D182" s="9" t="s">
        <v>503</v>
      </c>
      <c r="E182" s="8" t="s">
        <v>206</v>
      </c>
      <c r="F182" s="9" t="s">
        <v>242</v>
      </c>
      <c r="G182" s="9">
        <v>2</v>
      </c>
      <c r="H182" s="6" t="s">
        <v>993</v>
      </c>
      <c r="I182" s="9" t="s">
        <v>311</v>
      </c>
      <c r="J182" s="9" t="s">
        <v>145</v>
      </c>
    </row>
    <row r="183" spans="1:10">
      <c r="A183" s="5" t="s">
        <v>542</v>
      </c>
      <c r="B183" s="6" t="s">
        <v>1196</v>
      </c>
      <c r="C183" s="7">
        <v>46104</v>
      </c>
      <c r="D183" s="9" t="s">
        <v>299</v>
      </c>
      <c r="E183" s="4" t="s">
        <v>376</v>
      </c>
      <c r="F183" s="9" t="s">
        <v>242</v>
      </c>
      <c r="G183" s="9">
        <v>1</v>
      </c>
      <c r="H183" s="6" t="s">
        <v>1197</v>
      </c>
      <c r="I183" s="9" t="s">
        <v>311</v>
      </c>
      <c r="J183" s="9" t="s">
        <v>145</v>
      </c>
    </row>
    <row r="184" spans="1:10">
      <c r="A184" s="5" t="s">
        <v>543</v>
      </c>
      <c r="B184" s="6" t="s">
        <v>1196</v>
      </c>
      <c r="C184" s="7">
        <v>46104</v>
      </c>
      <c r="D184" s="9" t="s">
        <v>299</v>
      </c>
      <c r="E184" s="8" t="s">
        <v>376</v>
      </c>
      <c r="F184" s="9" t="s">
        <v>246</v>
      </c>
      <c r="G184" s="9">
        <v>1</v>
      </c>
      <c r="H184" s="6" t="s">
        <v>1197</v>
      </c>
      <c r="I184" s="9" t="s">
        <v>311</v>
      </c>
      <c r="J184" s="9" t="s">
        <v>145</v>
      </c>
    </row>
    <row r="185" spans="1:10">
      <c r="A185" s="5" t="s">
        <v>544</v>
      </c>
      <c r="B185" s="6" t="s">
        <v>1198</v>
      </c>
      <c r="C185" s="7">
        <v>46105</v>
      </c>
      <c r="D185" s="9" t="s">
        <v>241</v>
      </c>
      <c r="E185" s="8" t="s">
        <v>28</v>
      </c>
      <c r="F185" s="9" t="s">
        <v>242</v>
      </c>
      <c r="G185" s="9">
        <v>1</v>
      </c>
      <c r="H185" s="6" t="s">
        <v>243</v>
      </c>
      <c r="I185" s="9" t="s">
        <v>284</v>
      </c>
      <c r="J185" s="9" t="s">
        <v>145</v>
      </c>
    </row>
    <row r="186" spans="1:10">
      <c r="A186" s="5" t="s">
        <v>545</v>
      </c>
      <c r="B186" s="6" t="s">
        <v>1198</v>
      </c>
      <c r="C186" s="7">
        <v>46105</v>
      </c>
      <c r="D186" s="9" t="s">
        <v>241</v>
      </c>
      <c r="E186" s="8" t="s">
        <v>29</v>
      </c>
      <c r="F186" s="9" t="s">
        <v>246</v>
      </c>
      <c r="G186" s="9">
        <v>1</v>
      </c>
      <c r="H186" s="6" t="s">
        <v>243</v>
      </c>
      <c r="I186" s="9" t="s">
        <v>284</v>
      </c>
      <c r="J186" s="9" t="s">
        <v>145</v>
      </c>
    </row>
    <row r="187" spans="1:10">
      <c r="A187" s="5" t="s">
        <v>546</v>
      </c>
      <c r="B187" s="6" t="s">
        <v>1199</v>
      </c>
      <c r="C187" s="7">
        <v>46105</v>
      </c>
      <c r="D187" s="9" t="s">
        <v>241</v>
      </c>
      <c r="E187" s="8" t="s">
        <v>28</v>
      </c>
      <c r="F187" s="9" t="s">
        <v>242</v>
      </c>
      <c r="G187" s="9">
        <v>1</v>
      </c>
      <c r="H187" s="6" t="s">
        <v>243</v>
      </c>
      <c r="I187" s="9" t="s">
        <v>244</v>
      </c>
      <c r="J187" s="9" t="s">
        <v>145</v>
      </c>
    </row>
    <row r="188" spans="1:10">
      <c r="A188" s="5" t="s">
        <v>549</v>
      </c>
      <c r="B188" s="6" t="s">
        <v>1199</v>
      </c>
      <c r="C188" s="7">
        <v>46105</v>
      </c>
      <c r="D188" s="9" t="s">
        <v>241</v>
      </c>
      <c r="E188" s="8" t="s">
        <v>29</v>
      </c>
      <c r="F188" s="9" t="s">
        <v>246</v>
      </c>
      <c r="G188" s="9">
        <v>1</v>
      </c>
      <c r="H188" s="6" t="s">
        <v>243</v>
      </c>
      <c r="I188" s="9" t="s">
        <v>244</v>
      </c>
      <c r="J188" s="9" t="s">
        <v>145</v>
      </c>
    </row>
    <row r="189" spans="1:10">
      <c r="A189" s="5" t="s">
        <v>550</v>
      </c>
      <c r="B189" s="6" t="s">
        <v>1199</v>
      </c>
      <c r="C189" s="7">
        <v>46105</v>
      </c>
      <c r="D189" s="9" t="s">
        <v>261</v>
      </c>
      <c r="E189" s="8" t="s">
        <v>62</v>
      </c>
      <c r="F189" s="9" t="s">
        <v>242</v>
      </c>
      <c r="G189" s="9">
        <v>1</v>
      </c>
      <c r="H189" s="6" t="s">
        <v>243</v>
      </c>
      <c r="I189" s="9" t="s">
        <v>244</v>
      </c>
      <c r="J189" s="9" t="s">
        <v>145</v>
      </c>
    </row>
    <row r="190" spans="1:10">
      <c r="A190" s="5" t="s">
        <v>551</v>
      </c>
      <c r="B190" s="6" t="s">
        <v>1199</v>
      </c>
      <c r="C190" s="7">
        <v>46105</v>
      </c>
      <c r="D190" s="9" t="s">
        <v>261</v>
      </c>
      <c r="E190" s="8" t="s">
        <v>281</v>
      </c>
      <c r="F190" s="9" t="s">
        <v>242</v>
      </c>
      <c r="G190" s="9">
        <v>3</v>
      </c>
      <c r="H190" s="6" t="s">
        <v>243</v>
      </c>
      <c r="I190" s="9" t="s">
        <v>244</v>
      </c>
      <c r="J190" s="9" t="s">
        <v>145</v>
      </c>
    </row>
    <row r="191" spans="1:10">
      <c r="A191" s="5" t="s">
        <v>553</v>
      </c>
      <c r="B191" s="6" t="s">
        <v>1200</v>
      </c>
      <c r="C191" s="7">
        <v>46105</v>
      </c>
      <c r="D191" s="9" t="s">
        <v>241</v>
      </c>
      <c r="E191" s="8" t="s">
        <v>28</v>
      </c>
      <c r="F191" s="9" t="s">
        <v>242</v>
      </c>
      <c r="G191" s="9">
        <v>1</v>
      </c>
      <c r="H191" s="6" t="s">
        <v>243</v>
      </c>
      <c r="I191" s="9" t="s">
        <v>616</v>
      </c>
      <c r="J191" s="9" t="s">
        <v>145</v>
      </c>
    </row>
    <row r="192" spans="1:10">
      <c r="A192" s="5" t="s">
        <v>554</v>
      </c>
      <c r="B192" s="6" t="s">
        <v>1200</v>
      </c>
      <c r="C192" s="7">
        <v>46105</v>
      </c>
      <c r="D192" s="9" t="s">
        <v>241</v>
      </c>
      <c r="E192" s="4" t="s">
        <v>29</v>
      </c>
      <c r="F192" s="9" t="s">
        <v>246</v>
      </c>
      <c r="G192" s="9">
        <v>1</v>
      </c>
      <c r="H192" s="6" t="s">
        <v>243</v>
      </c>
      <c r="I192" s="9" t="s">
        <v>616</v>
      </c>
      <c r="J192" s="9" t="s">
        <v>145</v>
      </c>
    </row>
    <row r="193" spans="1:10">
      <c r="A193" s="5" t="s">
        <v>555</v>
      </c>
      <c r="B193" s="6" t="s">
        <v>1201</v>
      </c>
      <c r="C193" s="7">
        <v>46105</v>
      </c>
      <c r="D193" s="9" t="s">
        <v>241</v>
      </c>
      <c r="E193" s="8" t="s">
        <v>28</v>
      </c>
      <c r="F193" s="9" t="s">
        <v>242</v>
      </c>
      <c r="G193" s="9">
        <v>1</v>
      </c>
      <c r="H193" s="6" t="s">
        <v>1173</v>
      </c>
      <c r="I193" s="9" t="s">
        <v>289</v>
      </c>
      <c r="J193" s="9" t="s">
        <v>145</v>
      </c>
    </row>
    <row r="194" spans="1:10">
      <c r="A194" s="5" t="s">
        <v>557</v>
      </c>
      <c r="B194" s="6" t="s">
        <v>1201</v>
      </c>
      <c r="C194" s="7">
        <v>46105</v>
      </c>
      <c r="D194" s="9" t="s">
        <v>241</v>
      </c>
      <c r="E194" s="8" t="s">
        <v>29</v>
      </c>
      <c r="F194" s="9" t="s">
        <v>246</v>
      </c>
      <c r="G194" s="9">
        <v>1</v>
      </c>
      <c r="H194" s="6" t="s">
        <v>1173</v>
      </c>
      <c r="I194" s="9" t="s">
        <v>289</v>
      </c>
      <c r="J194" s="9" t="s">
        <v>145</v>
      </c>
    </row>
    <row r="195" spans="1:10">
      <c r="A195" s="5" t="s">
        <v>558</v>
      </c>
      <c r="B195" s="6" t="s">
        <v>1201</v>
      </c>
      <c r="C195" s="7">
        <v>46105</v>
      </c>
      <c r="D195" s="9" t="s">
        <v>261</v>
      </c>
      <c r="E195" s="8" t="s">
        <v>62</v>
      </c>
      <c r="F195" s="9" t="s">
        <v>242</v>
      </c>
      <c r="G195" s="9">
        <v>2</v>
      </c>
      <c r="H195" s="6" t="s">
        <v>1173</v>
      </c>
      <c r="I195" s="9" t="s">
        <v>289</v>
      </c>
      <c r="J195" s="9" t="s">
        <v>145</v>
      </c>
    </row>
    <row r="196" spans="1:10">
      <c r="A196" s="5" t="s">
        <v>561</v>
      </c>
      <c r="B196" s="6" t="s">
        <v>1201</v>
      </c>
      <c r="C196" s="7">
        <v>46105</v>
      </c>
      <c r="D196" s="9" t="s">
        <v>261</v>
      </c>
      <c r="E196" s="8" t="s">
        <v>281</v>
      </c>
      <c r="F196" s="9" t="s">
        <v>242</v>
      </c>
      <c r="G196" s="9">
        <v>2</v>
      </c>
      <c r="H196" s="6" t="s">
        <v>1173</v>
      </c>
      <c r="I196" s="9" t="s">
        <v>289</v>
      </c>
      <c r="J196" s="9" t="s">
        <v>145</v>
      </c>
    </row>
    <row r="197" spans="1:10">
      <c r="A197" s="5" t="s">
        <v>562</v>
      </c>
      <c r="B197" s="6" t="s">
        <v>1202</v>
      </c>
      <c r="C197" s="7">
        <v>46106</v>
      </c>
      <c r="D197" s="9" t="s">
        <v>241</v>
      </c>
      <c r="E197" s="8" t="s">
        <v>28</v>
      </c>
      <c r="F197" s="9" t="s">
        <v>242</v>
      </c>
      <c r="G197" s="9">
        <v>1</v>
      </c>
      <c r="H197" s="6" t="s">
        <v>243</v>
      </c>
      <c r="I197" s="9" t="s">
        <v>284</v>
      </c>
      <c r="J197" s="9" t="s">
        <v>145</v>
      </c>
    </row>
    <row r="198" spans="1:10">
      <c r="A198" s="5" t="s">
        <v>567</v>
      </c>
      <c r="B198" s="6" t="s">
        <v>1202</v>
      </c>
      <c r="C198" s="7">
        <v>46106</v>
      </c>
      <c r="D198" s="9" t="s">
        <v>241</v>
      </c>
      <c r="E198" s="4" t="s">
        <v>27</v>
      </c>
      <c r="F198" s="9" t="s">
        <v>246</v>
      </c>
      <c r="G198" s="9">
        <v>1</v>
      </c>
      <c r="H198" s="6" t="s">
        <v>243</v>
      </c>
      <c r="I198" s="9" t="s">
        <v>284</v>
      </c>
      <c r="J198" s="9" t="s">
        <v>145</v>
      </c>
    </row>
    <row r="199" spans="1:10">
      <c r="A199" s="5" t="s">
        <v>568</v>
      </c>
      <c r="B199" s="6" t="s">
        <v>1203</v>
      </c>
      <c r="C199" s="7">
        <v>46106</v>
      </c>
      <c r="D199" s="9" t="s">
        <v>241</v>
      </c>
      <c r="E199" s="8" t="s">
        <v>28</v>
      </c>
      <c r="F199" s="9" t="s">
        <v>242</v>
      </c>
      <c r="G199" s="9">
        <v>1</v>
      </c>
      <c r="H199" s="6" t="s">
        <v>243</v>
      </c>
      <c r="I199" s="9" t="s">
        <v>289</v>
      </c>
      <c r="J199" s="9" t="s">
        <v>145</v>
      </c>
    </row>
    <row r="200" spans="1:10">
      <c r="A200" s="5" t="s">
        <v>569</v>
      </c>
      <c r="B200" s="6" t="s">
        <v>1203</v>
      </c>
      <c r="C200" s="7">
        <v>46106</v>
      </c>
      <c r="D200" s="9" t="s">
        <v>241</v>
      </c>
      <c r="E200" s="8" t="s">
        <v>27</v>
      </c>
      <c r="F200" s="9" t="s">
        <v>246</v>
      </c>
      <c r="G200" s="9">
        <v>1</v>
      </c>
      <c r="H200" s="6" t="s">
        <v>243</v>
      </c>
      <c r="I200" s="9" t="s">
        <v>289</v>
      </c>
      <c r="J200" s="9" t="s">
        <v>145</v>
      </c>
    </row>
    <row r="201" spans="1:10">
      <c r="A201" s="5" t="s">
        <v>570</v>
      </c>
      <c r="B201" s="6" t="s">
        <v>1203</v>
      </c>
      <c r="C201" s="7">
        <v>46106</v>
      </c>
      <c r="D201" s="9" t="s">
        <v>261</v>
      </c>
      <c r="E201" s="8" t="s">
        <v>62</v>
      </c>
      <c r="F201" s="9" t="s">
        <v>242</v>
      </c>
      <c r="G201" s="9">
        <v>1</v>
      </c>
      <c r="H201" s="6" t="s">
        <v>243</v>
      </c>
      <c r="I201" s="9" t="s">
        <v>289</v>
      </c>
      <c r="J201" s="9" t="s">
        <v>145</v>
      </c>
    </row>
    <row r="202" spans="1:10">
      <c r="A202" s="5" t="s">
        <v>571</v>
      </c>
      <c r="B202" s="6" t="s">
        <v>1203</v>
      </c>
      <c r="C202" s="7">
        <v>46106</v>
      </c>
      <c r="D202" s="9" t="s">
        <v>261</v>
      </c>
      <c r="E202" s="8" t="s">
        <v>281</v>
      </c>
      <c r="F202" s="9" t="s">
        <v>242</v>
      </c>
      <c r="G202" s="9">
        <v>3</v>
      </c>
      <c r="H202" s="6" t="s">
        <v>243</v>
      </c>
      <c r="I202" s="9" t="s">
        <v>289</v>
      </c>
      <c r="J202" s="9" t="s">
        <v>145</v>
      </c>
    </row>
    <row r="203" spans="1:10">
      <c r="A203" s="5" t="s">
        <v>573</v>
      </c>
      <c r="B203" s="6" t="s">
        <v>1204</v>
      </c>
      <c r="C203" s="7">
        <v>46106</v>
      </c>
      <c r="D203" s="9" t="s">
        <v>241</v>
      </c>
      <c r="E203" s="4" t="s">
        <v>28</v>
      </c>
      <c r="F203" s="9" t="s">
        <v>242</v>
      </c>
      <c r="G203" s="9">
        <v>1</v>
      </c>
      <c r="H203" s="6" t="s">
        <v>590</v>
      </c>
      <c r="I203" s="9" t="s">
        <v>605</v>
      </c>
      <c r="J203" s="9" t="s">
        <v>145</v>
      </c>
    </row>
    <row r="204" spans="1:10">
      <c r="A204" s="5" t="s">
        <v>574</v>
      </c>
      <c r="B204" s="6" t="s">
        <v>1204</v>
      </c>
      <c r="C204" s="7">
        <v>46106</v>
      </c>
      <c r="D204" s="9" t="s">
        <v>241</v>
      </c>
      <c r="E204" s="8" t="s">
        <v>27</v>
      </c>
      <c r="F204" s="9" t="s">
        <v>246</v>
      </c>
      <c r="G204" s="9">
        <v>1</v>
      </c>
      <c r="H204" s="6" t="s">
        <v>590</v>
      </c>
      <c r="I204" s="9" t="s">
        <v>605</v>
      </c>
      <c r="J204" s="9" t="s">
        <v>145</v>
      </c>
    </row>
    <row r="205" spans="1:10">
      <c r="A205" s="5" t="s">
        <v>575</v>
      </c>
      <c r="B205" s="6" t="s">
        <v>1204</v>
      </c>
      <c r="C205" s="7">
        <v>46106</v>
      </c>
      <c r="D205" s="9" t="s">
        <v>261</v>
      </c>
      <c r="E205" s="8" t="s">
        <v>62</v>
      </c>
      <c r="F205" s="9" t="s">
        <v>242</v>
      </c>
      <c r="G205" s="9">
        <v>2</v>
      </c>
      <c r="H205" s="6" t="s">
        <v>590</v>
      </c>
      <c r="I205" s="9" t="s">
        <v>605</v>
      </c>
      <c r="J205" s="9" t="s">
        <v>145</v>
      </c>
    </row>
    <row r="206" spans="1:10">
      <c r="A206" s="5" t="s">
        <v>576</v>
      </c>
      <c r="B206" s="6" t="s">
        <v>1205</v>
      </c>
      <c r="C206" s="7">
        <v>46107</v>
      </c>
      <c r="D206" s="9" t="s">
        <v>241</v>
      </c>
      <c r="E206" s="8" t="s">
        <v>28</v>
      </c>
      <c r="F206" s="9" t="s">
        <v>242</v>
      </c>
      <c r="G206" s="9">
        <v>1</v>
      </c>
      <c r="H206" s="6" t="s">
        <v>243</v>
      </c>
      <c r="I206" s="9" t="s">
        <v>289</v>
      </c>
      <c r="J206" s="9" t="s">
        <v>145</v>
      </c>
    </row>
    <row r="207" spans="1:10">
      <c r="A207" s="5" t="s">
        <v>577</v>
      </c>
      <c r="B207" s="6" t="s">
        <v>1205</v>
      </c>
      <c r="C207" s="7">
        <v>46107</v>
      </c>
      <c r="D207" s="9" t="s">
        <v>241</v>
      </c>
      <c r="E207" s="8" t="s">
        <v>27</v>
      </c>
      <c r="F207" s="9" t="s">
        <v>246</v>
      </c>
      <c r="G207" s="9">
        <v>1</v>
      </c>
      <c r="H207" s="6" t="s">
        <v>243</v>
      </c>
      <c r="I207" s="9" t="s">
        <v>289</v>
      </c>
      <c r="J207" s="9" t="s">
        <v>145</v>
      </c>
    </row>
    <row r="208" spans="1:10">
      <c r="A208" s="5" t="s">
        <v>580</v>
      </c>
      <c r="B208" s="6" t="s">
        <v>1206</v>
      </c>
      <c r="C208" s="7">
        <v>46107</v>
      </c>
      <c r="D208" s="9" t="s">
        <v>241</v>
      </c>
      <c r="E208" s="8" t="s">
        <v>28</v>
      </c>
      <c r="F208" s="9" t="s">
        <v>242</v>
      </c>
      <c r="G208" s="9">
        <v>1</v>
      </c>
      <c r="H208" s="6" t="s">
        <v>536</v>
      </c>
      <c r="I208" s="9" t="s">
        <v>284</v>
      </c>
      <c r="J208" s="9" t="s">
        <v>145</v>
      </c>
    </row>
    <row r="209" spans="1:10">
      <c r="A209" s="5" t="s">
        <v>581</v>
      </c>
      <c r="B209" s="6" t="s">
        <v>1206</v>
      </c>
      <c r="C209" s="7">
        <v>46107</v>
      </c>
      <c r="D209" s="9" t="s">
        <v>241</v>
      </c>
      <c r="E209" s="8" t="s">
        <v>29</v>
      </c>
      <c r="F209" s="9" t="s">
        <v>246</v>
      </c>
      <c r="G209" s="9">
        <v>1</v>
      </c>
      <c r="H209" s="6" t="s">
        <v>536</v>
      </c>
      <c r="I209" s="9" t="s">
        <v>284</v>
      </c>
      <c r="J209" s="9" t="s">
        <v>145</v>
      </c>
    </row>
    <row r="210" spans="1:10">
      <c r="A210" s="5" t="s">
        <v>583</v>
      </c>
      <c r="B210" s="6" t="s">
        <v>1207</v>
      </c>
      <c r="C210" s="7">
        <v>46107</v>
      </c>
      <c r="D210" s="9" t="s">
        <v>241</v>
      </c>
      <c r="E210" s="8" t="s">
        <v>28</v>
      </c>
      <c r="F210" s="9" t="s">
        <v>242</v>
      </c>
      <c r="G210" s="9">
        <v>1</v>
      </c>
      <c r="H210" s="6" t="s">
        <v>328</v>
      </c>
      <c r="I210" s="9" t="s">
        <v>388</v>
      </c>
      <c r="J210" s="9" t="s">
        <v>145</v>
      </c>
    </row>
    <row r="211" spans="1:10">
      <c r="A211" s="5" t="s">
        <v>584</v>
      </c>
      <c r="B211" s="6" t="s">
        <v>1207</v>
      </c>
      <c r="C211" s="7">
        <v>46107</v>
      </c>
      <c r="D211" s="9" t="s">
        <v>241</v>
      </c>
      <c r="E211" s="8" t="s">
        <v>27</v>
      </c>
      <c r="F211" s="9" t="s">
        <v>246</v>
      </c>
      <c r="G211" s="9">
        <v>1</v>
      </c>
      <c r="H211" s="6" t="s">
        <v>328</v>
      </c>
      <c r="I211" s="9" t="s">
        <v>388</v>
      </c>
      <c r="J211" s="9" t="s">
        <v>145</v>
      </c>
    </row>
    <row r="212" spans="1:10">
      <c r="A212" s="5" t="s">
        <v>588</v>
      </c>
      <c r="B212" s="6" t="s">
        <v>1208</v>
      </c>
      <c r="C212" s="7">
        <v>46107</v>
      </c>
      <c r="D212" s="9" t="s">
        <v>241</v>
      </c>
      <c r="E212" s="8" t="s">
        <v>28</v>
      </c>
      <c r="F212" s="9" t="s">
        <v>586</v>
      </c>
      <c r="G212" s="9">
        <v>1</v>
      </c>
      <c r="H212" s="6" t="s">
        <v>587</v>
      </c>
      <c r="I212" s="9" t="s">
        <v>388</v>
      </c>
      <c r="J212" s="9" t="s">
        <v>145</v>
      </c>
    </row>
    <row r="213" spans="1:10">
      <c r="A213" s="5" t="s">
        <v>591</v>
      </c>
      <c r="B213" s="6" t="s">
        <v>1209</v>
      </c>
      <c r="C213" s="7">
        <v>46107</v>
      </c>
      <c r="D213" s="9" t="s">
        <v>241</v>
      </c>
      <c r="E213" s="8" t="s">
        <v>28</v>
      </c>
      <c r="F213" s="9" t="s">
        <v>242</v>
      </c>
      <c r="G213" s="9">
        <v>1</v>
      </c>
      <c r="H213" s="6" t="s">
        <v>243</v>
      </c>
      <c r="I213" s="9" t="s">
        <v>253</v>
      </c>
      <c r="J213" s="9" t="s">
        <v>145</v>
      </c>
    </row>
    <row r="214" spans="1:10">
      <c r="A214" s="5" t="s">
        <v>592</v>
      </c>
      <c r="B214" s="6" t="s">
        <v>1209</v>
      </c>
      <c r="C214" s="7">
        <v>46107</v>
      </c>
      <c r="D214" s="9" t="s">
        <v>241</v>
      </c>
      <c r="E214" s="8" t="s">
        <v>29</v>
      </c>
      <c r="F214" s="9" t="s">
        <v>246</v>
      </c>
      <c r="G214" s="9">
        <v>1</v>
      </c>
      <c r="H214" s="6" t="s">
        <v>243</v>
      </c>
      <c r="I214" s="9" t="s">
        <v>253</v>
      </c>
      <c r="J214" s="9" t="s">
        <v>145</v>
      </c>
    </row>
    <row r="215" spans="1:10">
      <c r="A215" s="5" t="s">
        <v>593</v>
      </c>
      <c r="B215" s="6" t="s">
        <v>1209</v>
      </c>
      <c r="C215" s="7">
        <v>46107</v>
      </c>
      <c r="D215" s="9" t="s">
        <v>261</v>
      </c>
      <c r="E215" s="8" t="s">
        <v>281</v>
      </c>
      <c r="F215" s="9" t="s">
        <v>242</v>
      </c>
      <c r="G215" s="9">
        <v>4</v>
      </c>
      <c r="H215" s="6" t="s">
        <v>243</v>
      </c>
      <c r="I215" s="9" t="s">
        <v>253</v>
      </c>
      <c r="J215" s="9" t="s">
        <v>145</v>
      </c>
    </row>
    <row r="216" spans="1:10">
      <c r="A216" s="5" t="s">
        <v>595</v>
      </c>
      <c r="B216" s="6" t="s">
        <v>1210</v>
      </c>
      <c r="C216" s="7">
        <v>46107</v>
      </c>
      <c r="D216" s="9" t="s">
        <v>241</v>
      </c>
      <c r="E216" s="8" t="s">
        <v>1152</v>
      </c>
      <c r="F216" s="9" t="s">
        <v>242</v>
      </c>
      <c r="G216" s="9">
        <v>1</v>
      </c>
      <c r="H216" s="6" t="s">
        <v>328</v>
      </c>
      <c r="I216" s="9" t="s">
        <v>258</v>
      </c>
      <c r="J216" s="9" t="s">
        <v>145</v>
      </c>
    </row>
    <row r="217" spans="1:10">
      <c r="A217" s="5" t="s">
        <v>596</v>
      </c>
      <c r="B217" s="6" t="s">
        <v>1210</v>
      </c>
      <c r="C217" s="7">
        <v>46107</v>
      </c>
      <c r="D217" s="9" t="s">
        <v>241</v>
      </c>
      <c r="E217" s="8" t="s">
        <v>29</v>
      </c>
      <c r="F217" s="9" t="s">
        <v>246</v>
      </c>
      <c r="G217" s="9">
        <v>1</v>
      </c>
      <c r="H217" s="6" t="s">
        <v>328</v>
      </c>
      <c r="I217" s="9" t="s">
        <v>258</v>
      </c>
      <c r="J217" s="9" t="s">
        <v>145</v>
      </c>
    </row>
    <row r="218" spans="1:10">
      <c r="A218" s="5" t="s">
        <v>599</v>
      </c>
      <c r="B218" s="6" t="s">
        <v>1211</v>
      </c>
      <c r="C218" s="7">
        <v>46107</v>
      </c>
      <c r="D218" s="9" t="s">
        <v>665</v>
      </c>
      <c r="E218" s="8" t="s">
        <v>666</v>
      </c>
      <c r="F218" s="9" t="s">
        <v>242</v>
      </c>
      <c r="G218" s="9">
        <v>1</v>
      </c>
      <c r="H218" s="6" t="s">
        <v>1212</v>
      </c>
      <c r="I218" s="9" t="s">
        <v>253</v>
      </c>
      <c r="J218" s="9" t="s">
        <v>145</v>
      </c>
    </row>
    <row r="219" spans="1:10">
      <c r="A219" s="5" t="s">
        <v>600</v>
      </c>
      <c r="B219" s="6" t="s">
        <v>1211</v>
      </c>
      <c r="C219" s="7">
        <v>46107</v>
      </c>
      <c r="D219" s="9">
        <v>0</v>
      </c>
      <c r="E219" s="8">
        <v>0</v>
      </c>
      <c r="F219" s="9" t="s">
        <v>246</v>
      </c>
      <c r="G219" s="9">
        <v>0</v>
      </c>
      <c r="H219" s="6" t="s">
        <v>1212</v>
      </c>
      <c r="I219" s="9" t="s">
        <v>253</v>
      </c>
      <c r="J219" s="9" t="s">
        <v>145</v>
      </c>
    </row>
    <row r="220" spans="1:10">
      <c r="A220" s="5" t="s">
        <v>602</v>
      </c>
      <c r="B220" s="6" t="s">
        <v>1211</v>
      </c>
      <c r="C220" s="7">
        <v>46107</v>
      </c>
      <c r="D220" s="9" t="s">
        <v>500</v>
      </c>
      <c r="E220" s="8" t="s">
        <v>3</v>
      </c>
      <c r="F220" s="9" t="s">
        <v>242</v>
      </c>
      <c r="G220" s="9">
        <v>1</v>
      </c>
      <c r="H220" s="6" t="s">
        <v>1212</v>
      </c>
      <c r="I220" s="9" t="s">
        <v>253</v>
      </c>
      <c r="J220" s="9" t="s">
        <v>145</v>
      </c>
    </row>
    <row r="221" spans="1:10">
      <c r="A221" s="5" t="s">
        <v>603</v>
      </c>
      <c r="B221" s="6" t="s">
        <v>1211</v>
      </c>
      <c r="C221" s="7">
        <v>46107</v>
      </c>
      <c r="D221" s="9" t="s">
        <v>261</v>
      </c>
      <c r="E221" s="8" t="s">
        <v>64</v>
      </c>
      <c r="F221" s="9" t="s">
        <v>242</v>
      </c>
      <c r="G221" s="9">
        <v>4</v>
      </c>
      <c r="H221" s="6" t="s">
        <v>1212</v>
      </c>
      <c r="I221" s="9" t="s">
        <v>253</v>
      </c>
      <c r="J221" s="9" t="s">
        <v>145</v>
      </c>
    </row>
    <row r="222" spans="1:10">
      <c r="A222" s="5" t="s">
        <v>606</v>
      </c>
      <c r="B222" s="6" t="s">
        <v>1211</v>
      </c>
      <c r="C222" s="7">
        <v>46107</v>
      </c>
      <c r="D222" s="9" t="s">
        <v>270</v>
      </c>
      <c r="E222" s="8" t="s">
        <v>271</v>
      </c>
      <c r="F222" s="9" t="s">
        <v>242</v>
      </c>
      <c r="G222" s="9">
        <v>4</v>
      </c>
      <c r="H222" s="6" t="s">
        <v>1212</v>
      </c>
      <c r="I222" s="9" t="s">
        <v>253</v>
      </c>
      <c r="J222" s="9" t="s">
        <v>145</v>
      </c>
    </row>
    <row r="223" spans="1:10">
      <c r="A223" s="5" t="s">
        <v>607</v>
      </c>
      <c r="B223" s="6" t="s">
        <v>1213</v>
      </c>
      <c r="C223" s="7">
        <v>46107</v>
      </c>
      <c r="D223" s="9" t="s">
        <v>241</v>
      </c>
      <c r="E223" s="8" t="s">
        <v>28</v>
      </c>
      <c r="F223" s="9" t="s">
        <v>242</v>
      </c>
      <c r="G223" s="9">
        <v>1</v>
      </c>
      <c r="H223" s="6" t="s">
        <v>257</v>
      </c>
      <c r="I223" s="9" t="s">
        <v>616</v>
      </c>
      <c r="J223" s="9" t="s">
        <v>145</v>
      </c>
    </row>
    <row r="224" spans="1:10">
      <c r="A224" s="5" t="s">
        <v>610</v>
      </c>
      <c r="B224" s="6" t="s">
        <v>1213</v>
      </c>
      <c r="C224" s="7">
        <v>46107</v>
      </c>
      <c r="D224" s="9" t="s">
        <v>241</v>
      </c>
      <c r="E224" s="4" t="s">
        <v>27</v>
      </c>
      <c r="F224" s="9" t="s">
        <v>246</v>
      </c>
      <c r="G224" s="9">
        <v>1</v>
      </c>
      <c r="H224" s="6" t="s">
        <v>257</v>
      </c>
      <c r="I224" s="9" t="s">
        <v>616</v>
      </c>
      <c r="J224" s="9" t="s">
        <v>145</v>
      </c>
    </row>
    <row r="225" spans="1:10">
      <c r="A225" s="5" t="s">
        <v>611</v>
      </c>
      <c r="B225" s="6" t="s">
        <v>1214</v>
      </c>
      <c r="C225" s="7">
        <v>46107</v>
      </c>
      <c r="D225" s="9" t="s">
        <v>241</v>
      </c>
      <c r="E225" s="8" t="s">
        <v>28</v>
      </c>
      <c r="F225" s="9" t="s">
        <v>242</v>
      </c>
      <c r="G225" s="9">
        <v>1</v>
      </c>
      <c r="H225" s="6" t="s">
        <v>328</v>
      </c>
      <c r="I225" s="9" t="s">
        <v>918</v>
      </c>
      <c r="J225" s="9" t="s">
        <v>145</v>
      </c>
    </row>
    <row r="226" spans="1:10">
      <c r="A226" s="5" t="s">
        <v>612</v>
      </c>
      <c r="B226" s="6" t="s">
        <v>1214</v>
      </c>
      <c r="C226" s="7">
        <v>46107</v>
      </c>
      <c r="D226" s="9" t="s">
        <v>241</v>
      </c>
      <c r="E226" s="8" t="s">
        <v>29</v>
      </c>
      <c r="F226" s="9" t="s">
        <v>246</v>
      </c>
      <c r="G226" s="9">
        <v>1</v>
      </c>
      <c r="H226" s="6" t="s">
        <v>328</v>
      </c>
      <c r="I226" s="9" t="s">
        <v>918</v>
      </c>
      <c r="J226" s="9" t="s">
        <v>145</v>
      </c>
    </row>
    <row r="227" spans="1:10">
      <c r="A227" s="5" t="s">
        <v>613</v>
      </c>
      <c r="B227" s="6" t="s">
        <v>1214</v>
      </c>
      <c r="C227" s="7">
        <v>46107</v>
      </c>
      <c r="D227" s="9" t="s">
        <v>261</v>
      </c>
      <c r="E227" s="8" t="s">
        <v>281</v>
      </c>
      <c r="F227" s="9" t="s">
        <v>242</v>
      </c>
      <c r="G227" s="9">
        <v>2</v>
      </c>
      <c r="H227" s="6" t="s">
        <v>328</v>
      </c>
      <c r="I227" s="9" t="s">
        <v>918</v>
      </c>
      <c r="J227" s="9" t="s">
        <v>145</v>
      </c>
    </row>
    <row r="228" spans="1:10">
      <c r="A228" s="5" t="s">
        <v>617</v>
      </c>
      <c r="B228" s="6" t="s">
        <v>1215</v>
      </c>
      <c r="C228" s="7">
        <v>46107</v>
      </c>
      <c r="D228" s="9" t="s">
        <v>241</v>
      </c>
      <c r="E228" s="4" t="s">
        <v>28</v>
      </c>
      <c r="F228" s="9" t="s">
        <v>242</v>
      </c>
      <c r="G228" s="9">
        <v>2</v>
      </c>
      <c r="H228" s="6" t="s">
        <v>243</v>
      </c>
      <c r="I228" s="9" t="s">
        <v>918</v>
      </c>
      <c r="J228" s="9" t="s">
        <v>145</v>
      </c>
    </row>
    <row r="229" spans="1:10">
      <c r="A229" s="5" t="s">
        <v>618</v>
      </c>
      <c r="B229" s="6" t="s">
        <v>1215</v>
      </c>
      <c r="C229" s="7">
        <v>46107</v>
      </c>
      <c r="D229" s="9" t="s">
        <v>241</v>
      </c>
      <c r="E229" s="8" t="s">
        <v>29</v>
      </c>
      <c r="F229" s="9" t="s">
        <v>246</v>
      </c>
      <c r="G229" s="9">
        <v>1</v>
      </c>
      <c r="H229" s="6" t="s">
        <v>243</v>
      </c>
      <c r="I229" s="9" t="s">
        <v>918</v>
      </c>
      <c r="J229" s="9" t="s">
        <v>145</v>
      </c>
    </row>
    <row r="230" spans="1:10">
      <c r="A230" s="5" t="s">
        <v>620</v>
      </c>
      <c r="B230" s="6" t="s">
        <v>1216</v>
      </c>
      <c r="C230" s="7">
        <v>46107</v>
      </c>
      <c r="D230" s="9" t="s">
        <v>241</v>
      </c>
      <c r="E230" s="4" t="s">
        <v>28</v>
      </c>
      <c r="F230" s="9" t="s">
        <v>242</v>
      </c>
      <c r="G230" s="9">
        <v>1</v>
      </c>
      <c r="H230" s="6" t="s">
        <v>615</v>
      </c>
      <c r="I230" s="9" t="s">
        <v>484</v>
      </c>
      <c r="J230" s="9" t="s">
        <v>145</v>
      </c>
    </row>
    <row r="231" spans="1:10">
      <c r="A231" s="5" t="s">
        <v>621</v>
      </c>
      <c r="B231" s="6" t="s">
        <v>1216</v>
      </c>
      <c r="C231" s="7">
        <v>46107</v>
      </c>
      <c r="D231" s="9" t="s">
        <v>241</v>
      </c>
      <c r="E231" s="8" t="s">
        <v>29</v>
      </c>
      <c r="F231" s="9" t="s">
        <v>246</v>
      </c>
      <c r="G231" s="9">
        <v>1</v>
      </c>
      <c r="H231" s="6" t="s">
        <v>615</v>
      </c>
      <c r="I231" s="9" t="s">
        <v>484</v>
      </c>
      <c r="J231" s="9" t="s">
        <v>145</v>
      </c>
    </row>
    <row r="232" spans="1:10">
      <c r="A232" s="5" t="s">
        <v>624</v>
      </c>
      <c r="B232" s="6" t="s">
        <v>1217</v>
      </c>
      <c r="C232" s="7">
        <v>46107</v>
      </c>
      <c r="D232" s="9" t="s">
        <v>241</v>
      </c>
      <c r="E232" s="4" t="s">
        <v>28</v>
      </c>
      <c r="F232" s="9" t="s">
        <v>242</v>
      </c>
      <c r="G232" s="9">
        <v>1</v>
      </c>
      <c r="H232" s="6" t="s">
        <v>328</v>
      </c>
      <c r="I232" s="9" t="s">
        <v>357</v>
      </c>
      <c r="J232" s="9" t="s">
        <v>145</v>
      </c>
    </row>
    <row r="233" spans="1:10">
      <c r="A233" s="5" t="s">
        <v>625</v>
      </c>
      <c r="B233" s="6" t="s">
        <v>1217</v>
      </c>
      <c r="C233" s="7">
        <v>46107</v>
      </c>
      <c r="D233" s="9" t="s">
        <v>241</v>
      </c>
      <c r="E233" s="8" t="s">
        <v>27</v>
      </c>
      <c r="F233" s="9" t="s">
        <v>246</v>
      </c>
      <c r="G233" s="9">
        <v>1</v>
      </c>
      <c r="H233" s="6" t="s">
        <v>328</v>
      </c>
      <c r="I233" s="9" t="s">
        <v>357</v>
      </c>
      <c r="J233" s="9" t="s">
        <v>145</v>
      </c>
    </row>
    <row r="234" spans="1:10">
      <c r="A234" s="5" t="s">
        <v>626</v>
      </c>
      <c r="B234" s="6" t="s">
        <v>1217</v>
      </c>
      <c r="C234" s="7">
        <v>46107</v>
      </c>
      <c r="D234" s="9" t="s">
        <v>261</v>
      </c>
      <c r="E234" s="8" t="s">
        <v>281</v>
      </c>
      <c r="F234" s="9" t="s">
        <v>242</v>
      </c>
      <c r="G234" s="9">
        <v>1</v>
      </c>
      <c r="H234" s="6" t="s">
        <v>328</v>
      </c>
      <c r="I234" s="9" t="s">
        <v>357</v>
      </c>
      <c r="J234" s="9" t="s">
        <v>145</v>
      </c>
    </row>
    <row r="235" spans="1:10">
      <c r="A235" s="5" t="s">
        <v>629</v>
      </c>
      <c r="B235" s="6" t="s">
        <v>1218</v>
      </c>
      <c r="C235" s="7">
        <v>46107</v>
      </c>
      <c r="D235" s="9" t="s">
        <v>241</v>
      </c>
      <c r="E235" s="8" t="s">
        <v>28</v>
      </c>
      <c r="F235" s="9" t="s">
        <v>242</v>
      </c>
      <c r="G235" s="9">
        <v>1</v>
      </c>
      <c r="H235" s="6" t="s">
        <v>249</v>
      </c>
      <c r="I235" s="9" t="s">
        <v>415</v>
      </c>
      <c r="J235" s="9" t="s">
        <v>145</v>
      </c>
    </row>
    <row r="236" spans="1:10">
      <c r="A236" s="5" t="s">
        <v>630</v>
      </c>
      <c r="B236" s="6" t="s">
        <v>1218</v>
      </c>
      <c r="C236" s="7">
        <v>46107</v>
      </c>
      <c r="D236" s="9" t="s">
        <v>241</v>
      </c>
      <c r="E236" s="4" t="s">
        <v>29</v>
      </c>
      <c r="F236" s="9" t="s">
        <v>246</v>
      </c>
      <c r="G236" s="9">
        <v>1</v>
      </c>
      <c r="H236" s="6" t="s">
        <v>249</v>
      </c>
      <c r="I236" s="9" t="s">
        <v>415</v>
      </c>
      <c r="J236" s="9" t="s">
        <v>145</v>
      </c>
    </row>
    <row r="237" spans="1:10">
      <c r="A237" s="5" t="s">
        <v>631</v>
      </c>
      <c r="B237" s="6" t="s">
        <v>1219</v>
      </c>
      <c r="C237" s="7">
        <v>46107</v>
      </c>
      <c r="D237" s="9" t="s">
        <v>241</v>
      </c>
      <c r="E237" s="8" t="s">
        <v>28</v>
      </c>
      <c r="F237" s="9" t="s">
        <v>242</v>
      </c>
      <c r="G237" s="9">
        <v>1</v>
      </c>
      <c r="H237" s="6" t="s">
        <v>243</v>
      </c>
      <c r="I237" s="9" t="s">
        <v>918</v>
      </c>
      <c r="J237" s="9" t="s">
        <v>145</v>
      </c>
    </row>
    <row r="238" spans="1:10">
      <c r="A238" s="5" t="s">
        <v>634</v>
      </c>
      <c r="B238" s="6" t="s">
        <v>1219</v>
      </c>
      <c r="C238" s="7">
        <v>46107</v>
      </c>
      <c r="D238" s="9" t="s">
        <v>241</v>
      </c>
      <c r="E238" s="8" t="s">
        <v>29</v>
      </c>
      <c r="F238" s="9" t="s">
        <v>246</v>
      </c>
      <c r="G238" s="9">
        <v>1</v>
      </c>
      <c r="H238" s="6" t="s">
        <v>243</v>
      </c>
      <c r="I238" s="9" t="s">
        <v>918</v>
      </c>
      <c r="J238" s="9" t="s">
        <v>145</v>
      </c>
    </row>
    <row r="239" spans="1:10">
      <c r="A239" s="5" t="s">
        <v>635</v>
      </c>
      <c r="B239" s="6" t="s">
        <v>1220</v>
      </c>
      <c r="C239" s="7">
        <v>46079</v>
      </c>
      <c r="D239" s="9" t="s">
        <v>261</v>
      </c>
      <c r="E239" s="8" t="s">
        <v>62</v>
      </c>
      <c r="F239" s="9" t="s">
        <v>242</v>
      </c>
      <c r="G239" s="9">
        <v>3</v>
      </c>
      <c r="H239" s="6" t="s">
        <v>722</v>
      </c>
      <c r="I239" s="9" t="s">
        <v>609</v>
      </c>
      <c r="J239" s="9" t="s">
        <v>145</v>
      </c>
    </row>
    <row r="240" spans="1:10">
      <c r="A240" s="5" t="s">
        <v>637</v>
      </c>
      <c r="B240" s="6" t="s">
        <v>1221</v>
      </c>
      <c r="C240" s="7">
        <v>46079</v>
      </c>
      <c r="D240" s="9" t="s">
        <v>696</v>
      </c>
      <c r="E240" s="8" t="s">
        <v>86</v>
      </c>
      <c r="F240" s="9" t="s">
        <v>242</v>
      </c>
      <c r="G240" s="9">
        <v>60</v>
      </c>
      <c r="H240" s="6" t="s">
        <v>1222</v>
      </c>
      <c r="I240" s="9" t="s">
        <v>329</v>
      </c>
      <c r="J240" s="9" t="s">
        <v>145</v>
      </c>
    </row>
    <row r="241" spans="1:10">
      <c r="A241" s="5" t="s">
        <v>638</v>
      </c>
      <c r="B241" s="6" t="s">
        <v>1221</v>
      </c>
      <c r="C241" s="7">
        <v>46079</v>
      </c>
      <c r="D241" s="9" t="s">
        <v>261</v>
      </c>
      <c r="E241" s="4" t="s">
        <v>62</v>
      </c>
      <c r="F241" s="9" t="s">
        <v>242</v>
      </c>
      <c r="G241" s="9">
        <v>4</v>
      </c>
      <c r="H241" s="6" t="s">
        <v>1222</v>
      </c>
      <c r="I241" s="9" t="s">
        <v>329</v>
      </c>
      <c r="J241" s="9" t="s">
        <v>145</v>
      </c>
    </row>
    <row r="242" spans="1:10">
      <c r="A242" s="5" t="s">
        <v>640</v>
      </c>
      <c r="B242" s="6" t="s">
        <v>1223</v>
      </c>
      <c r="C242" s="7">
        <v>46080</v>
      </c>
      <c r="D242" s="9" t="s">
        <v>500</v>
      </c>
      <c r="E242" s="4" t="s">
        <v>52</v>
      </c>
      <c r="F242" s="9" t="s">
        <v>242</v>
      </c>
      <c r="G242" s="9">
        <v>1</v>
      </c>
      <c r="H242" s="6" t="s">
        <v>693</v>
      </c>
      <c r="I242" s="9" t="s">
        <v>628</v>
      </c>
      <c r="J242" s="9" t="s">
        <v>145</v>
      </c>
    </row>
    <row r="243" spans="1:10">
      <c r="A243" s="5" t="s">
        <v>641</v>
      </c>
      <c r="B243" s="6" t="s">
        <v>1223</v>
      </c>
      <c r="C243" s="7">
        <v>46080</v>
      </c>
      <c r="D243" s="9" t="s">
        <v>261</v>
      </c>
      <c r="E243" s="8" t="s">
        <v>64</v>
      </c>
      <c r="F243" s="9" t="s">
        <v>242</v>
      </c>
      <c r="G243" s="9">
        <v>2</v>
      </c>
      <c r="H243" s="6" t="s">
        <v>693</v>
      </c>
      <c r="I243" s="9" t="s">
        <v>628</v>
      </c>
      <c r="J243" s="9" t="s">
        <v>145</v>
      </c>
    </row>
    <row r="244" spans="1:10">
      <c r="A244" s="5" t="s">
        <v>642</v>
      </c>
      <c r="B244" s="6" t="s">
        <v>1223</v>
      </c>
      <c r="C244" s="7">
        <v>46080</v>
      </c>
      <c r="D244" s="9" t="s">
        <v>270</v>
      </c>
      <c r="E244" s="8" t="s">
        <v>271</v>
      </c>
      <c r="F244" s="9" t="s">
        <v>242</v>
      </c>
      <c r="G244" s="9">
        <v>2</v>
      </c>
      <c r="H244" s="6" t="s">
        <v>693</v>
      </c>
      <c r="I244" s="9" t="s">
        <v>628</v>
      </c>
      <c r="J244" s="9" t="s">
        <v>145</v>
      </c>
    </row>
    <row r="245" spans="1:10">
      <c r="A245" s="5" t="s">
        <v>644</v>
      </c>
      <c r="B245" s="6" t="s">
        <v>1223</v>
      </c>
      <c r="C245" s="7">
        <v>46080</v>
      </c>
      <c r="D245" s="9" t="s">
        <v>261</v>
      </c>
      <c r="E245" s="4" t="s">
        <v>62</v>
      </c>
      <c r="F245" s="9" t="s">
        <v>242</v>
      </c>
      <c r="G245" s="9">
        <v>3</v>
      </c>
      <c r="H245" s="6" t="s">
        <v>693</v>
      </c>
      <c r="I245" s="9" t="s">
        <v>628</v>
      </c>
      <c r="J245" s="9" t="s">
        <v>145</v>
      </c>
    </row>
    <row r="246" spans="1:10">
      <c r="A246" s="5" t="s">
        <v>645</v>
      </c>
      <c r="B246" s="6" t="s">
        <v>1224</v>
      </c>
      <c r="C246" s="7">
        <v>46080</v>
      </c>
      <c r="D246" s="9" t="s">
        <v>261</v>
      </c>
      <c r="E246" s="8" t="s">
        <v>65</v>
      </c>
      <c r="F246" s="9" t="s">
        <v>242</v>
      </c>
      <c r="G246" s="9">
        <v>3</v>
      </c>
      <c r="H246" s="6" t="s">
        <v>1225</v>
      </c>
      <c r="I246" s="9" t="s">
        <v>258</v>
      </c>
      <c r="J246" s="9" t="s">
        <v>145</v>
      </c>
    </row>
    <row r="247" spans="1:10">
      <c r="A247" s="5" t="s">
        <v>647</v>
      </c>
      <c r="B247" s="6" t="s">
        <v>1224</v>
      </c>
      <c r="C247" s="7">
        <v>46080</v>
      </c>
      <c r="D247" s="9" t="s">
        <v>270</v>
      </c>
      <c r="E247" s="8" t="s">
        <v>271</v>
      </c>
      <c r="F247" s="9" t="s">
        <v>242</v>
      </c>
      <c r="G247" s="9">
        <v>7</v>
      </c>
      <c r="H247" s="6" t="s">
        <v>1225</v>
      </c>
      <c r="I247" s="9" t="s">
        <v>258</v>
      </c>
      <c r="J247" s="9" t="s">
        <v>145</v>
      </c>
    </row>
    <row r="248" spans="1:10">
      <c r="A248" s="5" t="s">
        <v>648</v>
      </c>
      <c r="B248" s="6" t="s">
        <v>1226</v>
      </c>
      <c r="C248" s="7">
        <v>46080</v>
      </c>
      <c r="D248" s="9" t="s">
        <v>261</v>
      </c>
      <c r="E248" s="8" t="s">
        <v>62</v>
      </c>
      <c r="F248" s="9" t="s">
        <v>242</v>
      </c>
      <c r="G248" s="9">
        <v>3</v>
      </c>
      <c r="H248" s="6" t="s">
        <v>722</v>
      </c>
      <c r="I248" s="9" t="s">
        <v>609</v>
      </c>
      <c r="J248" s="9" t="s">
        <v>145</v>
      </c>
    </row>
    <row r="249" spans="1:10">
      <c r="A249" s="5" t="s">
        <v>651</v>
      </c>
      <c r="B249" s="6" t="s">
        <v>1227</v>
      </c>
      <c r="C249" s="7">
        <v>46084</v>
      </c>
      <c r="D249" s="9" t="s">
        <v>261</v>
      </c>
      <c r="E249" s="8" t="s">
        <v>62</v>
      </c>
      <c r="F249" s="9" t="s">
        <v>242</v>
      </c>
      <c r="G249" s="9">
        <v>15</v>
      </c>
      <c r="H249" s="6" t="s">
        <v>722</v>
      </c>
      <c r="I249" s="9" t="s">
        <v>484</v>
      </c>
      <c r="J249" s="9" t="s">
        <v>145</v>
      </c>
    </row>
    <row r="250" spans="1:10">
      <c r="A250" s="5" t="s">
        <v>652</v>
      </c>
      <c r="B250" s="6" t="s">
        <v>1228</v>
      </c>
      <c r="C250" s="7">
        <v>46085</v>
      </c>
      <c r="D250" s="9" t="s">
        <v>500</v>
      </c>
      <c r="E250" s="4" t="s">
        <v>53</v>
      </c>
      <c r="F250" s="9" t="s">
        <v>242</v>
      </c>
      <c r="G250" s="9">
        <v>1</v>
      </c>
      <c r="H250" s="6" t="s">
        <v>693</v>
      </c>
      <c r="I250" s="9" t="s">
        <v>973</v>
      </c>
      <c r="J250" s="9" t="s">
        <v>145</v>
      </c>
    </row>
    <row r="251" spans="1:10">
      <c r="A251" s="5" t="s">
        <v>654</v>
      </c>
      <c r="B251" s="6" t="s">
        <v>1228</v>
      </c>
      <c r="C251" s="7">
        <v>46085</v>
      </c>
      <c r="D251" s="9" t="s">
        <v>261</v>
      </c>
      <c r="E251" s="8" t="s">
        <v>64</v>
      </c>
      <c r="F251" s="9" t="s">
        <v>242</v>
      </c>
      <c r="G251" s="9">
        <v>1</v>
      </c>
      <c r="H251" s="6" t="s">
        <v>693</v>
      </c>
      <c r="I251" s="9" t="s">
        <v>973</v>
      </c>
      <c r="J251" s="9" t="s">
        <v>145</v>
      </c>
    </row>
    <row r="252" spans="1:10">
      <c r="A252" s="5" t="s">
        <v>655</v>
      </c>
      <c r="B252" s="6" t="s">
        <v>1228</v>
      </c>
      <c r="C252" s="7">
        <v>46085</v>
      </c>
      <c r="D252" s="9" t="s">
        <v>270</v>
      </c>
      <c r="E252" s="8" t="s">
        <v>271</v>
      </c>
      <c r="F252" s="9" t="s">
        <v>242</v>
      </c>
      <c r="G252" s="9">
        <v>1</v>
      </c>
      <c r="H252" s="6" t="s">
        <v>693</v>
      </c>
      <c r="I252" s="9" t="s">
        <v>973</v>
      </c>
      <c r="J252" s="9" t="s">
        <v>145</v>
      </c>
    </row>
    <row r="253" spans="1:10">
      <c r="A253" s="5" t="s">
        <v>658</v>
      </c>
      <c r="B253" s="6" t="s">
        <v>1229</v>
      </c>
      <c r="C253" s="7">
        <v>46085</v>
      </c>
      <c r="D253" s="9" t="s">
        <v>696</v>
      </c>
      <c r="E253" s="8" t="s">
        <v>87</v>
      </c>
      <c r="F253" s="9" t="s">
        <v>242</v>
      </c>
      <c r="G253" s="9">
        <v>30</v>
      </c>
      <c r="H253" s="6" t="s">
        <v>1230</v>
      </c>
      <c r="I253" s="9" t="s">
        <v>415</v>
      </c>
      <c r="J253" s="9" t="s">
        <v>145</v>
      </c>
    </row>
    <row r="254" spans="1:10">
      <c r="A254" s="5" t="s">
        <v>660</v>
      </c>
      <c r="B254" s="6" t="s">
        <v>1229</v>
      </c>
      <c r="C254" s="7">
        <v>46085</v>
      </c>
      <c r="D254" s="9" t="s">
        <v>500</v>
      </c>
      <c r="E254" s="8" t="s">
        <v>53</v>
      </c>
      <c r="F254" s="9" t="s">
        <v>242</v>
      </c>
      <c r="G254" s="9">
        <v>1</v>
      </c>
      <c r="H254" s="6" t="s">
        <v>1230</v>
      </c>
      <c r="I254" s="9" t="s">
        <v>415</v>
      </c>
      <c r="J254" s="9" t="s">
        <v>145</v>
      </c>
    </row>
    <row r="255" spans="1:10">
      <c r="A255" s="5" t="s">
        <v>661</v>
      </c>
      <c r="B255" s="6" t="s">
        <v>1229</v>
      </c>
      <c r="C255" s="7">
        <v>46085</v>
      </c>
      <c r="D255" s="9" t="s">
        <v>261</v>
      </c>
      <c r="E255" s="8" t="s">
        <v>62</v>
      </c>
      <c r="F255" s="9" t="s">
        <v>242</v>
      </c>
      <c r="G255" s="9">
        <v>4</v>
      </c>
      <c r="H255" s="6" t="s">
        <v>1230</v>
      </c>
      <c r="I255" s="9" t="s">
        <v>415</v>
      </c>
      <c r="J255" s="9" t="s">
        <v>145</v>
      </c>
    </row>
    <row r="256" spans="1:10">
      <c r="A256" s="5" t="s">
        <v>662</v>
      </c>
      <c r="B256" s="6" t="s">
        <v>1067</v>
      </c>
      <c r="C256" s="7">
        <v>46085</v>
      </c>
      <c r="D256" s="9" t="s">
        <v>261</v>
      </c>
      <c r="E256" s="8" t="s">
        <v>62</v>
      </c>
      <c r="F256" s="9" t="s">
        <v>242</v>
      </c>
      <c r="G256" s="9">
        <v>3</v>
      </c>
      <c r="H256" s="6" t="s">
        <v>722</v>
      </c>
      <c r="I256" s="9" t="s">
        <v>514</v>
      </c>
      <c r="J256" s="9" t="s">
        <v>145</v>
      </c>
    </row>
    <row r="257" spans="1:10">
      <c r="A257" s="5" t="s">
        <v>664</v>
      </c>
      <c r="B257" s="6" t="s">
        <v>1231</v>
      </c>
      <c r="C257" s="7">
        <v>46086</v>
      </c>
      <c r="D257" s="9" t="s">
        <v>696</v>
      </c>
      <c r="E257" s="8" t="s">
        <v>87</v>
      </c>
      <c r="F257" s="9" t="s">
        <v>242</v>
      </c>
      <c r="G257" s="9">
        <v>30</v>
      </c>
      <c r="H257" s="6" t="s">
        <v>1232</v>
      </c>
      <c r="I257" s="9" t="s">
        <v>363</v>
      </c>
      <c r="J257" s="9" t="s">
        <v>145</v>
      </c>
    </row>
    <row r="258" spans="1:10">
      <c r="A258" s="5" t="s">
        <v>668</v>
      </c>
      <c r="B258" s="6" t="s">
        <v>1231</v>
      </c>
      <c r="C258" s="7">
        <v>46086</v>
      </c>
      <c r="D258" s="9" t="s">
        <v>500</v>
      </c>
      <c r="E258" s="8" t="s">
        <v>54</v>
      </c>
      <c r="F258" s="9" t="s">
        <v>242</v>
      </c>
      <c r="G258" s="9">
        <v>1</v>
      </c>
      <c r="H258" s="6" t="s">
        <v>1232</v>
      </c>
      <c r="I258" s="9" t="s">
        <v>363</v>
      </c>
      <c r="J258" s="9" t="s">
        <v>145</v>
      </c>
    </row>
    <row r="259" spans="1:10">
      <c r="A259" s="5" t="s">
        <v>669</v>
      </c>
      <c r="B259" s="6" t="s">
        <v>1231</v>
      </c>
      <c r="C259" s="7">
        <v>46086</v>
      </c>
      <c r="D259" s="9" t="s">
        <v>261</v>
      </c>
      <c r="E259" s="8" t="s">
        <v>62</v>
      </c>
      <c r="F259" s="9" t="s">
        <v>242</v>
      </c>
      <c r="G259" s="9">
        <v>8</v>
      </c>
      <c r="H259" s="6" t="s">
        <v>1232</v>
      </c>
      <c r="I259" s="9" t="s">
        <v>363</v>
      </c>
      <c r="J259" s="9" t="s">
        <v>145</v>
      </c>
    </row>
    <row r="260" spans="1:10">
      <c r="A260" s="5" t="s">
        <v>670</v>
      </c>
      <c r="B260" s="6" t="s">
        <v>1233</v>
      </c>
      <c r="C260" s="7">
        <v>46086</v>
      </c>
      <c r="D260" s="9" t="s">
        <v>261</v>
      </c>
      <c r="E260" s="8" t="s">
        <v>62</v>
      </c>
      <c r="F260" s="9" t="s">
        <v>242</v>
      </c>
      <c r="G260" s="9">
        <v>12</v>
      </c>
      <c r="H260" s="6" t="s">
        <v>722</v>
      </c>
      <c r="I260" s="9" t="s">
        <v>363</v>
      </c>
      <c r="J260" s="9" t="s">
        <v>145</v>
      </c>
    </row>
    <row r="261" spans="1:10">
      <c r="A261" s="5" t="s">
        <v>674</v>
      </c>
      <c r="B261" s="6" t="s">
        <v>1234</v>
      </c>
      <c r="C261" s="7">
        <v>46087</v>
      </c>
      <c r="D261" s="9" t="s">
        <v>500</v>
      </c>
      <c r="E261" s="8" t="s">
        <v>54</v>
      </c>
      <c r="F261" s="9" t="s">
        <v>242</v>
      </c>
      <c r="G261" s="9">
        <v>1</v>
      </c>
      <c r="H261" s="6" t="s">
        <v>1094</v>
      </c>
      <c r="I261" s="9" t="s">
        <v>616</v>
      </c>
      <c r="J261" s="9" t="s">
        <v>145</v>
      </c>
    </row>
    <row r="262" spans="1:10">
      <c r="A262" s="5" t="s">
        <v>675</v>
      </c>
      <c r="B262" s="6" t="s">
        <v>1234</v>
      </c>
      <c r="C262" s="7">
        <v>46087</v>
      </c>
      <c r="D262" s="9" t="s">
        <v>261</v>
      </c>
      <c r="E262" s="8" t="s">
        <v>62</v>
      </c>
      <c r="F262" s="9" t="s">
        <v>242</v>
      </c>
      <c r="G262" s="9">
        <v>2</v>
      </c>
      <c r="H262" s="6" t="s">
        <v>1094</v>
      </c>
      <c r="I262" s="9" t="s">
        <v>616</v>
      </c>
      <c r="J262" s="9" t="s">
        <v>145</v>
      </c>
    </row>
    <row r="263" spans="1:10">
      <c r="A263" s="5" t="s">
        <v>676</v>
      </c>
      <c r="B263" s="6" t="s">
        <v>1235</v>
      </c>
      <c r="C263" s="7">
        <v>46087</v>
      </c>
      <c r="D263" s="9" t="s">
        <v>500</v>
      </c>
      <c r="E263" s="8" t="s">
        <v>48</v>
      </c>
      <c r="F263" s="9" t="s">
        <v>242</v>
      </c>
      <c r="G263" s="9">
        <v>1</v>
      </c>
      <c r="H263" s="6" t="s">
        <v>1236</v>
      </c>
      <c r="I263" s="9" t="s">
        <v>258</v>
      </c>
      <c r="J263" s="9" t="s">
        <v>145</v>
      </c>
    </row>
    <row r="264" spans="1:10">
      <c r="A264" s="5" t="s">
        <v>677</v>
      </c>
      <c r="B264" s="6" t="s">
        <v>1235</v>
      </c>
      <c r="C264" s="7">
        <v>46087</v>
      </c>
      <c r="D264" s="9" t="s">
        <v>500</v>
      </c>
      <c r="E264" s="8" t="s">
        <v>4</v>
      </c>
      <c r="F264" s="9" t="s">
        <v>242</v>
      </c>
      <c r="G264" s="9">
        <v>1</v>
      </c>
      <c r="H264" s="6" t="s">
        <v>1236</v>
      </c>
      <c r="I264" s="9" t="s">
        <v>258</v>
      </c>
      <c r="J264" s="9" t="s">
        <v>145</v>
      </c>
    </row>
    <row r="265" spans="1:10">
      <c r="A265" s="5" t="s">
        <v>678</v>
      </c>
      <c r="B265" s="6" t="s">
        <v>1235</v>
      </c>
      <c r="C265" s="7">
        <v>46087</v>
      </c>
      <c r="D265" s="9" t="s">
        <v>500</v>
      </c>
      <c r="E265" s="8" t="s">
        <v>50</v>
      </c>
      <c r="F265" s="9" t="s">
        <v>242</v>
      </c>
      <c r="G265" s="9">
        <v>1</v>
      </c>
      <c r="H265" s="6" t="s">
        <v>1236</v>
      </c>
      <c r="I265" s="9" t="s">
        <v>258</v>
      </c>
      <c r="J265" s="9" t="s">
        <v>145</v>
      </c>
    </row>
    <row r="266" spans="1:10">
      <c r="A266" s="5" t="s">
        <v>679</v>
      </c>
      <c r="B266" s="6" t="s">
        <v>1235</v>
      </c>
      <c r="C266" s="7">
        <v>46087</v>
      </c>
      <c r="D266" s="9" t="s">
        <v>270</v>
      </c>
      <c r="E266" s="8" t="s">
        <v>271</v>
      </c>
      <c r="F266" s="9" t="s">
        <v>242</v>
      </c>
      <c r="G266" s="9">
        <v>8</v>
      </c>
      <c r="H266" s="6" t="s">
        <v>1236</v>
      </c>
      <c r="I266" s="9" t="s">
        <v>258</v>
      </c>
      <c r="J266" s="9" t="s">
        <v>145</v>
      </c>
    </row>
    <row r="267" spans="1:10">
      <c r="A267" s="5" t="s">
        <v>680</v>
      </c>
      <c r="B267" s="6" t="s">
        <v>1235</v>
      </c>
      <c r="C267" s="7">
        <v>46087</v>
      </c>
      <c r="D267" s="9" t="s">
        <v>261</v>
      </c>
      <c r="E267" s="4" t="s">
        <v>64</v>
      </c>
      <c r="F267" s="9" t="s">
        <v>242</v>
      </c>
      <c r="G267" s="9">
        <v>8</v>
      </c>
      <c r="H267" s="6" t="s">
        <v>1236</v>
      </c>
      <c r="I267" s="9" t="s">
        <v>258</v>
      </c>
      <c r="J267" s="9" t="s">
        <v>145</v>
      </c>
    </row>
    <row r="268" spans="1:10">
      <c r="A268" s="5" t="s">
        <v>682</v>
      </c>
      <c r="B268" s="6" t="s">
        <v>1237</v>
      </c>
      <c r="C268" s="7">
        <v>46090</v>
      </c>
      <c r="D268" s="9" t="s">
        <v>696</v>
      </c>
      <c r="E268" s="8" t="s">
        <v>87</v>
      </c>
      <c r="F268" s="9" t="s">
        <v>242</v>
      </c>
      <c r="G268" s="9">
        <v>75</v>
      </c>
      <c r="H268" s="6" t="s">
        <v>1238</v>
      </c>
      <c r="I268" s="9" t="s">
        <v>253</v>
      </c>
      <c r="J268" s="9" t="s">
        <v>145</v>
      </c>
    </row>
    <row r="269" spans="1:10">
      <c r="A269" s="5" t="s">
        <v>683</v>
      </c>
      <c r="B269" s="6" t="s">
        <v>1237</v>
      </c>
      <c r="C269" s="7">
        <v>46090</v>
      </c>
      <c r="D269" s="9" t="s">
        <v>261</v>
      </c>
      <c r="E269" s="8" t="s">
        <v>63</v>
      </c>
      <c r="F269" s="9" t="s">
        <v>242</v>
      </c>
      <c r="G269" s="9">
        <v>2</v>
      </c>
      <c r="H269" s="6" t="s">
        <v>1238</v>
      </c>
      <c r="I269" s="9" t="s">
        <v>253</v>
      </c>
      <c r="J269" s="9" t="s">
        <v>145</v>
      </c>
    </row>
    <row r="270" spans="1:10">
      <c r="A270" s="5" t="s">
        <v>684</v>
      </c>
      <c r="B270" s="6" t="s">
        <v>1237</v>
      </c>
      <c r="C270" s="7">
        <v>46090</v>
      </c>
      <c r="D270" s="9" t="s">
        <v>270</v>
      </c>
      <c r="E270" s="8" t="s">
        <v>68</v>
      </c>
      <c r="F270" s="9" t="s">
        <v>242</v>
      </c>
      <c r="G270" s="9">
        <v>2</v>
      </c>
      <c r="H270" s="6" t="s">
        <v>1238</v>
      </c>
      <c r="I270" s="9" t="s">
        <v>253</v>
      </c>
      <c r="J270" s="9" t="s">
        <v>145</v>
      </c>
    </row>
    <row r="271" spans="1:10">
      <c r="A271" s="5" t="s">
        <v>685</v>
      </c>
      <c r="B271" s="6" t="s">
        <v>1239</v>
      </c>
      <c r="C271" s="7">
        <v>46090</v>
      </c>
      <c r="D271" s="9" t="s">
        <v>500</v>
      </c>
      <c r="E271" s="8" t="s">
        <v>51</v>
      </c>
      <c r="F271" s="9" t="s">
        <v>242</v>
      </c>
      <c r="G271" s="9">
        <v>1</v>
      </c>
      <c r="H271" s="6" t="s">
        <v>1240</v>
      </c>
      <c r="I271" s="9" t="s">
        <v>415</v>
      </c>
      <c r="J271" s="9" t="s">
        <v>145</v>
      </c>
    </row>
    <row r="272" spans="1:10">
      <c r="A272" s="5" t="s">
        <v>686</v>
      </c>
      <c r="B272" s="6" t="s">
        <v>1239</v>
      </c>
      <c r="C272" s="7">
        <v>46090</v>
      </c>
      <c r="D272" s="9" t="s">
        <v>261</v>
      </c>
      <c r="E272" s="8" t="s">
        <v>64</v>
      </c>
      <c r="F272" s="9" t="s">
        <v>242</v>
      </c>
      <c r="G272" s="9">
        <v>2</v>
      </c>
      <c r="H272" s="6" t="s">
        <v>1240</v>
      </c>
      <c r="I272" s="9" t="s">
        <v>415</v>
      </c>
      <c r="J272" s="9" t="s">
        <v>145</v>
      </c>
    </row>
    <row r="273" spans="1:10">
      <c r="A273" s="5" t="s">
        <v>689</v>
      </c>
      <c r="B273" s="6" t="s">
        <v>1239</v>
      </c>
      <c r="C273" s="7">
        <v>46090</v>
      </c>
      <c r="D273" s="9" t="s">
        <v>270</v>
      </c>
      <c r="E273" s="8" t="s">
        <v>271</v>
      </c>
      <c r="F273" s="9" t="s">
        <v>242</v>
      </c>
      <c r="G273" s="9">
        <v>2</v>
      </c>
      <c r="H273" s="6" t="s">
        <v>1240</v>
      </c>
      <c r="I273" s="9" t="s">
        <v>415</v>
      </c>
      <c r="J273" s="9" t="s">
        <v>145</v>
      </c>
    </row>
    <row r="274" spans="1:10">
      <c r="A274" s="5" t="s">
        <v>690</v>
      </c>
      <c r="B274" s="6" t="s">
        <v>1239</v>
      </c>
      <c r="C274" s="7">
        <v>46090</v>
      </c>
      <c r="D274" s="9" t="s">
        <v>261</v>
      </c>
      <c r="E274" s="8" t="s">
        <v>62</v>
      </c>
      <c r="F274" s="9" t="s">
        <v>242</v>
      </c>
      <c r="G274" s="9">
        <v>5</v>
      </c>
      <c r="H274" s="6" t="s">
        <v>1240</v>
      </c>
      <c r="I274" s="9" t="s">
        <v>415</v>
      </c>
      <c r="J274" s="9" t="s">
        <v>145</v>
      </c>
    </row>
    <row r="275" spans="1:10">
      <c r="A275" s="5" t="s">
        <v>691</v>
      </c>
      <c r="B275" s="6" t="s">
        <v>1241</v>
      </c>
      <c r="C275" s="7">
        <v>46090</v>
      </c>
      <c r="D275" s="9" t="s">
        <v>261</v>
      </c>
      <c r="E275" s="8" t="s">
        <v>62</v>
      </c>
      <c r="F275" s="9" t="s">
        <v>242</v>
      </c>
      <c r="G275" s="9">
        <v>3</v>
      </c>
      <c r="H275" s="6" t="s">
        <v>1242</v>
      </c>
      <c r="I275" s="9" t="s">
        <v>258</v>
      </c>
      <c r="J275" s="9" t="s">
        <v>145</v>
      </c>
    </row>
    <row r="276" spans="1:10">
      <c r="A276" s="5" t="s">
        <v>694</v>
      </c>
      <c r="B276" s="6" t="s">
        <v>1243</v>
      </c>
      <c r="C276" s="7">
        <v>46090</v>
      </c>
      <c r="D276" s="9" t="s">
        <v>500</v>
      </c>
      <c r="E276" s="8" t="s">
        <v>4</v>
      </c>
      <c r="F276" s="9" t="s">
        <v>242</v>
      </c>
      <c r="G276" s="9">
        <v>1</v>
      </c>
      <c r="H276" s="6" t="s">
        <v>1244</v>
      </c>
      <c r="I276" s="9" t="s">
        <v>258</v>
      </c>
      <c r="J276" s="9" t="s">
        <v>145</v>
      </c>
    </row>
    <row r="277" spans="1:10">
      <c r="A277" s="5" t="s">
        <v>698</v>
      </c>
      <c r="B277" s="6" t="s">
        <v>1245</v>
      </c>
      <c r="C277" s="7">
        <v>46091</v>
      </c>
      <c r="D277" s="9" t="s">
        <v>500</v>
      </c>
      <c r="E277" s="8" t="s">
        <v>52</v>
      </c>
      <c r="F277" s="9" t="s">
        <v>242</v>
      </c>
      <c r="G277" s="9">
        <v>1</v>
      </c>
      <c r="H277" s="6" t="s">
        <v>693</v>
      </c>
      <c r="I277" s="9" t="s">
        <v>628</v>
      </c>
      <c r="J277" s="9" t="s">
        <v>145</v>
      </c>
    </row>
    <row r="278" spans="1:10">
      <c r="A278" s="5" t="s">
        <v>699</v>
      </c>
      <c r="B278" s="6" t="s">
        <v>1245</v>
      </c>
      <c r="C278" s="7">
        <v>46091</v>
      </c>
      <c r="D278" s="9" t="s">
        <v>500</v>
      </c>
      <c r="E278" s="8" t="s">
        <v>53</v>
      </c>
      <c r="F278" s="9" t="s">
        <v>242</v>
      </c>
      <c r="G278" s="9">
        <v>1</v>
      </c>
      <c r="H278" s="6" t="s">
        <v>693</v>
      </c>
      <c r="I278" s="9" t="s">
        <v>628</v>
      </c>
      <c r="J278" s="9" t="s">
        <v>145</v>
      </c>
    </row>
    <row r="279" spans="1:10">
      <c r="A279" s="5" t="s">
        <v>701</v>
      </c>
      <c r="B279" s="6" t="s">
        <v>1245</v>
      </c>
      <c r="C279" s="7">
        <v>46091</v>
      </c>
      <c r="D279" s="9" t="s">
        <v>261</v>
      </c>
      <c r="E279" s="8" t="s">
        <v>64</v>
      </c>
      <c r="F279" s="9" t="s">
        <v>242</v>
      </c>
      <c r="G279" s="9">
        <v>3</v>
      </c>
      <c r="H279" s="6" t="s">
        <v>693</v>
      </c>
      <c r="I279" s="9" t="s">
        <v>628</v>
      </c>
      <c r="J279" s="9" t="s">
        <v>145</v>
      </c>
    </row>
    <row r="280" spans="1:10">
      <c r="A280" s="5" t="s">
        <v>703</v>
      </c>
      <c r="B280" s="6" t="s">
        <v>1245</v>
      </c>
      <c r="C280" s="7">
        <v>46091</v>
      </c>
      <c r="D280" s="9" t="s">
        <v>270</v>
      </c>
      <c r="E280" s="8" t="s">
        <v>271</v>
      </c>
      <c r="F280" s="9" t="s">
        <v>242</v>
      </c>
      <c r="G280" s="9">
        <v>3</v>
      </c>
      <c r="H280" s="6" t="s">
        <v>693</v>
      </c>
      <c r="I280" s="9" t="s">
        <v>628</v>
      </c>
      <c r="J280" s="9" t="s">
        <v>145</v>
      </c>
    </row>
    <row r="281" spans="1:10">
      <c r="A281" s="5" t="s">
        <v>704</v>
      </c>
      <c r="B281" s="6" t="s">
        <v>1245</v>
      </c>
      <c r="C281" s="7">
        <v>46091</v>
      </c>
      <c r="D281" s="9" t="s">
        <v>261</v>
      </c>
      <c r="E281" s="8" t="s">
        <v>62</v>
      </c>
      <c r="F281" s="9" t="s">
        <v>242</v>
      </c>
      <c r="G281" s="9">
        <v>2</v>
      </c>
      <c r="H281" s="6" t="s">
        <v>693</v>
      </c>
      <c r="I281" s="9" t="s">
        <v>628</v>
      </c>
      <c r="J281" s="9" t="s">
        <v>145</v>
      </c>
    </row>
    <row r="282" spans="1:10">
      <c r="A282" s="5" t="s">
        <v>705</v>
      </c>
      <c r="B282" s="6" t="s">
        <v>1246</v>
      </c>
      <c r="C282" s="7">
        <v>46091</v>
      </c>
      <c r="D282" s="9" t="s">
        <v>261</v>
      </c>
      <c r="E282" s="8" t="s">
        <v>62</v>
      </c>
      <c r="F282" s="9" t="s">
        <v>242</v>
      </c>
      <c r="G282" s="9">
        <v>8</v>
      </c>
      <c r="H282" s="6" t="s">
        <v>722</v>
      </c>
      <c r="I282" s="9" t="s">
        <v>514</v>
      </c>
      <c r="J282" s="9" t="s">
        <v>145</v>
      </c>
    </row>
    <row r="283" spans="1:10">
      <c r="A283" s="5" t="s">
        <v>706</v>
      </c>
      <c r="B283" s="6" t="s">
        <v>1247</v>
      </c>
      <c r="C283" s="7">
        <v>46091</v>
      </c>
      <c r="D283" s="9" t="s">
        <v>500</v>
      </c>
      <c r="E283" s="8" t="s">
        <v>53</v>
      </c>
      <c r="F283" s="9" t="s">
        <v>242</v>
      </c>
      <c r="G283" s="9">
        <v>1</v>
      </c>
      <c r="H283" s="6" t="s">
        <v>693</v>
      </c>
      <c r="I283" s="9" t="s">
        <v>514</v>
      </c>
      <c r="J283" s="9" t="s">
        <v>145</v>
      </c>
    </row>
    <row r="284" spans="1:10">
      <c r="A284" s="5" t="s">
        <v>708</v>
      </c>
      <c r="B284" s="6" t="s">
        <v>1247</v>
      </c>
      <c r="C284" s="7">
        <v>46091</v>
      </c>
      <c r="D284" s="9" t="s">
        <v>261</v>
      </c>
      <c r="E284" s="8" t="s">
        <v>64</v>
      </c>
      <c r="F284" s="9" t="s">
        <v>242</v>
      </c>
      <c r="G284" s="9">
        <v>1</v>
      </c>
      <c r="H284" s="6" t="s">
        <v>693</v>
      </c>
      <c r="I284" s="9" t="s">
        <v>514</v>
      </c>
      <c r="J284" s="9" t="s">
        <v>145</v>
      </c>
    </row>
    <row r="285" spans="1:10">
      <c r="A285" s="5" t="s">
        <v>709</v>
      </c>
      <c r="B285" s="6" t="s">
        <v>1247</v>
      </c>
      <c r="C285" s="7">
        <v>46091</v>
      </c>
      <c r="D285" s="9" t="s">
        <v>270</v>
      </c>
      <c r="E285" s="4" t="s">
        <v>271</v>
      </c>
      <c r="F285" s="9" t="s">
        <v>242</v>
      </c>
      <c r="G285" s="9">
        <v>1</v>
      </c>
      <c r="H285" s="6" t="s">
        <v>693</v>
      </c>
      <c r="I285" s="9" t="s">
        <v>514</v>
      </c>
      <c r="J285" s="9" t="s">
        <v>145</v>
      </c>
    </row>
    <row r="286" spans="1:10">
      <c r="A286" s="5" t="s">
        <v>713</v>
      </c>
      <c r="B286" s="6" t="s">
        <v>1248</v>
      </c>
      <c r="C286" s="7">
        <v>46091</v>
      </c>
      <c r="D286" s="9" t="s">
        <v>261</v>
      </c>
      <c r="E286" s="4" t="s">
        <v>62</v>
      </c>
      <c r="F286" s="9" t="s">
        <v>242</v>
      </c>
      <c r="G286" s="9">
        <v>3</v>
      </c>
      <c r="H286" s="6" t="s">
        <v>722</v>
      </c>
      <c r="I286" s="9" t="s">
        <v>514</v>
      </c>
      <c r="J286" s="9" t="s">
        <v>145</v>
      </c>
    </row>
    <row r="287" spans="1:10">
      <c r="A287" s="5" t="s">
        <v>716</v>
      </c>
      <c r="B287" s="6" t="s">
        <v>1249</v>
      </c>
      <c r="C287" s="7">
        <v>46091</v>
      </c>
      <c r="D287" s="9" t="s">
        <v>500</v>
      </c>
      <c r="E287" s="8" t="s">
        <v>52</v>
      </c>
      <c r="F287" s="9" t="s">
        <v>242</v>
      </c>
      <c r="G287" s="9">
        <v>1</v>
      </c>
      <c r="H287" s="6" t="s">
        <v>693</v>
      </c>
      <c r="I287" s="9" t="s">
        <v>266</v>
      </c>
      <c r="J287" s="9" t="s">
        <v>145</v>
      </c>
    </row>
    <row r="288" spans="1:10">
      <c r="A288" s="5" t="s">
        <v>718</v>
      </c>
      <c r="B288" s="6" t="s">
        <v>1249</v>
      </c>
      <c r="C288" s="7">
        <v>46091</v>
      </c>
      <c r="D288" s="9" t="s">
        <v>500</v>
      </c>
      <c r="E288" s="8" t="s">
        <v>53</v>
      </c>
      <c r="F288" s="9" t="s">
        <v>242</v>
      </c>
      <c r="G288" s="9">
        <v>1</v>
      </c>
      <c r="H288" s="6" t="s">
        <v>693</v>
      </c>
      <c r="I288" s="9" t="s">
        <v>266</v>
      </c>
      <c r="J288" s="9" t="s">
        <v>145</v>
      </c>
    </row>
    <row r="289" spans="1:10">
      <c r="A289" s="5" t="s">
        <v>719</v>
      </c>
      <c r="B289" s="6" t="s">
        <v>1249</v>
      </c>
      <c r="C289" s="7">
        <v>46091</v>
      </c>
      <c r="D289" s="9" t="s">
        <v>261</v>
      </c>
      <c r="E289" s="8" t="s">
        <v>64</v>
      </c>
      <c r="F289" s="9" t="s">
        <v>242</v>
      </c>
      <c r="G289" s="9">
        <v>2</v>
      </c>
      <c r="H289" s="6" t="s">
        <v>693</v>
      </c>
      <c r="I289" s="9" t="s">
        <v>266</v>
      </c>
      <c r="J289" s="9" t="s">
        <v>145</v>
      </c>
    </row>
    <row r="290" spans="1:10">
      <c r="A290" s="5" t="s">
        <v>720</v>
      </c>
      <c r="B290" s="6" t="s">
        <v>1249</v>
      </c>
      <c r="C290" s="7">
        <v>46091</v>
      </c>
      <c r="D290" s="9" t="s">
        <v>270</v>
      </c>
      <c r="E290" s="8" t="s">
        <v>271</v>
      </c>
      <c r="F290" s="9" t="s">
        <v>242</v>
      </c>
      <c r="G290" s="9">
        <v>2</v>
      </c>
      <c r="H290" s="6" t="s">
        <v>693</v>
      </c>
      <c r="I290" s="9" t="s">
        <v>266</v>
      </c>
      <c r="J290" s="9" t="s">
        <v>145</v>
      </c>
    </row>
    <row r="291" spans="1:10">
      <c r="A291" s="5" t="s">
        <v>723</v>
      </c>
      <c r="B291" s="6" t="s">
        <v>1249</v>
      </c>
      <c r="C291" s="7">
        <v>46091</v>
      </c>
      <c r="D291" s="9" t="s">
        <v>261</v>
      </c>
      <c r="E291" s="4" t="s">
        <v>62</v>
      </c>
      <c r="F291" s="9" t="s">
        <v>242</v>
      </c>
      <c r="G291" s="9">
        <v>3</v>
      </c>
      <c r="H291" s="6" t="s">
        <v>693</v>
      </c>
      <c r="I291" s="9" t="s">
        <v>266</v>
      </c>
      <c r="J291" s="9" t="s">
        <v>145</v>
      </c>
    </row>
    <row r="292" spans="1:10">
      <c r="A292" s="5" t="s">
        <v>725</v>
      </c>
      <c r="B292" s="6" t="s">
        <v>1250</v>
      </c>
      <c r="C292" s="7">
        <v>46092</v>
      </c>
      <c r="D292" s="9" t="s">
        <v>261</v>
      </c>
      <c r="E292" s="8" t="s">
        <v>62</v>
      </c>
      <c r="F292" s="9" t="s">
        <v>242</v>
      </c>
      <c r="G292" s="9">
        <v>3</v>
      </c>
      <c r="H292" s="6" t="s">
        <v>722</v>
      </c>
      <c r="I292" s="9" t="s">
        <v>609</v>
      </c>
      <c r="J292" s="9" t="s">
        <v>145</v>
      </c>
    </row>
    <row r="293" spans="1:10">
      <c r="A293" s="5" t="s">
        <v>727</v>
      </c>
      <c r="B293" s="6" t="s">
        <v>1251</v>
      </c>
      <c r="C293" s="7">
        <v>46092</v>
      </c>
      <c r="D293" s="9" t="s">
        <v>500</v>
      </c>
      <c r="E293" s="8" t="s">
        <v>52</v>
      </c>
      <c r="F293" s="9" t="s">
        <v>242</v>
      </c>
      <c r="G293" s="9">
        <v>1</v>
      </c>
      <c r="H293" s="6" t="s">
        <v>693</v>
      </c>
      <c r="I293" s="9" t="s">
        <v>609</v>
      </c>
      <c r="J293" s="9" t="s">
        <v>145</v>
      </c>
    </row>
    <row r="294" spans="1:10">
      <c r="A294" s="5" t="s">
        <v>728</v>
      </c>
      <c r="B294" s="6" t="s">
        <v>1251</v>
      </c>
      <c r="C294" s="7">
        <v>46092</v>
      </c>
      <c r="D294" s="9" t="s">
        <v>500</v>
      </c>
      <c r="E294" s="4" t="s">
        <v>53</v>
      </c>
      <c r="F294" s="9" t="s">
        <v>242</v>
      </c>
      <c r="G294" s="9">
        <v>1</v>
      </c>
      <c r="H294" s="6" t="s">
        <v>693</v>
      </c>
      <c r="I294" s="9" t="s">
        <v>609</v>
      </c>
      <c r="J294" s="9" t="s">
        <v>145</v>
      </c>
    </row>
    <row r="295" spans="1:10">
      <c r="A295" s="5" t="s">
        <v>730</v>
      </c>
      <c r="B295" s="6" t="s">
        <v>1251</v>
      </c>
      <c r="C295" s="7">
        <v>46092</v>
      </c>
      <c r="D295" s="9" t="s">
        <v>261</v>
      </c>
      <c r="E295" s="8" t="s">
        <v>64</v>
      </c>
      <c r="F295" s="9" t="s">
        <v>242</v>
      </c>
      <c r="G295" s="9">
        <v>3</v>
      </c>
      <c r="H295" s="6" t="s">
        <v>693</v>
      </c>
      <c r="I295" s="9" t="s">
        <v>609</v>
      </c>
      <c r="J295" s="9" t="s">
        <v>145</v>
      </c>
    </row>
    <row r="296" spans="1:10">
      <c r="A296" s="5" t="s">
        <v>733</v>
      </c>
      <c r="B296" s="6" t="s">
        <v>1251</v>
      </c>
      <c r="C296" s="7">
        <v>46092</v>
      </c>
      <c r="D296" s="9" t="s">
        <v>270</v>
      </c>
      <c r="E296" s="8" t="s">
        <v>271</v>
      </c>
      <c r="F296" s="9" t="s">
        <v>242</v>
      </c>
      <c r="G296" s="9">
        <v>3</v>
      </c>
      <c r="H296" s="6" t="s">
        <v>693</v>
      </c>
      <c r="I296" s="9" t="s">
        <v>609</v>
      </c>
      <c r="J296" s="9" t="s">
        <v>145</v>
      </c>
    </row>
    <row r="297" spans="1:10">
      <c r="A297" s="5" t="s">
        <v>736</v>
      </c>
      <c r="B297" s="6" t="s">
        <v>1252</v>
      </c>
      <c r="C297" s="7">
        <v>46093</v>
      </c>
      <c r="D297" s="9" t="s">
        <v>500</v>
      </c>
      <c r="E297" s="8" t="s">
        <v>46</v>
      </c>
      <c r="F297" s="9" t="s">
        <v>242</v>
      </c>
      <c r="G297" s="9">
        <v>1</v>
      </c>
      <c r="H297" s="6" t="s">
        <v>742</v>
      </c>
      <c r="I297" s="9" t="s">
        <v>289</v>
      </c>
      <c r="J297" s="9" t="s">
        <v>145</v>
      </c>
    </row>
    <row r="298" spans="1:10">
      <c r="A298" s="5" t="s">
        <v>738</v>
      </c>
      <c r="B298" s="6" t="s">
        <v>1252</v>
      </c>
      <c r="C298" s="7">
        <v>46093</v>
      </c>
      <c r="D298" s="9" t="s">
        <v>270</v>
      </c>
      <c r="E298" s="8" t="s">
        <v>271</v>
      </c>
      <c r="F298" s="9" t="s">
        <v>242</v>
      </c>
      <c r="G298" s="9">
        <v>1</v>
      </c>
      <c r="H298" s="6" t="s">
        <v>742</v>
      </c>
      <c r="I298" s="9" t="s">
        <v>289</v>
      </c>
      <c r="J298" s="9" t="s">
        <v>145</v>
      </c>
    </row>
    <row r="299" spans="1:10">
      <c r="A299" s="5" t="s">
        <v>740</v>
      </c>
      <c r="B299" s="6" t="s">
        <v>1252</v>
      </c>
      <c r="C299" s="7">
        <v>46093</v>
      </c>
      <c r="D299" s="9" t="s">
        <v>270</v>
      </c>
      <c r="E299" s="8" t="s">
        <v>68</v>
      </c>
      <c r="F299" s="9" t="s">
        <v>242</v>
      </c>
      <c r="G299" s="9">
        <v>3</v>
      </c>
      <c r="H299" s="6" t="s">
        <v>742</v>
      </c>
      <c r="I299" s="9" t="s">
        <v>289</v>
      </c>
      <c r="J299" s="9" t="s">
        <v>145</v>
      </c>
    </row>
    <row r="300" spans="1:10">
      <c r="A300" s="5" t="s">
        <v>743</v>
      </c>
      <c r="B300" s="6" t="s">
        <v>1253</v>
      </c>
      <c r="C300" s="7">
        <v>46093</v>
      </c>
      <c r="D300" s="9" t="s">
        <v>261</v>
      </c>
      <c r="E300" s="8" t="s">
        <v>65</v>
      </c>
      <c r="F300" s="9" t="s">
        <v>242</v>
      </c>
      <c r="G300" s="9">
        <v>3</v>
      </c>
      <c r="H300" s="6" t="s">
        <v>1254</v>
      </c>
      <c r="I300" s="9" t="s">
        <v>415</v>
      </c>
      <c r="J300" s="9" t="s">
        <v>145</v>
      </c>
    </row>
    <row r="301" spans="1:10">
      <c r="A301" s="5" t="s">
        <v>744</v>
      </c>
      <c r="B301" s="6" t="s">
        <v>1253</v>
      </c>
      <c r="C301" s="7">
        <v>46093</v>
      </c>
      <c r="D301" s="9" t="s">
        <v>270</v>
      </c>
      <c r="E301" s="8" t="s">
        <v>271</v>
      </c>
      <c r="F301" s="9" t="s">
        <v>242</v>
      </c>
      <c r="G301" s="9">
        <v>6</v>
      </c>
      <c r="H301" s="6" t="s">
        <v>1254</v>
      </c>
      <c r="I301" s="9" t="s">
        <v>415</v>
      </c>
      <c r="J301" s="9" t="s">
        <v>145</v>
      </c>
    </row>
    <row r="302" spans="1:10">
      <c r="A302" s="5" t="s">
        <v>745</v>
      </c>
      <c r="B302" s="6" t="s">
        <v>1255</v>
      </c>
      <c r="C302" s="7">
        <v>46093</v>
      </c>
      <c r="D302" s="9" t="s">
        <v>261</v>
      </c>
      <c r="E302" s="8" t="s">
        <v>62</v>
      </c>
      <c r="F302" s="9" t="s">
        <v>242</v>
      </c>
      <c r="G302" s="9">
        <v>3</v>
      </c>
      <c r="H302" s="6" t="s">
        <v>722</v>
      </c>
      <c r="I302" s="9" t="s">
        <v>609</v>
      </c>
      <c r="J302" s="9" t="s">
        <v>145</v>
      </c>
    </row>
    <row r="303" spans="1:10">
      <c r="A303" s="5" t="s">
        <v>746</v>
      </c>
      <c r="B303" s="6" t="s">
        <v>1256</v>
      </c>
      <c r="C303" s="7">
        <v>46093</v>
      </c>
      <c r="D303" s="9" t="s">
        <v>500</v>
      </c>
      <c r="E303" s="8" t="s">
        <v>52</v>
      </c>
      <c r="F303" s="9" t="s">
        <v>242</v>
      </c>
      <c r="G303" s="9">
        <v>1</v>
      </c>
      <c r="H303" s="6" t="s">
        <v>1257</v>
      </c>
      <c r="I303" s="9" t="s">
        <v>258</v>
      </c>
      <c r="J303" s="9" t="s">
        <v>145</v>
      </c>
    </row>
    <row r="304" spans="1:10">
      <c r="A304" s="5" t="s">
        <v>747</v>
      </c>
      <c r="B304" s="6" t="s">
        <v>1258</v>
      </c>
      <c r="C304" s="7">
        <v>46097</v>
      </c>
      <c r="D304" s="9" t="s">
        <v>500</v>
      </c>
      <c r="E304" s="4" t="s">
        <v>54</v>
      </c>
      <c r="F304" s="9" t="s">
        <v>242</v>
      </c>
      <c r="G304" s="9">
        <v>1</v>
      </c>
      <c r="H304" s="6" t="s">
        <v>759</v>
      </c>
      <c r="I304" s="9" t="s">
        <v>616</v>
      </c>
      <c r="J304" s="9" t="s">
        <v>145</v>
      </c>
    </row>
    <row r="305" spans="1:10">
      <c r="A305" s="5" t="s">
        <v>750</v>
      </c>
      <c r="B305" s="6" t="s">
        <v>1258</v>
      </c>
      <c r="C305" s="7">
        <v>46097</v>
      </c>
      <c r="D305" s="9" t="s">
        <v>261</v>
      </c>
      <c r="E305" s="8" t="s">
        <v>62</v>
      </c>
      <c r="F305" s="9" t="s">
        <v>242</v>
      </c>
      <c r="G305" s="9">
        <v>2</v>
      </c>
      <c r="H305" s="6" t="s">
        <v>759</v>
      </c>
      <c r="I305" s="9" t="s">
        <v>616</v>
      </c>
      <c r="J305" s="9" t="s">
        <v>145</v>
      </c>
    </row>
    <row r="306" spans="1:10">
      <c r="A306" s="5" t="s">
        <v>751</v>
      </c>
      <c r="B306" s="6" t="s">
        <v>1259</v>
      </c>
      <c r="C306" s="7">
        <v>46097</v>
      </c>
      <c r="D306" s="9" t="s">
        <v>500</v>
      </c>
      <c r="E306" s="8" t="s">
        <v>51</v>
      </c>
      <c r="F306" s="9" t="s">
        <v>242</v>
      </c>
      <c r="G306" s="9">
        <v>1</v>
      </c>
      <c r="H306" s="6" t="s">
        <v>693</v>
      </c>
      <c r="I306" s="9" t="s">
        <v>616</v>
      </c>
      <c r="J306" s="9" t="s">
        <v>145</v>
      </c>
    </row>
    <row r="307" spans="1:10">
      <c r="A307" s="5" t="s">
        <v>752</v>
      </c>
      <c r="B307" s="6" t="s">
        <v>1259</v>
      </c>
      <c r="C307" s="7">
        <v>46097</v>
      </c>
      <c r="D307" s="9" t="s">
        <v>261</v>
      </c>
      <c r="E307" s="4" t="s">
        <v>64</v>
      </c>
      <c r="F307" s="9" t="s">
        <v>242</v>
      </c>
      <c r="G307" s="9">
        <v>2</v>
      </c>
      <c r="H307" s="6" t="s">
        <v>693</v>
      </c>
      <c r="I307" s="9" t="s">
        <v>616</v>
      </c>
      <c r="J307" s="9" t="s">
        <v>145</v>
      </c>
    </row>
    <row r="308" spans="1:10">
      <c r="A308" s="5" t="s">
        <v>754</v>
      </c>
      <c r="B308" s="6" t="s">
        <v>1259</v>
      </c>
      <c r="C308" s="7">
        <v>46097</v>
      </c>
      <c r="D308" s="9" t="s">
        <v>270</v>
      </c>
      <c r="E308" s="8" t="s">
        <v>271</v>
      </c>
      <c r="F308" s="9" t="s">
        <v>242</v>
      </c>
      <c r="G308" s="9">
        <v>2</v>
      </c>
      <c r="H308" s="6" t="s">
        <v>693</v>
      </c>
      <c r="I308" s="9" t="s">
        <v>616</v>
      </c>
      <c r="J308" s="9" t="s">
        <v>145</v>
      </c>
    </row>
    <row r="309" spans="1:10">
      <c r="A309" s="5" t="s">
        <v>757</v>
      </c>
      <c r="B309" s="6" t="s">
        <v>1260</v>
      </c>
      <c r="C309" s="7">
        <v>46097</v>
      </c>
      <c r="D309" s="9" t="s">
        <v>500</v>
      </c>
      <c r="E309" s="4" t="s">
        <v>54</v>
      </c>
      <c r="F309" s="9" t="s">
        <v>242</v>
      </c>
      <c r="G309" s="9">
        <v>1</v>
      </c>
      <c r="H309" s="6" t="s">
        <v>1261</v>
      </c>
      <c r="I309" s="9" t="s">
        <v>244</v>
      </c>
      <c r="J309" s="9" t="s">
        <v>145</v>
      </c>
    </row>
    <row r="310" spans="1:10">
      <c r="A310" s="5" t="s">
        <v>760</v>
      </c>
      <c r="B310" s="6" t="s">
        <v>1260</v>
      </c>
      <c r="C310" s="7">
        <v>46097</v>
      </c>
      <c r="D310" s="9" t="s">
        <v>261</v>
      </c>
      <c r="E310" s="8" t="s">
        <v>62</v>
      </c>
      <c r="F310" s="9" t="s">
        <v>242</v>
      </c>
      <c r="G310" s="9">
        <v>2</v>
      </c>
      <c r="H310" s="6" t="s">
        <v>1261</v>
      </c>
      <c r="I310" s="9" t="s">
        <v>244</v>
      </c>
      <c r="J310" s="9" t="s">
        <v>145</v>
      </c>
    </row>
    <row r="311" spans="1:10">
      <c r="A311" s="5" t="s">
        <v>761</v>
      </c>
      <c r="B311" s="6" t="s">
        <v>1262</v>
      </c>
      <c r="C311" s="7">
        <v>46097</v>
      </c>
      <c r="D311" s="9" t="s">
        <v>261</v>
      </c>
      <c r="E311" s="8" t="s">
        <v>62</v>
      </c>
      <c r="F311" s="9" t="s">
        <v>242</v>
      </c>
      <c r="G311" s="9">
        <v>7</v>
      </c>
      <c r="H311" s="6" t="s">
        <v>722</v>
      </c>
      <c r="I311" s="9" t="s">
        <v>275</v>
      </c>
      <c r="J311" s="9" t="s">
        <v>145</v>
      </c>
    </row>
    <row r="312" spans="1:10">
      <c r="A312" s="5" t="s">
        <v>763</v>
      </c>
      <c r="B312" s="6" t="s">
        <v>1263</v>
      </c>
      <c r="C312" s="7">
        <v>46098</v>
      </c>
      <c r="D312" s="9" t="s">
        <v>261</v>
      </c>
      <c r="E312" s="8" t="s">
        <v>65</v>
      </c>
      <c r="F312" s="9" t="s">
        <v>242</v>
      </c>
      <c r="G312" s="9">
        <v>2</v>
      </c>
      <c r="H312" s="6" t="s">
        <v>1264</v>
      </c>
      <c r="I312" s="9" t="s">
        <v>258</v>
      </c>
      <c r="J312" s="9" t="s">
        <v>145</v>
      </c>
    </row>
    <row r="313" spans="1:10">
      <c r="A313" s="5" t="s">
        <v>764</v>
      </c>
      <c r="B313" s="6" t="s">
        <v>1263</v>
      </c>
      <c r="C313" s="7">
        <v>46098</v>
      </c>
      <c r="D313" s="9" t="s">
        <v>270</v>
      </c>
      <c r="E313" s="8" t="s">
        <v>271</v>
      </c>
      <c r="F313" s="9" t="s">
        <v>242</v>
      </c>
      <c r="G313" s="9">
        <v>4</v>
      </c>
      <c r="H313" s="6" t="s">
        <v>1264</v>
      </c>
      <c r="I313" s="9" t="s">
        <v>258</v>
      </c>
      <c r="J313" s="9" t="s">
        <v>145</v>
      </c>
    </row>
    <row r="314" spans="1:10">
      <c r="A314" s="5" t="s">
        <v>765</v>
      </c>
      <c r="B314" s="6" t="s">
        <v>1265</v>
      </c>
      <c r="C314" s="7">
        <v>46098</v>
      </c>
      <c r="D314" s="9" t="s">
        <v>261</v>
      </c>
      <c r="E314" s="8" t="s">
        <v>62</v>
      </c>
      <c r="F314" s="9" t="s">
        <v>242</v>
      </c>
      <c r="G314" s="9">
        <v>5</v>
      </c>
      <c r="H314" s="6" t="s">
        <v>722</v>
      </c>
      <c r="I314" s="9" t="s">
        <v>616</v>
      </c>
      <c r="J314" s="9" t="s">
        <v>145</v>
      </c>
    </row>
    <row r="315" spans="1:10">
      <c r="A315" s="5" t="s">
        <v>767</v>
      </c>
      <c r="B315" s="6" t="s">
        <v>1266</v>
      </c>
      <c r="C315" s="7">
        <v>46098</v>
      </c>
      <c r="D315" s="9" t="s">
        <v>503</v>
      </c>
      <c r="E315" s="8" t="s">
        <v>74</v>
      </c>
      <c r="F315" s="9" t="s">
        <v>242</v>
      </c>
      <c r="G315" s="9">
        <v>1</v>
      </c>
      <c r="H315" s="6" t="s">
        <v>1267</v>
      </c>
      <c r="I315" s="9" t="s">
        <v>258</v>
      </c>
      <c r="J315" s="9" t="s">
        <v>145</v>
      </c>
    </row>
    <row r="316" spans="1:10">
      <c r="A316" s="5" t="s">
        <v>768</v>
      </c>
      <c r="B316" s="6" t="s">
        <v>1266</v>
      </c>
      <c r="C316" s="7">
        <v>46098</v>
      </c>
      <c r="D316" s="9" t="s">
        <v>503</v>
      </c>
      <c r="E316" s="8" t="s">
        <v>78</v>
      </c>
      <c r="F316" s="9" t="s">
        <v>242</v>
      </c>
      <c r="G316" s="9">
        <v>2</v>
      </c>
      <c r="H316" s="6" t="s">
        <v>1267</v>
      </c>
      <c r="I316" s="9" t="s">
        <v>258</v>
      </c>
      <c r="J316" s="9" t="s">
        <v>145</v>
      </c>
    </row>
    <row r="317" spans="1:10">
      <c r="A317" s="5" t="s">
        <v>769</v>
      </c>
      <c r="B317" s="6" t="s">
        <v>1266</v>
      </c>
      <c r="C317" s="7">
        <v>46098</v>
      </c>
      <c r="D317" s="9" t="s">
        <v>503</v>
      </c>
      <c r="E317" s="8" t="s">
        <v>76</v>
      </c>
      <c r="F317" s="9" t="s">
        <v>242</v>
      </c>
      <c r="G317" s="9">
        <v>2</v>
      </c>
      <c r="H317" s="6" t="s">
        <v>1267</v>
      </c>
      <c r="I317" s="9" t="s">
        <v>258</v>
      </c>
      <c r="J317" s="9" t="s">
        <v>145</v>
      </c>
    </row>
    <row r="318" spans="1:10">
      <c r="A318" s="5" t="s">
        <v>772</v>
      </c>
      <c r="B318" s="6" t="s">
        <v>1268</v>
      </c>
      <c r="C318" s="7">
        <v>46098</v>
      </c>
      <c r="D318" s="9" t="s">
        <v>261</v>
      </c>
      <c r="E318" s="8" t="s">
        <v>125</v>
      </c>
      <c r="F318" s="9" t="s">
        <v>242</v>
      </c>
      <c r="G318" s="9">
        <v>10</v>
      </c>
      <c r="H318" s="6" t="s">
        <v>1269</v>
      </c>
      <c r="I318" s="9" t="s">
        <v>329</v>
      </c>
      <c r="J318" s="9" t="s">
        <v>145</v>
      </c>
    </row>
    <row r="319" spans="1:10">
      <c r="A319" s="5" t="s">
        <v>773</v>
      </c>
      <c r="B319" s="6" t="s">
        <v>1268</v>
      </c>
      <c r="C319" s="7">
        <v>46098</v>
      </c>
      <c r="D319" s="9" t="s">
        <v>261</v>
      </c>
      <c r="E319" s="4" t="s">
        <v>62</v>
      </c>
      <c r="F319" s="9" t="s">
        <v>242</v>
      </c>
      <c r="G319" s="9">
        <v>8</v>
      </c>
      <c r="H319" s="6" t="s">
        <v>1269</v>
      </c>
      <c r="I319" s="9" t="s">
        <v>329</v>
      </c>
      <c r="J319" s="9" t="s">
        <v>145</v>
      </c>
    </row>
    <row r="320" spans="1:10">
      <c r="A320" s="5" t="s">
        <v>774</v>
      </c>
      <c r="B320" s="6" t="s">
        <v>1270</v>
      </c>
      <c r="C320" s="7">
        <v>46099</v>
      </c>
      <c r="D320" s="9" t="s">
        <v>711</v>
      </c>
      <c r="E320" s="8" t="s">
        <v>111</v>
      </c>
      <c r="F320" s="9" t="s">
        <v>242</v>
      </c>
      <c r="G320" s="9">
        <v>1</v>
      </c>
      <c r="H320" s="6" t="s">
        <v>1271</v>
      </c>
      <c r="I320" s="9" t="s">
        <v>514</v>
      </c>
      <c r="J320" s="9" t="s">
        <v>145</v>
      </c>
    </row>
    <row r="321" spans="1:10">
      <c r="A321" s="5" t="s">
        <v>776</v>
      </c>
      <c r="B321" s="6" t="s">
        <v>1270</v>
      </c>
      <c r="C321" s="7">
        <v>46099</v>
      </c>
      <c r="D321" s="9" t="s">
        <v>714</v>
      </c>
      <c r="E321" s="8" t="s">
        <v>715</v>
      </c>
      <c r="F321" s="9" t="s">
        <v>242</v>
      </c>
      <c r="G321" s="9">
        <v>1</v>
      </c>
      <c r="H321" s="6" t="s">
        <v>1271</v>
      </c>
      <c r="I321" s="9" t="s">
        <v>514</v>
      </c>
      <c r="J321" s="9" t="s">
        <v>145</v>
      </c>
    </row>
    <row r="322" spans="1:10">
      <c r="A322" s="5" t="s">
        <v>779</v>
      </c>
      <c r="B322" s="6" t="s">
        <v>1272</v>
      </c>
      <c r="C322" s="7">
        <v>46099</v>
      </c>
      <c r="D322" s="9" t="s">
        <v>261</v>
      </c>
      <c r="E322" s="8" t="s">
        <v>62</v>
      </c>
      <c r="F322" s="9" t="s">
        <v>242</v>
      </c>
      <c r="G322" s="9">
        <v>3</v>
      </c>
      <c r="H322" s="6" t="s">
        <v>722</v>
      </c>
      <c r="I322" s="9" t="s">
        <v>514</v>
      </c>
      <c r="J322" s="9" t="s">
        <v>145</v>
      </c>
    </row>
    <row r="323" spans="1:10">
      <c r="A323" s="5" t="s">
        <v>780</v>
      </c>
      <c r="B323" s="6" t="s">
        <v>1273</v>
      </c>
      <c r="C323" s="7">
        <v>46099</v>
      </c>
      <c r="D323" s="9" t="s">
        <v>261</v>
      </c>
      <c r="E323" s="8" t="s">
        <v>62</v>
      </c>
      <c r="F323" s="9" t="s">
        <v>242</v>
      </c>
      <c r="G323" s="9">
        <v>9</v>
      </c>
      <c r="H323" s="6" t="s">
        <v>1274</v>
      </c>
      <c r="I323" s="9" t="s">
        <v>258</v>
      </c>
      <c r="J323" s="9" t="s">
        <v>145</v>
      </c>
    </row>
    <row r="324" spans="1:10">
      <c r="A324" s="5" t="s">
        <v>782</v>
      </c>
      <c r="B324" s="6" t="s">
        <v>1275</v>
      </c>
      <c r="C324" s="7">
        <v>46099</v>
      </c>
      <c r="D324" s="9" t="s">
        <v>261</v>
      </c>
      <c r="E324" s="8" t="s">
        <v>62</v>
      </c>
      <c r="F324" s="9" t="s">
        <v>242</v>
      </c>
      <c r="G324" s="9">
        <v>3</v>
      </c>
      <c r="H324" s="6" t="s">
        <v>722</v>
      </c>
      <c r="I324" s="9" t="s">
        <v>609</v>
      </c>
      <c r="J324" s="9" t="s">
        <v>145</v>
      </c>
    </row>
    <row r="325" spans="1:10">
      <c r="A325" s="5" t="s">
        <v>785</v>
      </c>
      <c r="B325" s="6" t="s">
        <v>1276</v>
      </c>
      <c r="C325" s="7">
        <v>46100</v>
      </c>
      <c r="D325" s="9" t="s">
        <v>261</v>
      </c>
      <c r="E325" s="4" t="s">
        <v>62</v>
      </c>
      <c r="F325" s="9" t="s">
        <v>242</v>
      </c>
      <c r="G325" s="9">
        <v>3</v>
      </c>
      <c r="H325" s="6" t="s">
        <v>722</v>
      </c>
      <c r="I325" s="9" t="s">
        <v>514</v>
      </c>
      <c r="J325" s="9" t="s">
        <v>145</v>
      </c>
    </row>
    <row r="326" spans="1:10">
      <c r="A326" s="5" t="s">
        <v>786</v>
      </c>
      <c r="B326" s="6" t="s">
        <v>1277</v>
      </c>
      <c r="C326" s="7">
        <v>46100</v>
      </c>
      <c r="D326" s="9" t="s">
        <v>261</v>
      </c>
      <c r="E326" s="8" t="s">
        <v>62</v>
      </c>
      <c r="F326" s="9" t="s">
        <v>242</v>
      </c>
      <c r="G326" s="9">
        <v>2</v>
      </c>
      <c r="H326" s="6" t="s">
        <v>1278</v>
      </c>
      <c r="I326" s="9" t="s">
        <v>628</v>
      </c>
      <c r="J326" s="9" t="s">
        <v>145</v>
      </c>
    </row>
    <row r="327" spans="1:10">
      <c r="A327" s="5" t="s">
        <v>788</v>
      </c>
      <c r="B327" s="6" t="s">
        <v>1277</v>
      </c>
      <c r="C327" s="7">
        <v>46100</v>
      </c>
      <c r="D327" s="9" t="s">
        <v>261</v>
      </c>
      <c r="E327" s="8" t="s">
        <v>63</v>
      </c>
      <c r="F327" s="9" t="s">
        <v>242</v>
      </c>
      <c r="G327" s="9">
        <v>1</v>
      </c>
      <c r="H327" s="6" t="s">
        <v>1278</v>
      </c>
      <c r="I327" s="9" t="s">
        <v>628</v>
      </c>
      <c r="J327" s="9" t="s">
        <v>145</v>
      </c>
    </row>
    <row r="328" spans="1:10">
      <c r="A328" s="5" t="s">
        <v>789</v>
      </c>
      <c r="B328" s="6" t="s">
        <v>1277</v>
      </c>
      <c r="C328" s="7">
        <v>46100</v>
      </c>
      <c r="D328" s="9" t="s">
        <v>270</v>
      </c>
      <c r="E328" s="8" t="s">
        <v>68</v>
      </c>
      <c r="F328" s="9" t="s">
        <v>242</v>
      </c>
      <c r="G328" s="9">
        <v>1</v>
      </c>
      <c r="H328" s="6" t="s">
        <v>1278</v>
      </c>
      <c r="I328" s="9" t="s">
        <v>628</v>
      </c>
      <c r="J328" s="9" t="s">
        <v>145</v>
      </c>
    </row>
    <row r="329" spans="1:10">
      <c r="A329" s="5" t="s">
        <v>790</v>
      </c>
      <c r="B329" s="6" t="s">
        <v>1279</v>
      </c>
      <c r="C329" s="7">
        <v>46100</v>
      </c>
      <c r="D329" s="9" t="s">
        <v>261</v>
      </c>
      <c r="E329" s="4" t="s">
        <v>62</v>
      </c>
      <c r="F329" s="9" t="s">
        <v>242</v>
      </c>
      <c r="G329" s="9">
        <v>4</v>
      </c>
      <c r="H329" s="6" t="s">
        <v>722</v>
      </c>
      <c r="I329" s="9" t="s">
        <v>1280</v>
      </c>
      <c r="J329" s="9" t="s">
        <v>145</v>
      </c>
    </row>
    <row r="330" spans="1:10">
      <c r="A330" s="5" t="s">
        <v>792</v>
      </c>
      <c r="B330" s="6" t="s">
        <v>1279</v>
      </c>
      <c r="C330" s="7">
        <v>46100</v>
      </c>
      <c r="D330" s="9" t="s">
        <v>261</v>
      </c>
      <c r="E330" s="8" t="s">
        <v>753</v>
      </c>
      <c r="F330" s="9" t="s">
        <v>242</v>
      </c>
      <c r="G330" s="9">
        <v>2</v>
      </c>
      <c r="H330" s="6" t="s">
        <v>722</v>
      </c>
      <c r="I330" s="9" t="s">
        <v>1280</v>
      </c>
      <c r="J330" s="9" t="s">
        <v>145</v>
      </c>
    </row>
    <row r="331" spans="1:10">
      <c r="A331" s="5" t="s">
        <v>793</v>
      </c>
      <c r="B331" s="6" t="s">
        <v>1281</v>
      </c>
      <c r="C331" s="7">
        <v>46101</v>
      </c>
      <c r="D331" s="9" t="s">
        <v>500</v>
      </c>
      <c r="E331" s="8" t="s">
        <v>54</v>
      </c>
      <c r="F331" s="9" t="s">
        <v>242</v>
      </c>
      <c r="G331" s="9">
        <v>1</v>
      </c>
      <c r="H331" s="6" t="s">
        <v>1282</v>
      </c>
      <c r="I331" s="9" t="s">
        <v>616</v>
      </c>
      <c r="J331" s="9" t="s">
        <v>145</v>
      </c>
    </row>
    <row r="332" spans="1:10">
      <c r="A332" s="5" t="s">
        <v>794</v>
      </c>
      <c r="B332" s="6" t="s">
        <v>1281</v>
      </c>
      <c r="C332" s="7">
        <v>46101</v>
      </c>
      <c r="D332" s="9" t="s">
        <v>261</v>
      </c>
      <c r="E332" s="8" t="s">
        <v>62</v>
      </c>
      <c r="F332" s="9" t="s">
        <v>242</v>
      </c>
      <c r="G332" s="9">
        <v>1</v>
      </c>
      <c r="H332" s="6" t="s">
        <v>1282</v>
      </c>
      <c r="I332" s="9" t="s">
        <v>616</v>
      </c>
      <c r="J332" s="9" t="s">
        <v>145</v>
      </c>
    </row>
    <row r="333" spans="1:10">
      <c r="A333" s="5" t="s">
        <v>796</v>
      </c>
      <c r="B333" s="6" t="s">
        <v>1283</v>
      </c>
      <c r="C333" s="7">
        <v>46101</v>
      </c>
      <c r="D333" s="9" t="s">
        <v>261</v>
      </c>
      <c r="E333" s="8" t="s">
        <v>65</v>
      </c>
      <c r="F333" s="9" t="s">
        <v>242</v>
      </c>
      <c r="G333" s="9">
        <v>2</v>
      </c>
      <c r="H333" s="6" t="s">
        <v>1284</v>
      </c>
      <c r="I333" s="9" t="s">
        <v>258</v>
      </c>
      <c r="J333" s="9" t="s">
        <v>145</v>
      </c>
    </row>
    <row r="334" spans="1:10">
      <c r="A334" s="5" t="s">
        <v>797</v>
      </c>
      <c r="B334" s="6" t="s">
        <v>1283</v>
      </c>
      <c r="C334" s="7">
        <v>46101</v>
      </c>
      <c r="D334" s="9" t="s">
        <v>270</v>
      </c>
      <c r="E334" s="8" t="s">
        <v>271</v>
      </c>
      <c r="F334" s="9" t="s">
        <v>242</v>
      </c>
      <c r="G334" s="9">
        <v>4</v>
      </c>
      <c r="H334" s="6" t="s">
        <v>1284</v>
      </c>
      <c r="I334" s="9" t="s">
        <v>258</v>
      </c>
      <c r="J334" s="9" t="s">
        <v>145</v>
      </c>
    </row>
    <row r="335" spans="1:10">
      <c r="A335" s="5" t="s">
        <v>798</v>
      </c>
      <c r="B335" s="6" t="s">
        <v>1283</v>
      </c>
      <c r="C335" s="7">
        <v>46101</v>
      </c>
      <c r="D335" s="9" t="s">
        <v>696</v>
      </c>
      <c r="E335" s="8" t="s">
        <v>843</v>
      </c>
      <c r="F335" s="9" t="s">
        <v>242</v>
      </c>
      <c r="G335" s="9">
        <v>50</v>
      </c>
      <c r="H335" s="6" t="s">
        <v>1284</v>
      </c>
      <c r="I335" s="9" t="s">
        <v>258</v>
      </c>
      <c r="J335" s="9" t="s">
        <v>145</v>
      </c>
    </row>
    <row r="336" spans="1:10">
      <c r="A336" s="5" t="s">
        <v>799</v>
      </c>
      <c r="B336" s="6" t="s">
        <v>1285</v>
      </c>
      <c r="C336" s="7">
        <v>46101</v>
      </c>
      <c r="D336" s="9" t="s">
        <v>500</v>
      </c>
      <c r="E336" s="8" t="s">
        <v>52</v>
      </c>
      <c r="F336" s="9" t="s">
        <v>242</v>
      </c>
      <c r="G336" s="9">
        <v>1</v>
      </c>
      <c r="H336" s="6" t="s">
        <v>1286</v>
      </c>
      <c r="I336" s="9" t="s">
        <v>258</v>
      </c>
      <c r="J336" s="9" t="s">
        <v>145</v>
      </c>
    </row>
    <row r="337" spans="1:10">
      <c r="A337" s="5" t="s">
        <v>800</v>
      </c>
      <c r="B337" s="6" t="s">
        <v>1285</v>
      </c>
      <c r="C337" s="7">
        <v>46101</v>
      </c>
      <c r="D337" s="9" t="s">
        <v>261</v>
      </c>
      <c r="E337" s="8" t="s">
        <v>64</v>
      </c>
      <c r="F337" s="9" t="s">
        <v>242</v>
      </c>
      <c r="G337" s="9">
        <v>1</v>
      </c>
      <c r="H337" s="6" t="s">
        <v>1286</v>
      </c>
      <c r="I337" s="9" t="s">
        <v>258</v>
      </c>
      <c r="J337" s="9" t="s">
        <v>145</v>
      </c>
    </row>
    <row r="338" spans="1:10">
      <c r="A338" s="5" t="s">
        <v>802</v>
      </c>
      <c r="B338" s="6" t="s">
        <v>1285</v>
      </c>
      <c r="C338" s="7">
        <v>46101</v>
      </c>
      <c r="D338" s="9" t="s">
        <v>270</v>
      </c>
      <c r="E338" s="8" t="s">
        <v>271</v>
      </c>
      <c r="F338" s="9" t="s">
        <v>242</v>
      </c>
      <c r="G338" s="9">
        <v>1</v>
      </c>
      <c r="H338" s="6" t="s">
        <v>1286</v>
      </c>
      <c r="I338" s="9" t="s">
        <v>258</v>
      </c>
      <c r="J338" s="9" t="s">
        <v>145</v>
      </c>
    </row>
    <row r="339" spans="1:10">
      <c r="A339" s="5" t="s">
        <v>803</v>
      </c>
      <c r="B339" s="6" t="s">
        <v>1285</v>
      </c>
      <c r="C339" s="7">
        <v>46101</v>
      </c>
      <c r="D339" s="9" t="s">
        <v>261</v>
      </c>
      <c r="E339" s="8" t="s">
        <v>62</v>
      </c>
      <c r="F339" s="9" t="s">
        <v>242</v>
      </c>
      <c r="G339" s="9">
        <v>4</v>
      </c>
      <c r="H339" s="6" t="s">
        <v>1286</v>
      </c>
      <c r="I339" s="9" t="s">
        <v>258</v>
      </c>
      <c r="J339" s="9" t="s">
        <v>145</v>
      </c>
    </row>
    <row r="340" spans="1:10">
      <c r="A340" s="5" t="s">
        <v>805</v>
      </c>
      <c r="B340" s="6" t="s">
        <v>1285</v>
      </c>
      <c r="C340" s="7">
        <v>46101</v>
      </c>
      <c r="D340" s="9" t="s">
        <v>503</v>
      </c>
      <c r="E340" s="8" t="s">
        <v>162</v>
      </c>
      <c r="F340" s="9" t="s">
        <v>242</v>
      </c>
      <c r="G340" s="9">
        <v>1</v>
      </c>
      <c r="H340" s="6" t="s">
        <v>1286</v>
      </c>
      <c r="I340" s="9" t="s">
        <v>258</v>
      </c>
      <c r="J340" s="9" t="s">
        <v>145</v>
      </c>
    </row>
    <row r="341" spans="1:10">
      <c r="A341" s="5" t="s">
        <v>808</v>
      </c>
      <c r="B341" s="6" t="s">
        <v>1287</v>
      </c>
      <c r="C341" s="7">
        <v>46105</v>
      </c>
      <c r="D341" s="9" t="s">
        <v>261</v>
      </c>
      <c r="E341" s="8" t="s">
        <v>62</v>
      </c>
      <c r="F341" s="9" t="s">
        <v>242</v>
      </c>
      <c r="G341" s="9">
        <v>5</v>
      </c>
      <c r="H341" s="6" t="s">
        <v>722</v>
      </c>
      <c r="I341" s="9" t="s">
        <v>311</v>
      </c>
      <c r="J341" s="9" t="s">
        <v>145</v>
      </c>
    </row>
    <row r="342" spans="1:10">
      <c r="A342" s="5" t="s">
        <v>809</v>
      </c>
      <c r="B342" s="6" t="s">
        <v>1288</v>
      </c>
      <c r="C342" s="7">
        <v>46100</v>
      </c>
      <c r="D342" s="9" t="s">
        <v>905</v>
      </c>
      <c r="E342" s="8" t="s">
        <v>208</v>
      </c>
      <c r="F342" s="9" t="s">
        <v>242</v>
      </c>
      <c r="G342" s="9">
        <v>150</v>
      </c>
      <c r="H342" s="6" t="s">
        <v>1289</v>
      </c>
      <c r="I342" s="9" t="s">
        <v>827</v>
      </c>
      <c r="J342" s="9" t="s">
        <v>145</v>
      </c>
    </row>
    <row r="343" spans="1:10">
      <c r="A343" s="5" t="s">
        <v>810</v>
      </c>
      <c r="B343" s="6" t="s">
        <v>1290</v>
      </c>
      <c r="C343" s="7">
        <v>46105</v>
      </c>
      <c r="D343" s="9" t="s">
        <v>500</v>
      </c>
      <c r="E343" s="8" t="s">
        <v>52</v>
      </c>
      <c r="F343" s="9" t="s">
        <v>242</v>
      </c>
      <c r="G343" s="9">
        <v>1</v>
      </c>
      <c r="H343" s="6" t="s">
        <v>693</v>
      </c>
      <c r="I343" s="9" t="s">
        <v>244</v>
      </c>
      <c r="J343" s="9" t="s">
        <v>145</v>
      </c>
    </row>
    <row r="344" spans="1:10">
      <c r="A344" s="5" t="s">
        <v>812</v>
      </c>
      <c r="B344" s="6" t="s">
        <v>1290</v>
      </c>
      <c r="C344" s="7">
        <v>46105</v>
      </c>
      <c r="D344" s="9" t="s">
        <v>261</v>
      </c>
      <c r="E344" s="8" t="s">
        <v>64</v>
      </c>
      <c r="F344" s="9" t="s">
        <v>242</v>
      </c>
      <c r="G344" s="9">
        <v>2</v>
      </c>
      <c r="H344" s="6" t="s">
        <v>693</v>
      </c>
      <c r="I344" s="9" t="s">
        <v>244</v>
      </c>
      <c r="J344" s="9" t="s">
        <v>145</v>
      </c>
    </row>
    <row r="345" spans="1:10">
      <c r="A345" s="5" t="s">
        <v>813</v>
      </c>
      <c r="B345" s="6" t="s">
        <v>1290</v>
      </c>
      <c r="C345" s="7">
        <v>46105</v>
      </c>
      <c r="D345" s="9" t="s">
        <v>270</v>
      </c>
      <c r="E345" s="8" t="s">
        <v>271</v>
      </c>
      <c r="F345" s="9" t="s">
        <v>242</v>
      </c>
      <c r="G345" s="9">
        <v>2</v>
      </c>
      <c r="H345" s="6" t="s">
        <v>693</v>
      </c>
      <c r="I345" s="9" t="s">
        <v>244</v>
      </c>
      <c r="J345" s="9" t="s">
        <v>145</v>
      </c>
    </row>
    <row r="346" spans="1:10">
      <c r="A346" s="5" t="s">
        <v>815</v>
      </c>
      <c r="B346" s="6" t="s">
        <v>1291</v>
      </c>
      <c r="C346" s="7">
        <v>46105</v>
      </c>
      <c r="D346" s="9" t="s">
        <v>261</v>
      </c>
      <c r="E346" s="8" t="s">
        <v>62</v>
      </c>
      <c r="F346" s="9" t="s">
        <v>242</v>
      </c>
      <c r="G346" s="9">
        <v>18</v>
      </c>
      <c r="H346" s="6" t="s">
        <v>722</v>
      </c>
      <c r="I346" s="9" t="s">
        <v>275</v>
      </c>
      <c r="J346" s="9" t="s">
        <v>145</v>
      </c>
    </row>
    <row r="347" spans="1:10">
      <c r="A347" s="5" t="s">
        <v>816</v>
      </c>
      <c r="B347" s="6" t="s">
        <v>804</v>
      </c>
      <c r="C347" s="7">
        <v>46105</v>
      </c>
      <c r="D347" s="9" t="s">
        <v>261</v>
      </c>
      <c r="E347" s="4" t="s">
        <v>62</v>
      </c>
      <c r="F347" s="9" t="s">
        <v>242</v>
      </c>
      <c r="G347" s="9">
        <v>2</v>
      </c>
      <c r="H347" s="6" t="s">
        <v>722</v>
      </c>
      <c r="I347" s="9" t="s">
        <v>514</v>
      </c>
      <c r="J347" s="9" t="s">
        <v>145</v>
      </c>
    </row>
    <row r="348" spans="1:10">
      <c r="A348" s="5" t="s">
        <v>817</v>
      </c>
      <c r="B348" s="6" t="s">
        <v>1292</v>
      </c>
      <c r="C348" s="7">
        <v>46105</v>
      </c>
      <c r="D348" s="9" t="s">
        <v>500</v>
      </c>
      <c r="E348" s="4" t="s">
        <v>54</v>
      </c>
      <c r="F348" s="9" t="s">
        <v>242</v>
      </c>
      <c r="G348" s="9">
        <v>1</v>
      </c>
      <c r="H348" s="6" t="s">
        <v>1282</v>
      </c>
      <c r="I348" s="9" t="s">
        <v>616</v>
      </c>
      <c r="J348" s="9" t="s">
        <v>145</v>
      </c>
    </row>
    <row r="349" spans="1:10">
      <c r="A349" s="5" t="s">
        <v>818</v>
      </c>
      <c r="B349" s="6" t="s">
        <v>1292</v>
      </c>
      <c r="C349" s="7">
        <v>46105</v>
      </c>
      <c r="D349" s="9" t="s">
        <v>261</v>
      </c>
      <c r="E349" s="8" t="s">
        <v>62</v>
      </c>
      <c r="F349" s="9" t="s">
        <v>242</v>
      </c>
      <c r="G349" s="9">
        <v>3</v>
      </c>
      <c r="H349" s="6" t="s">
        <v>1282</v>
      </c>
      <c r="I349" s="9" t="s">
        <v>616</v>
      </c>
      <c r="J349" s="9" t="s">
        <v>145</v>
      </c>
    </row>
    <row r="350" spans="1:10">
      <c r="A350" s="5" t="s">
        <v>820</v>
      </c>
      <c r="B350" s="6" t="s">
        <v>1293</v>
      </c>
      <c r="C350" s="7">
        <v>46105</v>
      </c>
      <c r="D350" s="9" t="s">
        <v>696</v>
      </c>
      <c r="E350" s="8" t="s">
        <v>87</v>
      </c>
      <c r="F350" s="9" t="s">
        <v>242</v>
      </c>
      <c r="G350" s="9">
        <v>67</v>
      </c>
      <c r="H350" s="6" t="s">
        <v>1294</v>
      </c>
      <c r="I350" s="9" t="s">
        <v>514</v>
      </c>
      <c r="J350" s="9" t="s">
        <v>145</v>
      </c>
    </row>
    <row r="351" spans="1:10">
      <c r="A351" s="5" t="s">
        <v>821</v>
      </c>
      <c r="B351" s="6" t="s">
        <v>1293</v>
      </c>
      <c r="C351" s="7">
        <v>46105</v>
      </c>
      <c r="D351" s="9" t="s">
        <v>261</v>
      </c>
      <c r="E351" s="8" t="s">
        <v>62</v>
      </c>
      <c r="F351" s="9" t="s">
        <v>242</v>
      </c>
      <c r="G351" s="9">
        <v>2</v>
      </c>
      <c r="H351" s="6" t="s">
        <v>1294</v>
      </c>
      <c r="I351" s="9" t="s">
        <v>514</v>
      </c>
      <c r="J351" s="9" t="s">
        <v>145</v>
      </c>
    </row>
    <row r="352" spans="1:10">
      <c r="A352" s="5" t="s">
        <v>822</v>
      </c>
      <c r="B352" s="6" t="s">
        <v>1295</v>
      </c>
      <c r="C352" s="7">
        <v>46105</v>
      </c>
      <c r="D352" s="9" t="s">
        <v>261</v>
      </c>
      <c r="E352" s="4" t="s">
        <v>62</v>
      </c>
      <c r="F352" s="9" t="s">
        <v>242</v>
      </c>
      <c r="G352" s="9">
        <v>2</v>
      </c>
      <c r="H352" s="6" t="s">
        <v>722</v>
      </c>
      <c r="I352" s="9" t="s">
        <v>609</v>
      </c>
      <c r="J352" s="9" t="s">
        <v>145</v>
      </c>
    </row>
    <row r="353" spans="1:10">
      <c r="A353" s="5" t="s">
        <v>824</v>
      </c>
      <c r="B353" s="6" t="s">
        <v>1296</v>
      </c>
      <c r="C353" s="7">
        <v>46106</v>
      </c>
      <c r="D353" s="9" t="s">
        <v>500</v>
      </c>
      <c r="E353" s="8" t="s">
        <v>51</v>
      </c>
      <c r="F353" s="9" t="s">
        <v>242</v>
      </c>
      <c r="G353" s="9">
        <v>1</v>
      </c>
      <c r="H353" s="6" t="s">
        <v>693</v>
      </c>
      <c r="I353" s="9" t="s">
        <v>357</v>
      </c>
      <c r="J353" s="9" t="s">
        <v>145</v>
      </c>
    </row>
    <row r="354" spans="1:10">
      <c r="A354" s="5" t="s">
        <v>828</v>
      </c>
      <c r="B354" s="6" t="s">
        <v>1296</v>
      </c>
      <c r="C354" s="7">
        <v>46106</v>
      </c>
      <c r="D354" s="9" t="s">
        <v>261</v>
      </c>
      <c r="E354" s="4" t="s">
        <v>64</v>
      </c>
      <c r="F354" s="9" t="s">
        <v>242</v>
      </c>
      <c r="G354" s="9">
        <v>2</v>
      </c>
      <c r="H354" s="6" t="s">
        <v>693</v>
      </c>
      <c r="I354" s="9" t="s">
        <v>357</v>
      </c>
      <c r="J354" s="9" t="s">
        <v>145</v>
      </c>
    </row>
    <row r="355" spans="1:10">
      <c r="A355" s="5" t="s">
        <v>831</v>
      </c>
      <c r="B355" s="6" t="s">
        <v>1296</v>
      </c>
      <c r="C355" s="7">
        <v>46106</v>
      </c>
      <c r="D355" s="9" t="s">
        <v>270</v>
      </c>
      <c r="E355" s="8" t="s">
        <v>271</v>
      </c>
      <c r="F355" s="9" t="s">
        <v>242</v>
      </c>
      <c r="G355" s="9">
        <v>2</v>
      </c>
      <c r="H355" s="6" t="s">
        <v>693</v>
      </c>
      <c r="I355" s="9" t="s">
        <v>357</v>
      </c>
      <c r="J355" s="9" t="s">
        <v>145</v>
      </c>
    </row>
    <row r="356" spans="1:10">
      <c r="A356" s="5" t="s">
        <v>833</v>
      </c>
      <c r="B356" s="6" t="s">
        <v>1297</v>
      </c>
      <c r="C356" s="7">
        <v>46106</v>
      </c>
      <c r="D356" s="9" t="s">
        <v>500</v>
      </c>
      <c r="E356" s="4" t="s">
        <v>50</v>
      </c>
      <c r="F356" s="9" t="s">
        <v>242</v>
      </c>
      <c r="G356" s="9">
        <v>1</v>
      </c>
      <c r="H356" s="6" t="s">
        <v>1298</v>
      </c>
      <c r="I356" s="9" t="s">
        <v>253</v>
      </c>
      <c r="J356" s="9" t="s">
        <v>145</v>
      </c>
    </row>
    <row r="357" spans="1:10">
      <c r="A357" s="5" t="s">
        <v>836</v>
      </c>
      <c r="B357" s="6" t="s">
        <v>1297</v>
      </c>
      <c r="C357" s="7">
        <v>46106</v>
      </c>
      <c r="D357" s="9" t="s">
        <v>261</v>
      </c>
      <c r="E357" s="8" t="s">
        <v>64</v>
      </c>
      <c r="F357" s="9" t="s">
        <v>242</v>
      </c>
      <c r="G357" s="9">
        <v>2</v>
      </c>
      <c r="H357" s="6" t="s">
        <v>1298</v>
      </c>
      <c r="I357" s="9" t="s">
        <v>253</v>
      </c>
      <c r="J357" s="9" t="s">
        <v>145</v>
      </c>
    </row>
    <row r="358" spans="1:10">
      <c r="A358" s="5" t="s">
        <v>839</v>
      </c>
      <c r="B358" s="6" t="s">
        <v>1297</v>
      </c>
      <c r="C358" s="7">
        <v>46106</v>
      </c>
      <c r="D358" s="9" t="s">
        <v>270</v>
      </c>
      <c r="E358" s="8" t="s">
        <v>271</v>
      </c>
      <c r="F358" s="9" t="s">
        <v>242</v>
      </c>
      <c r="G358" s="9">
        <v>2</v>
      </c>
      <c r="H358" s="6" t="s">
        <v>1298</v>
      </c>
      <c r="I358" s="9" t="s">
        <v>253</v>
      </c>
      <c r="J358" s="9" t="s">
        <v>145</v>
      </c>
    </row>
    <row r="359" spans="1:10">
      <c r="A359" s="5" t="s">
        <v>840</v>
      </c>
      <c r="B359" s="6" t="s">
        <v>1297</v>
      </c>
      <c r="C359" s="7">
        <v>46106</v>
      </c>
      <c r="D359" s="9" t="s">
        <v>261</v>
      </c>
      <c r="E359" s="8" t="s">
        <v>62</v>
      </c>
      <c r="F359" s="9" t="s">
        <v>242</v>
      </c>
      <c r="G359" s="9">
        <v>4</v>
      </c>
      <c r="H359" s="6" t="s">
        <v>1298</v>
      </c>
      <c r="I359" s="9" t="s">
        <v>253</v>
      </c>
      <c r="J359" s="9" t="s">
        <v>145</v>
      </c>
    </row>
    <row r="360" spans="1:10">
      <c r="A360" s="5" t="s">
        <v>841</v>
      </c>
      <c r="B360" s="6" t="s">
        <v>1299</v>
      </c>
      <c r="C360" s="7">
        <v>46106</v>
      </c>
      <c r="D360" s="9" t="s">
        <v>500</v>
      </c>
      <c r="E360" s="8" t="s">
        <v>51</v>
      </c>
      <c r="F360" s="9" t="s">
        <v>242</v>
      </c>
      <c r="G360" s="9">
        <v>1</v>
      </c>
      <c r="H360" s="6" t="s">
        <v>1300</v>
      </c>
      <c r="I360" s="9" t="s">
        <v>253</v>
      </c>
      <c r="J360" s="9" t="s">
        <v>145</v>
      </c>
    </row>
    <row r="361" spans="1:10">
      <c r="A361" s="5" t="s">
        <v>842</v>
      </c>
      <c r="B361" s="6" t="s">
        <v>1299</v>
      </c>
      <c r="C361" s="7">
        <v>46106</v>
      </c>
      <c r="D361" s="9" t="s">
        <v>261</v>
      </c>
      <c r="E361" s="8" t="s">
        <v>64</v>
      </c>
      <c r="F361" s="9" t="s">
        <v>242</v>
      </c>
      <c r="G361" s="9">
        <v>2</v>
      </c>
      <c r="H361" s="6" t="s">
        <v>1300</v>
      </c>
      <c r="I361" s="9" t="s">
        <v>253</v>
      </c>
      <c r="J361" s="9" t="s">
        <v>145</v>
      </c>
    </row>
    <row r="362" spans="1:10">
      <c r="A362" s="5" t="s">
        <v>844</v>
      </c>
      <c r="B362" s="6" t="s">
        <v>1299</v>
      </c>
      <c r="C362" s="7">
        <v>46106</v>
      </c>
      <c r="D362" s="9" t="s">
        <v>270</v>
      </c>
      <c r="E362" s="4" t="s">
        <v>271</v>
      </c>
      <c r="F362" s="9" t="s">
        <v>242</v>
      </c>
      <c r="G362" s="9">
        <v>2</v>
      </c>
      <c r="H362" s="6" t="s">
        <v>1300</v>
      </c>
      <c r="I362" s="9" t="s">
        <v>253</v>
      </c>
      <c r="J362" s="9" t="s">
        <v>145</v>
      </c>
    </row>
    <row r="363" spans="1:10">
      <c r="A363" s="5" t="s">
        <v>847</v>
      </c>
      <c r="B363" s="6" t="s">
        <v>1301</v>
      </c>
      <c r="C363" s="7">
        <v>46106</v>
      </c>
      <c r="D363" s="9" t="s">
        <v>261</v>
      </c>
      <c r="E363" s="8" t="s">
        <v>62</v>
      </c>
      <c r="F363" s="9" t="s">
        <v>242</v>
      </c>
      <c r="G363" s="9">
        <v>2</v>
      </c>
      <c r="H363" s="6" t="s">
        <v>722</v>
      </c>
      <c r="I363" s="9" t="s">
        <v>311</v>
      </c>
      <c r="J363" s="9" t="s">
        <v>145</v>
      </c>
    </row>
    <row r="364" spans="1:10">
      <c r="A364" s="5" t="s">
        <v>849</v>
      </c>
      <c r="B364" s="6" t="s">
        <v>1301</v>
      </c>
      <c r="C364" s="7">
        <v>46106</v>
      </c>
      <c r="D364" s="9" t="s">
        <v>261</v>
      </c>
      <c r="E364" s="8" t="s">
        <v>281</v>
      </c>
      <c r="F364" s="9" t="s">
        <v>242</v>
      </c>
      <c r="G364" s="9">
        <v>4</v>
      </c>
      <c r="H364" s="6" t="s">
        <v>722</v>
      </c>
      <c r="I364" s="9" t="s">
        <v>311</v>
      </c>
      <c r="J364" s="9" t="s">
        <v>145</v>
      </c>
    </row>
    <row r="365" spans="1:10">
      <c r="A365" s="5" t="s">
        <v>852</v>
      </c>
      <c r="B365" s="6" t="s">
        <v>1302</v>
      </c>
      <c r="C365" s="7">
        <v>46106</v>
      </c>
      <c r="D365" s="9" t="s">
        <v>261</v>
      </c>
      <c r="E365" s="8" t="s">
        <v>62</v>
      </c>
      <c r="F365" s="9" t="s">
        <v>242</v>
      </c>
      <c r="G365" s="9">
        <v>5</v>
      </c>
      <c r="H365" s="6" t="s">
        <v>722</v>
      </c>
      <c r="I365" s="9" t="s">
        <v>616</v>
      </c>
      <c r="J365" s="9" t="s">
        <v>145</v>
      </c>
    </row>
    <row r="366" spans="1:10">
      <c r="A366" s="5" t="s">
        <v>853</v>
      </c>
      <c r="B366" s="6" t="s">
        <v>1303</v>
      </c>
      <c r="C366" s="7">
        <v>46106</v>
      </c>
      <c r="D366" s="9" t="s">
        <v>500</v>
      </c>
      <c r="E366" s="8" t="s">
        <v>54</v>
      </c>
      <c r="F366" s="9" t="s">
        <v>242</v>
      </c>
      <c r="G366" s="9">
        <v>1</v>
      </c>
      <c r="H366" s="6" t="s">
        <v>1304</v>
      </c>
      <c r="I366" s="9" t="s">
        <v>616</v>
      </c>
      <c r="J366" s="9" t="s">
        <v>145</v>
      </c>
    </row>
    <row r="367" spans="1:10">
      <c r="A367" s="5" t="s">
        <v>856</v>
      </c>
      <c r="B367" s="6" t="s">
        <v>1303</v>
      </c>
      <c r="C367" s="7">
        <v>46106</v>
      </c>
      <c r="D367" s="9" t="s">
        <v>261</v>
      </c>
      <c r="E367" s="8" t="s">
        <v>62</v>
      </c>
      <c r="F367" s="9" t="s">
        <v>242</v>
      </c>
      <c r="G367" s="9">
        <v>1</v>
      </c>
      <c r="H367" s="6" t="s">
        <v>1304</v>
      </c>
      <c r="I367" s="9" t="s">
        <v>616</v>
      </c>
      <c r="J367" s="9" t="s">
        <v>145</v>
      </c>
    </row>
    <row r="368" spans="1:10">
      <c r="A368" s="5" t="s">
        <v>857</v>
      </c>
      <c r="B368" s="6" t="s">
        <v>1305</v>
      </c>
      <c r="C368" s="7">
        <v>46106</v>
      </c>
      <c r="D368" s="9" t="s">
        <v>500</v>
      </c>
      <c r="E368" s="8" t="s">
        <v>3</v>
      </c>
      <c r="F368" s="9" t="s">
        <v>242</v>
      </c>
      <c r="G368" s="9">
        <v>1</v>
      </c>
      <c r="H368" s="6" t="s">
        <v>1306</v>
      </c>
      <c r="I368" s="9" t="s">
        <v>415</v>
      </c>
      <c r="J368" s="9" t="s">
        <v>145</v>
      </c>
    </row>
    <row r="369" spans="1:10">
      <c r="A369" s="5" t="s">
        <v>858</v>
      </c>
      <c r="B369" s="6" t="s">
        <v>1305</v>
      </c>
      <c r="C369" s="7">
        <v>46106</v>
      </c>
      <c r="D369" s="9" t="s">
        <v>261</v>
      </c>
      <c r="E369" s="8" t="s">
        <v>64</v>
      </c>
      <c r="F369" s="9" t="s">
        <v>242</v>
      </c>
      <c r="G369" s="9">
        <v>3</v>
      </c>
      <c r="H369" s="6" t="s">
        <v>1306</v>
      </c>
      <c r="I369" s="9" t="s">
        <v>415</v>
      </c>
      <c r="J369" s="9" t="s">
        <v>145</v>
      </c>
    </row>
    <row r="370" spans="1:10">
      <c r="A370" s="5" t="s">
        <v>860</v>
      </c>
      <c r="B370" s="6" t="s">
        <v>1305</v>
      </c>
      <c r="C370" s="7">
        <v>46106</v>
      </c>
      <c r="D370" s="9" t="s">
        <v>270</v>
      </c>
      <c r="E370" s="8" t="s">
        <v>271</v>
      </c>
      <c r="F370" s="9" t="s">
        <v>242</v>
      </c>
      <c r="G370" s="9">
        <v>3</v>
      </c>
      <c r="H370" s="6" t="s">
        <v>1306</v>
      </c>
      <c r="I370" s="9" t="s">
        <v>415</v>
      </c>
      <c r="J370" s="9" t="s">
        <v>145</v>
      </c>
    </row>
    <row r="371" spans="1:10">
      <c r="A371" s="5" t="s">
        <v>862</v>
      </c>
      <c r="B371" s="6" t="s">
        <v>1307</v>
      </c>
      <c r="C371" s="7">
        <v>46107</v>
      </c>
      <c r="D371" s="9" t="s">
        <v>696</v>
      </c>
      <c r="E371" s="4" t="s">
        <v>88</v>
      </c>
      <c r="F371" s="9" t="s">
        <v>242</v>
      </c>
      <c r="G371" s="9">
        <v>80</v>
      </c>
      <c r="H371" s="6" t="s">
        <v>1308</v>
      </c>
      <c r="I371" s="9" t="s">
        <v>258</v>
      </c>
      <c r="J371" s="9" t="s">
        <v>145</v>
      </c>
    </row>
    <row r="372" spans="1:10">
      <c r="A372" s="5" t="s">
        <v>863</v>
      </c>
      <c r="B372" s="6" t="s">
        <v>1307</v>
      </c>
      <c r="C372" s="7">
        <v>46107</v>
      </c>
      <c r="D372" s="9" t="s">
        <v>261</v>
      </c>
      <c r="E372" s="8" t="s">
        <v>281</v>
      </c>
      <c r="F372" s="9" t="s">
        <v>242</v>
      </c>
      <c r="G372" s="9">
        <v>4</v>
      </c>
      <c r="H372" s="6" t="s">
        <v>1308</v>
      </c>
      <c r="I372" s="9" t="s">
        <v>258</v>
      </c>
      <c r="J372" s="9" t="s">
        <v>145</v>
      </c>
    </row>
    <row r="373" spans="1:10">
      <c r="A373" s="5" t="s">
        <v>864</v>
      </c>
      <c r="B373" s="6" t="s">
        <v>1309</v>
      </c>
      <c r="C373" s="7">
        <v>46107</v>
      </c>
      <c r="D373" s="9" t="s">
        <v>696</v>
      </c>
      <c r="E373" s="8" t="s">
        <v>88</v>
      </c>
      <c r="F373" s="9" t="s">
        <v>242</v>
      </c>
      <c r="G373" s="9">
        <v>70</v>
      </c>
      <c r="H373" s="6" t="s">
        <v>1310</v>
      </c>
      <c r="I373" s="9" t="s">
        <v>258</v>
      </c>
      <c r="J373" s="9" t="s">
        <v>145</v>
      </c>
    </row>
    <row r="374" spans="1:10">
      <c r="A374" s="5" t="s">
        <v>867</v>
      </c>
      <c r="B374" s="6" t="s">
        <v>1309</v>
      </c>
      <c r="C374" s="7">
        <v>46107</v>
      </c>
      <c r="D374" s="9" t="s">
        <v>261</v>
      </c>
      <c r="E374" s="8" t="s">
        <v>281</v>
      </c>
      <c r="F374" s="9" t="s">
        <v>242</v>
      </c>
      <c r="G374" s="9">
        <v>4</v>
      </c>
      <c r="H374" s="6" t="s">
        <v>1310</v>
      </c>
      <c r="I374" s="9" t="s">
        <v>258</v>
      </c>
      <c r="J374" s="9" t="s">
        <v>145</v>
      </c>
    </row>
    <row r="375" spans="1:10">
      <c r="A375" s="5" t="s">
        <v>868</v>
      </c>
      <c r="B375" s="6" t="s">
        <v>1311</v>
      </c>
      <c r="C375" s="7">
        <v>46107</v>
      </c>
      <c r="D375" s="9" t="s">
        <v>261</v>
      </c>
      <c r="E375" s="8" t="s">
        <v>62</v>
      </c>
      <c r="F375" s="9" t="s">
        <v>242</v>
      </c>
      <c r="G375" s="9">
        <v>2</v>
      </c>
      <c r="H375" s="6" t="s">
        <v>1108</v>
      </c>
      <c r="I375" s="9" t="s">
        <v>258</v>
      </c>
      <c r="J375" s="9" t="s">
        <v>145</v>
      </c>
    </row>
    <row r="376" spans="1:10">
      <c r="A376" s="5" t="s">
        <v>869</v>
      </c>
      <c r="B376" s="6" t="s">
        <v>1311</v>
      </c>
      <c r="C376" s="7">
        <v>46107</v>
      </c>
      <c r="D376" s="9" t="s">
        <v>696</v>
      </c>
      <c r="E376" s="8" t="s">
        <v>87</v>
      </c>
      <c r="F376" s="9" t="s">
        <v>242</v>
      </c>
      <c r="G376" s="9">
        <v>45</v>
      </c>
      <c r="H376" s="6" t="s">
        <v>1108</v>
      </c>
      <c r="I376" s="9" t="s">
        <v>258</v>
      </c>
      <c r="J376" s="9" t="s">
        <v>145</v>
      </c>
    </row>
    <row r="377" spans="1:10">
      <c r="A377" s="5" t="s">
        <v>872</v>
      </c>
      <c r="B377" s="6" t="s">
        <v>1312</v>
      </c>
      <c r="C377" s="7">
        <v>46107</v>
      </c>
      <c r="D377" s="9" t="s">
        <v>261</v>
      </c>
      <c r="E377" s="8" t="s">
        <v>62</v>
      </c>
      <c r="F377" s="9" t="s">
        <v>242</v>
      </c>
      <c r="G377" s="9">
        <v>3</v>
      </c>
      <c r="H377" s="6" t="s">
        <v>722</v>
      </c>
      <c r="I377" s="9" t="s">
        <v>289</v>
      </c>
      <c r="J377" s="9" t="s">
        <v>145</v>
      </c>
    </row>
    <row r="378" spans="1:10">
      <c r="A378" s="5" t="s">
        <v>874</v>
      </c>
      <c r="B378" s="6" t="s">
        <v>1313</v>
      </c>
      <c r="C378" s="7">
        <v>46107</v>
      </c>
      <c r="D378" s="9" t="s">
        <v>261</v>
      </c>
      <c r="E378" s="8" t="s">
        <v>62</v>
      </c>
      <c r="F378" s="9" t="s">
        <v>242</v>
      </c>
      <c r="G378" s="9">
        <v>4</v>
      </c>
      <c r="H378" s="6" t="s">
        <v>722</v>
      </c>
      <c r="I378" s="9" t="s">
        <v>289</v>
      </c>
      <c r="J378" s="9" t="s">
        <v>145</v>
      </c>
    </row>
    <row r="379" spans="1:10">
      <c r="A379" s="5" t="s">
        <v>877</v>
      </c>
      <c r="B379" s="6" t="s">
        <v>1313</v>
      </c>
      <c r="C379" s="7">
        <v>46107</v>
      </c>
      <c r="D379" s="9" t="s">
        <v>261</v>
      </c>
      <c r="E379" s="4" t="s">
        <v>281</v>
      </c>
      <c r="F379" s="9" t="s">
        <v>242</v>
      </c>
      <c r="G379" s="9">
        <v>5</v>
      </c>
      <c r="H379" s="6" t="s">
        <v>722</v>
      </c>
      <c r="I379" s="9" t="s">
        <v>289</v>
      </c>
      <c r="J379" s="9" t="s">
        <v>145</v>
      </c>
    </row>
    <row r="380" spans="1:10">
      <c r="A380" s="5" t="s">
        <v>878</v>
      </c>
      <c r="B380" s="6" t="s">
        <v>1314</v>
      </c>
      <c r="C380" s="7">
        <v>46107</v>
      </c>
      <c r="D380" s="9" t="s">
        <v>261</v>
      </c>
      <c r="E380" s="8" t="s">
        <v>62</v>
      </c>
      <c r="F380" s="9" t="s">
        <v>242</v>
      </c>
      <c r="G380" s="9">
        <v>4</v>
      </c>
      <c r="H380" s="6" t="s">
        <v>722</v>
      </c>
      <c r="I380" s="9" t="s">
        <v>289</v>
      </c>
      <c r="J380" s="9" t="s">
        <v>145</v>
      </c>
    </row>
    <row r="381" spans="1:10">
      <c r="A381" s="5" t="s">
        <v>880</v>
      </c>
      <c r="B381" s="6" t="s">
        <v>1315</v>
      </c>
      <c r="C381" s="7">
        <v>46107</v>
      </c>
      <c r="D381" s="9" t="s">
        <v>905</v>
      </c>
      <c r="E381" s="8" t="s">
        <v>208</v>
      </c>
      <c r="F381" s="9" t="s">
        <v>242</v>
      </c>
      <c r="G381" s="9">
        <v>12</v>
      </c>
      <c r="H381" s="6" t="s">
        <v>1316</v>
      </c>
      <c r="I381" s="9" t="s">
        <v>311</v>
      </c>
      <c r="J381" s="9" t="s">
        <v>145</v>
      </c>
    </row>
    <row r="382" spans="1:10">
      <c r="A382" s="5" t="s">
        <v>882</v>
      </c>
      <c r="B382" s="6" t="s">
        <v>1317</v>
      </c>
      <c r="C382" s="7">
        <v>46107</v>
      </c>
      <c r="D382" s="9" t="s">
        <v>905</v>
      </c>
      <c r="E382" s="8" t="s">
        <v>208</v>
      </c>
      <c r="F382" s="9" t="s">
        <v>242</v>
      </c>
      <c r="G382" s="9">
        <v>8</v>
      </c>
      <c r="H382" s="6" t="s">
        <v>1316</v>
      </c>
      <c r="I382" s="9" t="s">
        <v>918</v>
      </c>
      <c r="J382" s="9" t="s">
        <v>145</v>
      </c>
    </row>
    <row r="383" spans="1:10">
      <c r="A383" s="5" t="s">
        <v>884</v>
      </c>
      <c r="B383" s="6" t="s">
        <v>1315</v>
      </c>
      <c r="C383" s="7">
        <v>46107</v>
      </c>
      <c r="D383" s="9" t="s">
        <v>905</v>
      </c>
      <c r="E383" s="8" t="s">
        <v>209</v>
      </c>
      <c r="F383" s="9" t="s">
        <v>242</v>
      </c>
      <c r="G383" s="9">
        <v>5</v>
      </c>
      <c r="H383" s="6" t="s">
        <v>1316</v>
      </c>
      <c r="I383" s="9" t="s">
        <v>532</v>
      </c>
      <c r="J383" s="9" t="s">
        <v>145</v>
      </c>
    </row>
    <row r="384" spans="1:10">
      <c r="A384" s="5" t="s">
        <v>886</v>
      </c>
      <c r="B384" s="6" t="s">
        <v>1317</v>
      </c>
      <c r="C384" s="7">
        <v>46107</v>
      </c>
      <c r="D384" s="9" t="s">
        <v>905</v>
      </c>
      <c r="E384" s="8" t="s">
        <v>216</v>
      </c>
      <c r="F384" s="9" t="s">
        <v>242</v>
      </c>
      <c r="G384" s="9">
        <v>6</v>
      </c>
      <c r="H384" s="6" t="s">
        <v>1316</v>
      </c>
      <c r="I384" s="9" t="s">
        <v>830</v>
      </c>
      <c r="J384" s="9" t="s">
        <v>145</v>
      </c>
    </row>
    <row r="385" spans="1:10">
      <c r="A385" s="5" t="s">
        <v>887</v>
      </c>
      <c r="B385" s="6" t="s">
        <v>1318</v>
      </c>
      <c r="C385" s="7">
        <v>46107</v>
      </c>
      <c r="D385" s="9" t="s">
        <v>905</v>
      </c>
      <c r="E385" s="8" t="s">
        <v>66</v>
      </c>
      <c r="F385" s="9" t="s">
        <v>242</v>
      </c>
      <c r="G385" s="9">
        <v>55</v>
      </c>
      <c r="H385" s="6" t="s">
        <v>1319</v>
      </c>
      <c r="I385" s="9" t="s">
        <v>918</v>
      </c>
      <c r="J385" s="9" t="s">
        <v>145</v>
      </c>
    </row>
    <row r="386" spans="1:10">
      <c r="A386" s="5" t="s">
        <v>889</v>
      </c>
      <c r="B386" s="6" t="s">
        <v>1320</v>
      </c>
      <c r="C386" s="7">
        <v>46107</v>
      </c>
      <c r="D386" s="9" t="s">
        <v>905</v>
      </c>
      <c r="E386" s="8" t="s">
        <v>66</v>
      </c>
      <c r="F386" s="9" t="s">
        <v>242</v>
      </c>
      <c r="G386" s="9">
        <v>55</v>
      </c>
      <c r="H386" s="6" t="s">
        <v>1319</v>
      </c>
      <c r="I386" s="9" t="s">
        <v>830</v>
      </c>
      <c r="J386" s="9" t="s">
        <v>145</v>
      </c>
    </row>
    <row r="387" spans="1:10" hidden="1">
      <c r="A387" s="5"/>
      <c r="B387" s="6"/>
      <c r="C387" s="7"/>
      <c r="D387" s="9"/>
      <c r="E387" s="8"/>
      <c r="F387" s="9"/>
      <c r="G387" s="9"/>
      <c r="H387" s="6"/>
      <c r="I387" s="9"/>
      <c r="J387" s="9" t="s">
        <v>145</v>
      </c>
    </row>
    <row r="388" spans="1:10" hidden="1">
      <c r="A388" s="5"/>
      <c r="B388" s="6"/>
      <c r="C388" s="7"/>
      <c r="D388" s="9"/>
      <c r="E388" s="8"/>
      <c r="F388" s="9"/>
      <c r="G388" s="9"/>
      <c r="H388" s="6"/>
      <c r="I388" s="9"/>
      <c r="J388" s="9" t="s">
        <v>145</v>
      </c>
    </row>
    <row r="389" spans="1:10" hidden="1">
      <c r="A389" s="5"/>
      <c r="B389" s="6"/>
      <c r="C389" s="7"/>
      <c r="D389" s="9"/>
      <c r="E389" s="8"/>
      <c r="F389" s="9"/>
      <c r="G389" s="9"/>
      <c r="H389" s="6"/>
      <c r="I389" s="9"/>
      <c r="J389" s="9" t="s">
        <v>145</v>
      </c>
    </row>
    <row r="390" spans="1:10" hidden="1">
      <c r="A390" s="5"/>
      <c r="B390" s="6"/>
      <c r="C390" s="7"/>
      <c r="D390" s="9"/>
      <c r="E390" s="8"/>
      <c r="F390" s="9"/>
      <c r="G390" s="9"/>
      <c r="H390" s="6"/>
      <c r="I390" s="9"/>
      <c r="J390" s="9" t="s">
        <v>145</v>
      </c>
    </row>
    <row r="391" spans="1:10" hidden="1">
      <c r="A391" s="5"/>
      <c r="B391" s="6"/>
      <c r="C391" s="7"/>
      <c r="D391" s="9"/>
      <c r="E391" s="4"/>
      <c r="F391" s="9"/>
      <c r="G391" s="9"/>
      <c r="H391" s="6"/>
      <c r="I391" s="9"/>
      <c r="J391" s="9" t="s">
        <v>145</v>
      </c>
    </row>
    <row r="392" spans="1:10" hidden="1">
      <c r="A392" s="5"/>
      <c r="B392" s="6"/>
      <c r="C392" s="7"/>
      <c r="D392" s="9"/>
      <c r="E392" s="4"/>
      <c r="F392" s="9"/>
      <c r="G392" s="9"/>
      <c r="H392" s="6"/>
      <c r="I392" s="9"/>
      <c r="J392" s="9" t="s">
        <v>145</v>
      </c>
    </row>
    <row r="393" spans="1:10" hidden="1">
      <c r="A393" s="5"/>
      <c r="B393" s="6"/>
      <c r="C393" s="7"/>
      <c r="D393" s="9"/>
      <c r="E393" s="8"/>
      <c r="F393" s="9"/>
      <c r="G393" s="9"/>
      <c r="H393" s="6"/>
      <c r="I393" s="9"/>
      <c r="J393" s="9" t="s">
        <v>145</v>
      </c>
    </row>
    <row r="394" spans="1:10" hidden="1">
      <c r="A394" s="5"/>
      <c r="B394" s="6"/>
      <c r="C394" s="7"/>
      <c r="D394" s="9"/>
      <c r="E394" s="8"/>
      <c r="F394" s="9"/>
      <c r="G394" s="9"/>
      <c r="H394" s="6"/>
      <c r="I394" s="9"/>
      <c r="J394" s="9" t="s">
        <v>145</v>
      </c>
    </row>
    <row r="395" spans="1:10" hidden="1">
      <c r="A395" s="5"/>
      <c r="B395" s="6"/>
      <c r="C395" s="7"/>
      <c r="D395" s="9"/>
      <c r="E395" s="8"/>
      <c r="F395" s="9"/>
      <c r="G395" s="9"/>
      <c r="H395" s="6"/>
      <c r="I395" s="9"/>
      <c r="J395" s="9" t="s">
        <v>145</v>
      </c>
    </row>
    <row r="396" spans="1:10" hidden="1">
      <c r="A396" s="5"/>
      <c r="B396" s="6"/>
      <c r="C396" s="7"/>
      <c r="D396" s="9"/>
      <c r="E396" s="4"/>
      <c r="F396" s="9"/>
      <c r="G396" s="9"/>
      <c r="H396" s="6"/>
      <c r="I396" s="9"/>
      <c r="J396" s="9" t="s">
        <v>145</v>
      </c>
    </row>
    <row r="397" spans="1:10" hidden="1">
      <c r="A397" s="5"/>
      <c r="B397" s="6"/>
      <c r="C397" s="7"/>
      <c r="D397" s="9"/>
      <c r="E397" s="8"/>
      <c r="F397" s="9"/>
      <c r="G397" s="9"/>
      <c r="H397" s="6"/>
      <c r="I397" s="9"/>
      <c r="J397" s="9" t="s">
        <v>145</v>
      </c>
    </row>
    <row r="398" spans="1:10" hidden="1">
      <c r="A398" s="5"/>
      <c r="B398" s="6"/>
      <c r="C398" s="7"/>
      <c r="D398" s="9"/>
      <c r="E398" s="8"/>
      <c r="F398" s="9"/>
      <c r="G398" s="9"/>
      <c r="H398" s="6"/>
      <c r="I398" s="9"/>
      <c r="J398" s="9" t="s">
        <v>145</v>
      </c>
    </row>
    <row r="399" spans="1:10" hidden="1">
      <c r="A399" s="5"/>
      <c r="B399" s="6"/>
      <c r="C399" s="7"/>
      <c r="D399" s="9"/>
      <c r="E399" s="8"/>
      <c r="F399" s="9"/>
      <c r="G399" s="9"/>
      <c r="H399" s="6"/>
      <c r="I399" s="9"/>
      <c r="J399" s="9" t="s">
        <v>145</v>
      </c>
    </row>
    <row r="400" spans="1:10" hidden="1">
      <c r="A400" s="5"/>
      <c r="B400" s="6"/>
      <c r="C400" s="7"/>
      <c r="D400" s="9"/>
      <c r="E400" s="4"/>
      <c r="F400" s="9"/>
      <c r="G400" s="9"/>
      <c r="H400" s="6"/>
      <c r="I400" s="9"/>
      <c r="J400" s="9" t="s">
        <v>145</v>
      </c>
    </row>
    <row r="401" spans="1:10" hidden="1">
      <c r="A401" s="5"/>
      <c r="B401" s="6"/>
      <c r="C401" s="7"/>
      <c r="D401" s="9"/>
      <c r="E401" s="8"/>
      <c r="F401" s="9"/>
      <c r="G401" s="9"/>
      <c r="H401" s="6"/>
      <c r="I401" s="9"/>
      <c r="J401" s="9" t="s">
        <v>145</v>
      </c>
    </row>
    <row r="402" spans="1:10" hidden="1">
      <c r="A402" s="5"/>
      <c r="B402" s="6"/>
      <c r="C402" s="7"/>
      <c r="D402" s="9"/>
      <c r="E402" s="4"/>
      <c r="F402" s="9"/>
      <c r="G402" s="9"/>
      <c r="H402" s="6"/>
      <c r="I402" s="9"/>
      <c r="J402" s="9" t="s">
        <v>145</v>
      </c>
    </row>
    <row r="403" spans="1:10" hidden="1">
      <c r="A403" s="5"/>
      <c r="B403" s="6"/>
      <c r="C403" s="7"/>
      <c r="D403" s="9"/>
      <c r="E403" s="8"/>
      <c r="F403" s="9"/>
      <c r="G403" s="9"/>
      <c r="H403" s="6"/>
      <c r="I403" s="9"/>
      <c r="J403" s="9" t="s">
        <v>145</v>
      </c>
    </row>
    <row r="404" spans="1:10" hidden="1">
      <c r="A404" s="5"/>
      <c r="B404" s="6"/>
      <c r="C404" s="7"/>
      <c r="D404" s="9"/>
      <c r="E404" s="4"/>
      <c r="F404" s="9"/>
      <c r="G404" s="9"/>
      <c r="H404" s="6"/>
      <c r="I404" s="9"/>
      <c r="J404" s="9" t="s">
        <v>145</v>
      </c>
    </row>
    <row r="405" spans="1:10" hidden="1">
      <c r="A405" s="5"/>
      <c r="B405" s="6"/>
      <c r="C405" s="7"/>
      <c r="D405" s="9"/>
      <c r="E405" s="8"/>
      <c r="F405" s="9"/>
      <c r="G405" s="9"/>
      <c r="H405" s="6"/>
      <c r="I405" s="9"/>
      <c r="J405" s="9" t="s">
        <v>145</v>
      </c>
    </row>
    <row r="406" spans="1:10" hidden="1">
      <c r="A406" s="5"/>
      <c r="B406" s="6"/>
      <c r="C406" s="7"/>
      <c r="D406" s="9"/>
      <c r="E406" s="8"/>
      <c r="F406" s="9"/>
      <c r="G406" s="9"/>
      <c r="H406" s="6"/>
      <c r="I406" s="9"/>
      <c r="J406" s="9" t="s">
        <v>145</v>
      </c>
    </row>
    <row r="407" spans="1:10" hidden="1">
      <c r="A407" s="5"/>
      <c r="B407" s="6"/>
      <c r="C407" s="7"/>
      <c r="D407" s="9"/>
      <c r="E407" s="4"/>
      <c r="F407" s="9"/>
      <c r="G407" s="9"/>
      <c r="H407" s="6"/>
      <c r="I407" s="9"/>
      <c r="J407" s="9" t="s">
        <v>145</v>
      </c>
    </row>
    <row r="408" spans="1:10" hidden="1">
      <c r="A408" s="5"/>
      <c r="B408" s="6"/>
      <c r="C408" s="7"/>
      <c r="D408" s="9"/>
      <c r="E408" s="8"/>
      <c r="F408" s="9"/>
      <c r="G408" s="9"/>
      <c r="H408" s="6"/>
      <c r="I408" s="9"/>
      <c r="J408" s="9" t="s">
        <v>145</v>
      </c>
    </row>
    <row r="409" spans="1:10" hidden="1">
      <c r="A409" s="5"/>
      <c r="B409" s="6"/>
      <c r="C409" s="7"/>
      <c r="D409" s="9"/>
      <c r="E409" s="4"/>
      <c r="F409" s="9"/>
      <c r="G409" s="9"/>
      <c r="H409" s="6"/>
      <c r="I409" s="9"/>
      <c r="J409" s="9" t="s">
        <v>145</v>
      </c>
    </row>
    <row r="410" spans="1:10" hidden="1">
      <c r="A410" s="5"/>
      <c r="B410" s="6"/>
      <c r="C410" s="7"/>
      <c r="D410" s="9"/>
      <c r="E410" s="8"/>
      <c r="F410" s="9"/>
      <c r="G410" s="9"/>
      <c r="H410" s="6"/>
      <c r="I410" s="9"/>
      <c r="J410" s="9" t="s">
        <v>145</v>
      </c>
    </row>
    <row r="411" spans="1:10" hidden="1">
      <c r="A411" s="5"/>
      <c r="B411" s="6"/>
      <c r="C411" s="7"/>
      <c r="D411" s="9"/>
      <c r="E411" s="4"/>
      <c r="F411" s="9"/>
      <c r="G411" s="9"/>
      <c r="H411" s="6"/>
      <c r="I411" s="9"/>
      <c r="J411" s="9" t="s">
        <v>145</v>
      </c>
    </row>
    <row r="412" spans="1:10" hidden="1">
      <c r="A412" s="5"/>
      <c r="B412" s="6"/>
      <c r="C412" s="7"/>
      <c r="D412" s="9"/>
      <c r="E412" s="8"/>
      <c r="F412" s="9"/>
      <c r="G412" s="9"/>
      <c r="H412" s="6"/>
      <c r="I412" s="9"/>
      <c r="J412" s="9" t="s">
        <v>145</v>
      </c>
    </row>
    <row r="413" spans="1:10" hidden="1">
      <c r="A413" s="5"/>
      <c r="B413" s="6"/>
      <c r="C413" s="7"/>
      <c r="D413" s="9"/>
      <c r="E413" s="8"/>
      <c r="F413" s="9"/>
      <c r="G413" s="9"/>
      <c r="H413" s="6"/>
      <c r="I413" s="9"/>
      <c r="J413" s="9" t="s">
        <v>145</v>
      </c>
    </row>
    <row r="414" spans="1:10" hidden="1">
      <c r="A414" s="5"/>
      <c r="B414" s="6"/>
      <c r="C414" s="7"/>
      <c r="D414" s="9"/>
      <c r="E414" s="8"/>
      <c r="F414" s="9"/>
      <c r="G414" s="9"/>
      <c r="H414" s="6"/>
      <c r="I414" s="9"/>
      <c r="J414" s="9" t="s">
        <v>145</v>
      </c>
    </row>
    <row r="415" spans="1:10" hidden="1">
      <c r="A415" s="5"/>
      <c r="B415" s="6"/>
      <c r="C415" s="7"/>
      <c r="D415" s="9"/>
      <c r="E415" s="8"/>
      <c r="F415" s="9"/>
      <c r="G415" s="9"/>
      <c r="H415" s="6"/>
      <c r="I415" s="9"/>
      <c r="J415" s="9" t="s">
        <v>145</v>
      </c>
    </row>
    <row r="416" spans="1:10" hidden="1">
      <c r="A416" s="5"/>
      <c r="B416" s="6"/>
      <c r="C416" s="7"/>
      <c r="D416" s="9"/>
      <c r="E416" s="8"/>
      <c r="F416" s="9"/>
      <c r="G416" s="9"/>
      <c r="H416" s="6"/>
      <c r="I416" s="9"/>
      <c r="J416" s="9" t="s">
        <v>145</v>
      </c>
    </row>
    <row r="417" spans="1:10" hidden="1">
      <c r="A417" s="5"/>
      <c r="B417" s="6"/>
      <c r="C417" s="7"/>
      <c r="D417" s="9"/>
      <c r="E417" s="8"/>
      <c r="F417" s="9"/>
      <c r="G417" s="9"/>
      <c r="H417" s="6"/>
      <c r="I417" s="9"/>
      <c r="J417" s="9" t="s">
        <v>145</v>
      </c>
    </row>
    <row r="418" spans="1:10" hidden="1">
      <c r="A418" s="5"/>
      <c r="B418" s="6"/>
      <c r="C418" s="7"/>
      <c r="D418" s="9"/>
      <c r="E418" s="8"/>
      <c r="F418" s="9"/>
      <c r="G418" s="9"/>
      <c r="H418" s="6"/>
      <c r="I418" s="9"/>
      <c r="J418" s="9" t="s">
        <v>145</v>
      </c>
    </row>
    <row r="419" spans="1:10" hidden="1">
      <c r="A419" s="5"/>
      <c r="B419" s="6"/>
      <c r="C419" s="7"/>
      <c r="D419" s="9"/>
      <c r="E419" s="4"/>
      <c r="F419" s="9"/>
      <c r="G419" s="9"/>
      <c r="H419" s="6"/>
      <c r="I419" s="9"/>
      <c r="J419" s="9" t="s">
        <v>145</v>
      </c>
    </row>
    <row r="420" spans="1:10" hidden="1">
      <c r="A420" s="5"/>
      <c r="B420" s="6"/>
      <c r="C420" s="7"/>
      <c r="D420" s="9"/>
      <c r="E420" s="8"/>
      <c r="F420" s="9"/>
      <c r="G420" s="9"/>
      <c r="H420" s="6"/>
      <c r="I420" s="9"/>
      <c r="J420" s="9" t="s">
        <v>145</v>
      </c>
    </row>
    <row r="421" spans="1:10" hidden="1">
      <c r="A421" s="5"/>
      <c r="B421" s="6"/>
      <c r="C421" s="7"/>
      <c r="D421" s="9"/>
      <c r="E421" s="8"/>
      <c r="F421" s="9"/>
      <c r="G421" s="9"/>
      <c r="H421" s="6"/>
      <c r="I421" s="9"/>
      <c r="J421" s="9" t="s">
        <v>145</v>
      </c>
    </row>
    <row r="422" spans="1:10" hidden="1">
      <c r="A422" s="5"/>
      <c r="B422" s="6"/>
      <c r="C422" s="7"/>
      <c r="D422" s="9"/>
      <c r="E422" s="8"/>
      <c r="F422" s="9"/>
      <c r="G422" s="9"/>
      <c r="H422" s="6"/>
      <c r="I422" s="9"/>
      <c r="J422" s="9" t="s">
        <v>145</v>
      </c>
    </row>
    <row r="423" spans="1:10" hidden="1">
      <c r="A423" s="5"/>
      <c r="B423" s="6"/>
      <c r="C423" s="7"/>
      <c r="D423" s="9"/>
      <c r="E423" s="4"/>
      <c r="F423" s="9"/>
      <c r="G423" s="9"/>
      <c r="H423" s="6"/>
      <c r="I423" s="9"/>
      <c r="J423" s="9" t="s">
        <v>145</v>
      </c>
    </row>
    <row r="424" spans="1:10" hidden="1">
      <c r="A424" s="5"/>
      <c r="B424" s="6"/>
      <c r="C424" s="7"/>
      <c r="D424" s="9"/>
      <c r="E424" s="8"/>
      <c r="F424" s="9"/>
      <c r="G424" s="9"/>
      <c r="H424" s="6"/>
      <c r="I424" s="9"/>
      <c r="J424" s="9" t="s">
        <v>145</v>
      </c>
    </row>
    <row r="425" spans="1:10" hidden="1">
      <c r="A425" s="5"/>
      <c r="B425" s="6"/>
      <c r="C425" s="7"/>
      <c r="D425" s="9"/>
      <c r="E425" s="8"/>
      <c r="F425" s="9"/>
      <c r="G425" s="9"/>
      <c r="H425" s="6"/>
      <c r="I425" s="9"/>
      <c r="J425" s="9" t="s">
        <v>145</v>
      </c>
    </row>
    <row r="426" spans="1:10" hidden="1">
      <c r="A426" s="5"/>
      <c r="B426" s="6"/>
      <c r="C426" s="7"/>
      <c r="D426" s="9"/>
      <c r="E426" s="8"/>
      <c r="F426" s="9"/>
      <c r="G426" s="9"/>
      <c r="H426" s="6"/>
      <c r="I426" s="9"/>
      <c r="J426" s="9" t="s">
        <v>145</v>
      </c>
    </row>
    <row r="427" spans="1:10" hidden="1">
      <c r="A427" s="5"/>
      <c r="B427" s="6"/>
      <c r="C427" s="7"/>
      <c r="D427" s="9"/>
      <c r="E427" s="8"/>
      <c r="F427" s="9"/>
      <c r="G427" s="9"/>
      <c r="H427" s="6"/>
      <c r="I427" s="9"/>
      <c r="J427" s="9" t="s">
        <v>145</v>
      </c>
    </row>
    <row r="428" spans="1:10" hidden="1">
      <c r="A428" s="5"/>
      <c r="B428" s="6"/>
      <c r="C428" s="7"/>
      <c r="D428" s="9"/>
      <c r="E428" s="8"/>
      <c r="F428" s="9"/>
      <c r="G428" s="9"/>
      <c r="H428" s="6"/>
      <c r="I428" s="9"/>
      <c r="J428" s="9" t="s">
        <v>145</v>
      </c>
    </row>
    <row r="429" spans="1:10" hidden="1">
      <c r="A429" s="5"/>
      <c r="B429" s="6"/>
      <c r="C429" s="7"/>
      <c r="D429" s="9"/>
      <c r="E429" s="8"/>
      <c r="F429" s="9"/>
      <c r="G429" s="9"/>
      <c r="H429" s="6"/>
      <c r="I429" s="9"/>
      <c r="J429" s="9" t="s">
        <v>145</v>
      </c>
    </row>
    <row r="430" spans="1:10" hidden="1">
      <c r="A430" s="5"/>
      <c r="B430" s="6"/>
      <c r="C430" s="7"/>
      <c r="D430" s="9"/>
      <c r="E430" s="4"/>
      <c r="F430" s="9"/>
      <c r="G430" s="9"/>
      <c r="H430" s="6"/>
      <c r="I430" s="9"/>
      <c r="J430" s="9" t="s">
        <v>145</v>
      </c>
    </row>
    <row r="431" spans="1:10" hidden="1">
      <c r="A431" s="5"/>
      <c r="B431" s="6"/>
      <c r="C431" s="7"/>
      <c r="D431" s="9"/>
      <c r="E431" s="8"/>
      <c r="F431" s="9"/>
      <c r="G431" s="9"/>
      <c r="H431" s="6"/>
      <c r="I431" s="9"/>
      <c r="J431" s="9" t="s">
        <v>145</v>
      </c>
    </row>
    <row r="432" spans="1:10" hidden="1">
      <c r="A432" s="5"/>
      <c r="B432" s="6"/>
      <c r="C432" s="7"/>
      <c r="D432" s="9"/>
      <c r="E432" s="4"/>
      <c r="F432" s="9"/>
      <c r="G432" s="9"/>
      <c r="H432" s="6"/>
      <c r="I432" s="9"/>
      <c r="J432" s="9" t="s">
        <v>145</v>
      </c>
    </row>
    <row r="433" spans="1:10" hidden="1">
      <c r="A433" s="5"/>
      <c r="B433" s="6"/>
      <c r="C433" s="7"/>
      <c r="D433" s="9"/>
      <c r="E433" s="8"/>
      <c r="F433" s="9"/>
      <c r="G433" s="9"/>
      <c r="H433" s="6"/>
      <c r="I433" s="9"/>
      <c r="J433" s="9" t="s">
        <v>145</v>
      </c>
    </row>
    <row r="434" spans="1:10" hidden="1">
      <c r="A434" s="5"/>
      <c r="B434" s="6"/>
      <c r="C434" s="7"/>
      <c r="D434" s="9"/>
      <c r="E434" s="8"/>
      <c r="F434" s="9"/>
      <c r="G434" s="9"/>
      <c r="H434" s="6"/>
      <c r="I434" s="9"/>
      <c r="J434" s="9" t="s">
        <v>145</v>
      </c>
    </row>
    <row r="435" spans="1:10" hidden="1">
      <c r="A435" s="5"/>
      <c r="B435" s="6"/>
      <c r="C435" s="7"/>
      <c r="D435" s="9"/>
      <c r="E435" s="8"/>
      <c r="F435" s="9"/>
      <c r="G435" s="9"/>
      <c r="H435" s="6"/>
      <c r="I435" s="9"/>
      <c r="J435" s="9" t="s">
        <v>145</v>
      </c>
    </row>
    <row r="436" spans="1:10" hidden="1">
      <c r="A436" s="5"/>
      <c r="B436" s="6"/>
      <c r="C436" s="7"/>
      <c r="D436" s="9"/>
      <c r="E436" s="8"/>
      <c r="F436" s="9"/>
      <c r="G436" s="9"/>
      <c r="H436" s="6"/>
      <c r="I436" s="9"/>
      <c r="J436" s="9" t="s">
        <v>145</v>
      </c>
    </row>
    <row r="437" spans="1:10" hidden="1">
      <c r="A437" s="5"/>
      <c r="B437" s="6"/>
      <c r="C437" s="7"/>
      <c r="D437" s="9"/>
      <c r="E437" s="8"/>
      <c r="F437" s="9"/>
      <c r="G437" s="9"/>
      <c r="H437" s="6"/>
      <c r="I437" s="9"/>
      <c r="J437" s="9" t="s">
        <v>145</v>
      </c>
    </row>
    <row r="438" spans="1:10" hidden="1">
      <c r="A438" s="5"/>
      <c r="B438" s="6"/>
      <c r="C438" s="7"/>
      <c r="D438" s="9"/>
      <c r="E438" s="8"/>
      <c r="F438" s="9"/>
      <c r="G438" s="9"/>
      <c r="H438" s="6"/>
      <c r="I438" s="9"/>
      <c r="J438" s="9" t="s">
        <v>145</v>
      </c>
    </row>
    <row r="439" spans="1:10" hidden="1">
      <c r="A439" s="5"/>
      <c r="B439" s="6"/>
      <c r="C439" s="7"/>
      <c r="D439" s="9"/>
      <c r="E439" s="8"/>
      <c r="F439" s="9"/>
      <c r="G439" s="9"/>
      <c r="H439" s="6"/>
      <c r="I439" s="9"/>
      <c r="J439" s="9" t="s">
        <v>145</v>
      </c>
    </row>
    <row r="440" spans="1:10" hidden="1">
      <c r="A440" s="5"/>
      <c r="B440" s="6"/>
      <c r="C440" s="7"/>
      <c r="D440" s="9"/>
      <c r="E440" s="8"/>
      <c r="F440" s="9"/>
      <c r="G440" s="9"/>
      <c r="H440" s="6"/>
      <c r="I440" s="9"/>
      <c r="J440" s="9" t="s">
        <v>145</v>
      </c>
    </row>
    <row r="441" spans="1:10" hidden="1">
      <c r="A441" s="5"/>
      <c r="B441" s="6"/>
      <c r="C441" s="7"/>
      <c r="D441" s="9"/>
      <c r="E441" s="4"/>
      <c r="F441" s="9"/>
      <c r="G441" s="9"/>
      <c r="H441" s="6"/>
      <c r="I441" s="9"/>
      <c r="J441" s="9" t="s">
        <v>145</v>
      </c>
    </row>
    <row r="442" spans="1:10" hidden="1">
      <c r="A442" s="5"/>
      <c r="B442" s="6"/>
      <c r="C442" s="7"/>
      <c r="D442" s="9"/>
      <c r="E442" s="8"/>
      <c r="F442" s="9"/>
      <c r="G442" s="9"/>
      <c r="H442" s="6"/>
      <c r="I442" s="9"/>
      <c r="J442" s="9" t="s">
        <v>145</v>
      </c>
    </row>
    <row r="443" spans="1:10" hidden="1">
      <c r="A443" s="5"/>
      <c r="B443" s="6"/>
      <c r="C443" s="7"/>
      <c r="D443" s="9"/>
      <c r="E443" s="8"/>
      <c r="F443" s="9"/>
      <c r="G443" s="9"/>
      <c r="H443" s="6"/>
      <c r="I443" s="9"/>
      <c r="J443" s="9" t="s">
        <v>145</v>
      </c>
    </row>
    <row r="444" spans="1:10" hidden="1">
      <c r="A444" s="5"/>
      <c r="B444" s="6"/>
      <c r="C444" s="7"/>
      <c r="D444" s="9"/>
      <c r="E444" s="8"/>
      <c r="F444" s="9"/>
      <c r="G444" s="9"/>
      <c r="H444" s="6"/>
      <c r="I444" s="9"/>
      <c r="J444" s="9" t="s">
        <v>145</v>
      </c>
    </row>
    <row r="445" spans="1:10" hidden="1">
      <c r="A445" s="5"/>
      <c r="B445" s="6"/>
      <c r="C445" s="7"/>
      <c r="D445" s="9"/>
      <c r="E445" s="8"/>
      <c r="F445" s="9"/>
      <c r="G445" s="9"/>
      <c r="H445" s="6"/>
      <c r="I445" s="9"/>
      <c r="J445" s="9" t="s">
        <v>145</v>
      </c>
    </row>
    <row r="446" spans="1:10" hidden="1">
      <c r="A446" s="5"/>
      <c r="B446" s="6"/>
      <c r="C446" s="7"/>
      <c r="D446" s="9"/>
      <c r="E446" s="8"/>
      <c r="F446" s="9"/>
      <c r="G446" s="9"/>
      <c r="H446" s="6"/>
      <c r="I446" s="9"/>
      <c r="J446" s="9" t="s">
        <v>145</v>
      </c>
    </row>
    <row r="447" spans="1:10" hidden="1">
      <c r="A447" s="5"/>
      <c r="B447" s="6"/>
      <c r="C447" s="7"/>
      <c r="D447" s="9"/>
      <c r="E447" s="4"/>
      <c r="F447" s="9"/>
      <c r="G447" s="9"/>
      <c r="H447" s="6"/>
      <c r="I447" s="9"/>
      <c r="J447" s="9" t="s">
        <v>145</v>
      </c>
    </row>
    <row r="448" spans="1:10" hidden="1">
      <c r="A448" s="5"/>
      <c r="B448" s="6"/>
      <c r="C448" s="7"/>
      <c r="D448" s="9"/>
      <c r="E448" s="8"/>
      <c r="F448" s="9"/>
      <c r="G448" s="9"/>
      <c r="H448" s="6"/>
      <c r="I448" s="9"/>
      <c r="J448" s="9" t="s">
        <v>145</v>
      </c>
    </row>
    <row r="449" spans="1:10" hidden="1">
      <c r="A449" s="5"/>
      <c r="B449" s="6"/>
      <c r="C449" s="7"/>
      <c r="D449" s="9"/>
      <c r="E449" s="8"/>
      <c r="F449" s="9"/>
      <c r="G449" s="9"/>
      <c r="H449" s="6"/>
      <c r="I449" s="9"/>
      <c r="J449" s="9" t="s">
        <v>145</v>
      </c>
    </row>
    <row r="450" spans="1:10" hidden="1">
      <c r="A450" s="5"/>
      <c r="B450" s="6"/>
      <c r="C450" s="7"/>
      <c r="D450" s="9"/>
      <c r="E450" s="8"/>
      <c r="F450" s="9"/>
      <c r="G450" s="9"/>
      <c r="H450" s="6"/>
      <c r="I450" s="9"/>
      <c r="J450" s="9" t="s">
        <v>145</v>
      </c>
    </row>
    <row r="451" spans="1:10" hidden="1">
      <c r="A451" s="5"/>
      <c r="B451" s="6"/>
      <c r="C451" s="7"/>
      <c r="D451" s="9"/>
      <c r="E451" s="8"/>
      <c r="F451" s="9"/>
      <c r="G451" s="9"/>
      <c r="H451" s="6"/>
      <c r="I451" s="9"/>
      <c r="J451" s="9" t="s">
        <v>145</v>
      </c>
    </row>
    <row r="452" spans="1:10" hidden="1">
      <c r="A452" s="5"/>
      <c r="B452" s="6"/>
      <c r="C452" s="7"/>
      <c r="D452" s="9"/>
      <c r="E452" s="4"/>
      <c r="F452" s="9"/>
      <c r="G452" s="9"/>
      <c r="H452" s="6"/>
      <c r="I452" s="9"/>
      <c r="J452" s="9" t="s">
        <v>145</v>
      </c>
    </row>
    <row r="453" spans="1:10" hidden="1">
      <c r="A453" s="5"/>
      <c r="B453" s="6"/>
      <c r="C453" s="7"/>
      <c r="D453" s="9"/>
      <c r="E453" s="8"/>
      <c r="F453" s="9"/>
      <c r="G453" s="9"/>
      <c r="H453" s="6"/>
      <c r="I453" s="9"/>
      <c r="J453" s="9" t="s">
        <v>145</v>
      </c>
    </row>
    <row r="454" spans="1:10" hidden="1">
      <c r="A454" s="5"/>
      <c r="B454" s="6"/>
      <c r="C454" s="7"/>
      <c r="D454" s="9"/>
      <c r="E454" s="8"/>
      <c r="F454" s="9"/>
      <c r="G454" s="9"/>
      <c r="H454" s="6"/>
      <c r="I454" s="9"/>
      <c r="J454" s="9" t="s">
        <v>145</v>
      </c>
    </row>
    <row r="455" spans="1:10" hidden="1">
      <c r="A455" s="5"/>
      <c r="B455" s="6"/>
      <c r="C455" s="7"/>
      <c r="D455" s="9"/>
      <c r="E455" s="8"/>
      <c r="F455" s="9"/>
      <c r="G455" s="9"/>
      <c r="H455" s="6"/>
      <c r="I455" s="9"/>
      <c r="J455" s="9" t="s">
        <v>145</v>
      </c>
    </row>
    <row r="456" spans="1:10" hidden="1">
      <c r="A456" s="5"/>
      <c r="B456" s="6"/>
      <c r="C456" s="7"/>
      <c r="D456" s="9"/>
      <c r="E456" s="8"/>
      <c r="F456" s="9"/>
      <c r="G456" s="9"/>
      <c r="H456" s="6"/>
      <c r="I456" s="9"/>
      <c r="J456" s="9" t="s">
        <v>145</v>
      </c>
    </row>
    <row r="457" spans="1:10" hidden="1">
      <c r="A457" s="5"/>
      <c r="B457" s="6"/>
      <c r="C457" s="7"/>
      <c r="D457" s="9"/>
      <c r="E457" s="8"/>
      <c r="F457" s="9"/>
      <c r="G457" s="9"/>
      <c r="H457" s="6"/>
      <c r="I457" s="9"/>
      <c r="J457" s="9" t="s">
        <v>145</v>
      </c>
    </row>
    <row r="458" spans="1:10" hidden="1">
      <c r="A458" s="5"/>
      <c r="B458" s="6"/>
      <c r="C458" s="7"/>
      <c r="D458" s="9"/>
      <c r="E458" s="8"/>
      <c r="F458" s="9"/>
      <c r="G458" s="9"/>
      <c r="H458" s="6"/>
      <c r="I458" s="9"/>
      <c r="J458" s="9" t="s">
        <v>145</v>
      </c>
    </row>
    <row r="459" spans="1:10" hidden="1">
      <c r="A459" s="5"/>
      <c r="B459" s="6"/>
      <c r="C459" s="7"/>
      <c r="D459" s="9"/>
      <c r="E459" s="8"/>
      <c r="F459" s="9"/>
      <c r="G459" s="9"/>
      <c r="H459" s="6"/>
      <c r="I459" s="9"/>
      <c r="J459" s="9" t="s">
        <v>145</v>
      </c>
    </row>
    <row r="460" spans="1:10" hidden="1">
      <c r="A460" s="5"/>
      <c r="B460" s="6"/>
      <c r="C460" s="7"/>
      <c r="D460" s="9"/>
      <c r="E460" s="8"/>
      <c r="F460" s="9"/>
      <c r="G460" s="9"/>
      <c r="H460" s="6"/>
      <c r="I460" s="9"/>
      <c r="J460" s="9" t="s">
        <v>145</v>
      </c>
    </row>
    <row r="461" spans="1:10" hidden="1">
      <c r="A461" s="5"/>
      <c r="B461" s="6"/>
      <c r="C461" s="7"/>
      <c r="D461" s="9"/>
      <c r="E461" s="8"/>
      <c r="F461" s="9"/>
      <c r="G461" s="9"/>
      <c r="H461" s="6"/>
      <c r="I461" s="9"/>
      <c r="J461" s="9" t="s">
        <v>145</v>
      </c>
    </row>
    <row r="462" spans="1:10" hidden="1">
      <c r="A462" s="5"/>
      <c r="B462" s="6"/>
      <c r="C462" s="7"/>
      <c r="D462" s="9"/>
      <c r="E462" s="8"/>
      <c r="F462" s="9"/>
      <c r="G462" s="9"/>
      <c r="H462" s="6"/>
      <c r="I462" s="9"/>
      <c r="J462" s="9" t="s">
        <v>145</v>
      </c>
    </row>
    <row r="463" spans="1:10" hidden="1">
      <c r="A463" s="5"/>
      <c r="B463" s="6"/>
      <c r="C463" s="7"/>
      <c r="D463" s="9"/>
      <c r="E463" s="8"/>
      <c r="F463" s="9"/>
      <c r="G463" s="9"/>
      <c r="H463" s="6"/>
      <c r="I463" s="9"/>
      <c r="J463" s="9" t="s">
        <v>145</v>
      </c>
    </row>
    <row r="464" spans="1:10" hidden="1">
      <c r="A464" s="5"/>
      <c r="B464" s="6"/>
      <c r="C464" s="7"/>
      <c r="D464" s="9"/>
      <c r="E464" s="8"/>
      <c r="F464" s="9"/>
      <c r="G464" s="9"/>
      <c r="H464" s="6"/>
      <c r="I464" s="9"/>
      <c r="J464" s="9" t="s">
        <v>145</v>
      </c>
    </row>
    <row r="465" spans="1:10" hidden="1">
      <c r="A465" s="5"/>
      <c r="B465" s="6"/>
      <c r="C465" s="7"/>
      <c r="D465" s="9"/>
      <c r="E465" s="8"/>
      <c r="F465" s="9"/>
      <c r="G465" s="9"/>
      <c r="H465" s="6"/>
      <c r="I465" s="9"/>
      <c r="J465" s="9" t="s">
        <v>145</v>
      </c>
    </row>
    <row r="466" spans="1:10" hidden="1">
      <c r="A466" s="5"/>
      <c r="B466" s="6"/>
      <c r="C466" s="7"/>
      <c r="D466" s="9"/>
      <c r="E466" s="8"/>
      <c r="F466" s="9"/>
      <c r="G466" s="9"/>
      <c r="H466" s="6"/>
      <c r="I466" s="9"/>
      <c r="J466" s="9" t="s">
        <v>145</v>
      </c>
    </row>
    <row r="467" spans="1:10" hidden="1">
      <c r="A467" s="5"/>
      <c r="B467" s="6"/>
      <c r="C467" s="7"/>
      <c r="D467" s="9"/>
      <c r="E467" s="8"/>
      <c r="F467" s="9"/>
      <c r="G467" s="9"/>
      <c r="H467" s="6"/>
      <c r="I467" s="9"/>
      <c r="J467" s="9" t="s">
        <v>145</v>
      </c>
    </row>
    <row r="468" spans="1:10" hidden="1">
      <c r="A468" s="5"/>
      <c r="B468" s="6"/>
      <c r="C468" s="7"/>
      <c r="D468" s="9"/>
      <c r="E468" s="8"/>
      <c r="F468" s="9"/>
      <c r="G468" s="9"/>
      <c r="H468" s="6"/>
      <c r="I468" s="9"/>
      <c r="J468" s="9" t="s">
        <v>145</v>
      </c>
    </row>
    <row r="469" spans="1:10" hidden="1">
      <c r="A469" s="5"/>
      <c r="B469" s="6"/>
      <c r="C469" s="7"/>
      <c r="D469" s="9"/>
      <c r="E469" s="8"/>
      <c r="F469" s="9"/>
      <c r="G469" s="9"/>
      <c r="H469" s="6"/>
      <c r="I469" s="9"/>
      <c r="J469" s="9" t="s">
        <v>145</v>
      </c>
    </row>
    <row r="470" spans="1:10" hidden="1">
      <c r="A470" s="5"/>
      <c r="B470" s="6"/>
      <c r="C470" s="7"/>
      <c r="D470" s="9"/>
      <c r="E470" s="8"/>
      <c r="F470" s="9"/>
      <c r="G470" s="9"/>
      <c r="H470" s="6"/>
      <c r="I470" s="9"/>
      <c r="J470" s="9" t="s">
        <v>145</v>
      </c>
    </row>
    <row r="471" spans="1:10" hidden="1">
      <c r="A471" s="5"/>
      <c r="B471" s="6"/>
      <c r="C471" s="7"/>
      <c r="D471" s="9"/>
      <c r="E471" s="8"/>
      <c r="F471" s="9"/>
      <c r="G471" s="9"/>
      <c r="H471" s="6"/>
      <c r="I471" s="9"/>
      <c r="J471" s="9" t="s">
        <v>145</v>
      </c>
    </row>
    <row r="472" spans="1:10" hidden="1">
      <c r="A472" s="5"/>
      <c r="B472" s="6"/>
      <c r="C472" s="7"/>
      <c r="D472" s="9"/>
      <c r="E472" s="8"/>
      <c r="F472" s="9"/>
      <c r="G472" s="9"/>
      <c r="H472" s="6"/>
      <c r="I472" s="9"/>
      <c r="J472" s="9" t="s">
        <v>145</v>
      </c>
    </row>
    <row r="473" spans="1:10" hidden="1">
      <c r="A473" s="5"/>
      <c r="B473" s="6"/>
      <c r="C473" s="7"/>
      <c r="D473" s="9"/>
      <c r="E473" s="4"/>
      <c r="F473" s="9"/>
      <c r="G473" s="9"/>
      <c r="H473" s="6"/>
      <c r="I473" s="9"/>
      <c r="J473" s="9" t="s">
        <v>145</v>
      </c>
    </row>
    <row r="474" spans="1:10" hidden="1">
      <c r="A474" s="5"/>
      <c r="B474" s="6"/>
      <c r="C474" s="7"/>
      <c r="D474" s="9"/>
      <c r="E474" s="8"/>
      <c r="F474" s="9"/>
      <c r="G474" s="9"/>
      <c r="H474" s="6"/>
      <c r="I474" s="9"/>
      <c r="J474" s="9" t="s">
        <v>145</v>
      </c>
    </row>
    <row r="475" spans="1:10" hidden="1">
      <c r="A475" s="5"/>
      <c r="B475" s="6"/>
      <c r="C475" s="7"/>
      <c r="D475" s="9"/>
      <c r="E475" s="8"/>
      <c r="F475" s="9"/>
      <c r="G475" s="9"/>
      <c r="H475" s="6"/>
      <c r="I475" s="9"/>
      <c r="J475" s="9" t="s">
        <v>145</v>
      </c>
    </row>
    <row r="476" spans="1:10" hidden="1">
      <c r="A476" s="5"/>
      <c r="B476" s="6"/>
      <c r="C476" s="7"/>
      <c r="D476" s="9"/>
      <c r="E476" s="8"/>
      <c r="F476" s="9"/>
      <c r="G476" s="9"/>
      <c r="H476" s="6"/>
      <c r="I476" s="9"/>
      <c r="J476" s="9" t="s">
        <v>145</v>
      </c>
    </row>
    <row r="477" spans="1:10" hidden="1">
      <c r="A477" s="5"/>
      <c r="B477" s="6"/>
      <c r="C477" s="7"/>
      <c r="D477" s="9"/>
      <c r="E477" s="4"/>
      <c r="F477" s="9"/>
      <c r="G477" s="9"/>
      <c r="H477" s="6"/>
      <c r="I477" s="9"/>
      <c r="J477" s="9" t="s">
        <v>145</v>
      </c>
    </row>
    <row r="478" spans="1:10" hidden="1">
      <c r="A478" s="5"/>
      <c r="B478" s="6"/>
      <c r="C478" s="7"/>
      <c r="D478" s="9"/>
      <c r="E478" s="8"/>
      <c r="F478" s="9"/>
      <c r="G478" s="9"/>
      <c r="H478" s="6"/>
      <c r="I478" s="9"/>
      <c r="J478" s="9" t="s">
        <v>145</v>
      </c>
    </row>
    <row r="479" spans="1:10" hidden="1">
      <c r="A479" s="5"/>
      <c r="B479" s="6"/>
      <c r="C479" s="7"/>
      <c r="D479" s="9"/>
      <c r="E479" s="4"/>
      <c r="F479" s="9"/>
      <c r="G479" s="9"/>
      <c r="H479" s="6"/>
      <c r="I479" s="9"/>
      <c r="J479" s="9" t="s">
        <v>145</v>
      </c>
    </row>
    <row r="480" spans="1:10" hidden="1">
      <c r="A480" s="5"/>
      <c r="B480" s="6"/>
      <c r="C480" s="7"/>
      <c r="D480" s="9"/>
      <c r="E480" s="8"/>
      <c r="F480" s="9"/>
      <c r="G480" s="9"/>
      <c r="H480" s="6"/>
      <c r="I480" s="9"/>
      <c r="J480" s="9" t="s">
        <v>145</v>
      </c>
    </row>
    <row r="481" spans="1:10" hidden="1">
      <c r="A481" s="5"/>
      <c r="B481" s="6"/>
      <c r="C481" s="7"/>
      <c r="D481" s="9"/>
      <c r="E481" s="4"/>
      <c r="F481" s="9"/>
      <c r="G481" s="9"/>
      <c r="H481" s="6"/>
      <c r="I481" s="9"/>
      <c r="J481" s="9" t="s">
        <v>145</v>
      </c>
    </row>
    <row r="482" spans="1:10" hidden="1">
      <c r="A482" s="5"/>
      <c r="B482" s="6"/>
      <c r="C482" s="7"/>
      <c r="D482" s="9"/>
      <c r="E482" s="8"/>
      <c r="F482" s="9"/>
      <c r="G482" s="9"/>
      <c r="H482" s="6"/>
      <c r="I482" s="9"/>
      <c r="J482" s="9" t="s">
        <v>145</v>
      </c>
    </row>
    <row r="483" spans="1:10" hidden="1">
      <c r="A483" s="5"/>
      <c r="B483" s="6"/>
      <c r="C483" s="7"/>
      <c r="D483" s="9"/>
      <c r="E483" s="8"/>
      <c r="F483" s="9"/>
      <c r="G483" s="9"/>
      <c r="H483" s="6"/>
      <c r="I483" s="9"/>
      <c r="J483" s="9" t="s">
        <v>145</v>
      </c>
    </row>
    <row r="484" spans="1:10" hidden="1">
      <c r="A484" s="5"/>
      <c r="B484" s="6"/>
      <c r="C484" s="7"/>
      <c r="D484" s="9"/>
      <c r="E484" s="8"/>
      <c r="F484" s="9"/>
      <c r="G484" s="9"/>
      <c r="H484" s="6"/>
      <c r="I484" s="9"/>
      <c r="J484" s="9" t="s">
        <v>145</v>
      </c>
    </row>
    <row r="485" spans="1:10" hidden="1">
      <c r="A485" s="5"/>
      <c r="B485" s="6"/>
      <c r="C485" s="7"/>
      <c r="D485" s="9"/>
      <c r="E485" s="4"/>
      <c r="F485" s="9"/>
      <c r="G485" s="9"/>
      <c r="H485" s="6"/>
      <c r="I485" s="9"/>
      <c r="J485" s="9" t="s">
        <v>145</v>
      </c>
    </row>
    <row r="486" spans="1:10" hidden="1">
      <c r="A486" s="5"/>
      <c r="B486" s="6"/>
      <c r="C486" s="7"/>
      <c r="D486" s="9"/>
      <c r="E486" s="8"/>
      <c r="F486" s="9"/>
      <c r="G486" s="9"/>
      <c r="H486" s="6"/>
      <c r="I486" s="9"/>
      <c r="J486" s="9" t="s">
        <v>145</v>
      </c>
    </row>
    <row r="487" spans="1:10" hidden="1">
      <c r="A487" s="5"/>
      <c r="B487" s="6"/>
      <c r="C487" s="7"/>
      <c r="D487" s="9"/>
      <c r="E487" s="8"/>
      <c r="F487" s="9"/>
      <c r="G487" s="9"/>
      <c r="H487" s="6"/>
      <c r="I487" s="9"/>
      <c r="J487" s="9" t="s">
        <v>145</v>
      </c>
    </row>
    <row r="488" spans="1:10" hidden="1">
      <c r="A488" s="5"/>
      <c r="B488" s="6"/>
      <c r="C488" s="7"/>
      <c r="D488" s="9"/>
      <c r="E488" s="8"/>
      <c r="F488" s="9"/>
      <c r="G488" s="9"/>
      <c r="H488" s="6"/>
      <c r="I488" s="9"/>
      <c r="J488" s="9" t="s">
        <v>145</v>
      </c>
    </row>
    <row r="489" spans="1:10" hidden="1">
      <c r="A489" s="5"/>
      <c r="B489" s="6"/>
      <c r="C489" s="7"/>
      <c r="D489" s="9"/>
      <c r="E489" s="8"/>
      <c r="F489" s="9"/>
      <c r="G489" s="9"/>
      <c r="H489" s="6"/>
      <c r="I489" s="9"/>
      <c r="J489" s="9" t="s">
        <v>145</v>
      </c>
    </row>
    <row r="490" spans="1:10" hidden="1">
      <c r="A490" s="5"/>
      <c r="B490" s="6"/>
      <c r="C490" s="7"/>
      <c r="D490" s="9"/>
      <c r="E490" s="4"/>
      <c r="F490" s="9"/>
      <c r="G490" s="9"/>
      <c r="H490" s="6"/>
      <c r="I490" s="9"/>
      <c r="J490" s="9" t="s">
        <v>145</v>
      </c>
    </row>
    <row r="491" spans="1:10" hidden="1">
      <c r="A491" s="5"/>
      <c r="B491" s="6"/>
      <c r="C491" s="7"/>
      <c r="D491" s="9"/>
      <c r="E491" s="4"/>
      <c r="F491" s="9"/>
      <c r="G491" s="9"/>
      <c r="H491" s="6"/>
      <c r="I491" s="9"/>
      <c r="J491" s="9" t="s">
        <v>145</v>
      </c>
    </row>
    <row r="492" spans="1:10" hidden="1">
      <c r="A492" s="5"/>
      <c r="B492" s="6"/>
      <c r="C492" s="7"/>
      <c r="D492" s="9"/>
      <c r="E492" s="8"/>
      <c r="F492" s="9"/>
      <c r="G492" s="9"/>
      <c r="H492" s="6"/>
      <c r="I492" s="9"/>
      <c r="J492" s="9" t="s">
        <v>145</v>
      </c>
    </row>
    <row r="493" spans="1:10" hidden="1">
      <c r="A493" s="5"/>
      <c r="B493" s="6"/>
      <c r="C493" s="7"/>
      <c r="D493" s="9"/>
      <c r="E493" s="8"/>
      <c r="F493" s="9"/>
      <c r="G493" s="9"/>
      <c r="H493" s="6"/>
      <c r="I493" s="9"/>
      <c r="J493" s="9" t="s">
        <v>145</v>
      </c>
    </row>
    <row r="494" spans="1:10" hidden="1">
      <c r="A494" s="5"/>
      <c r="B494" s="6"/>
      <c r="C494" s="7"/>
      <c r="D494" s="9"/>
      <c r="E494" s="4"/>
      <c r="F494" s="9"/>
      <c r="G494" s="9"/>
      <c r="H494" s="6"/>
      <c r="I494" s="9"/>
      <c r="J494" s="9" t="s">
        <v>145</v>
      </c>
    </row>
    <row r="495" spans="1:10" hidden="1">
      <c r="A495" s="5"/>
      <c r="B495" s="6"/>
      <c r="C495" s="7"/>
      <c r="D495" s="9"/>
      <c r="E495" s="8"/>
      <c r="F495" s="9"/>
      <c r="G495" s="9"/>
      <c r="H495" s="6"/>
      <c r="I495" s="9"/>
      <c r="J495" s="9" t="s">
        <v>145</v>
      </c>
    </row>
    <row r="496" spans="1:10" hidden="1">
      <c r="A496" s="5"/>
      <c r="B496" s="6"/>
      <c r="C496" s="7"/>
      <c r="D496" s="9"/>
      <c r="E496" s="8"/>
      <c r="F496" s="9"/>
      <c r="G496" s="9"/>
      <c r="H496" s="6"/>
      <c r="I496" s="9"/>
      <c r="J496" s="9" t="s">
        <v>145</v>
      </c>
    </row>
    <row r="497" spans="1:10" hidden="1">
      <c r="A497" s="5"/>
      <c r="B497" s="6"/>
      <c r="C497" s="7"/>
      <c r="D497" s="9"/>
      <c r="E497" s="8"/>
      <c r="F497" s="9"/>
      <c r="G497" s="9"/>
      <c r="H497" s="6"/>
      <c r="I497" s="9"/>
      <c r="J497" s="9" t="s">
        <v>145</v>
      </c>
    </row>
    <row r="498" spans="1:10" hidden="1">
      <c r="A498" s="5"/>
      <c r="B498" s="6"/>
      <c r="C498" s="7"/>
      <c r="D498" s="9"/>
      <c r="E498" s="8"/>
      <c r="F498" s="9"/>
      <c r="G498" s="9"/>
      <c r="H498" s="6"/>
      <c r="I498" s="9"/>
      <c r="J498" s="9" t="s">
        <v>145</v>
      </c>
    </row>
    <row r="499" spans="1:10" hidden="1">
      <c r="A499" s="5"/>
      <c r="B499" s="6"/>
      <c r="C499" s="7"/>
      <c r="D499" s="9"/>
      <c r="E499" s="4"/>
      <c r="F499" s="9"/>
      <c r="G499" s="9"/>
      <c r="H499" s="6"/>
      <c r="I499" s="9"/>
      <c r="J499" s="9" t="s">
        <v>145</v>
      </c>
    </row>
    <row r="500" spans="1:10" hidden="1">
      <c r="A500" s="5"/>
      <c r="B500" s="6"/>
      <c r="C500" s="7"/>
      <c r="D500" s="9"/>
      <c r="E500" s="8"/>
      <c r="F500" s="9"/>
      <c r="G500" s="9"/>
      <c r="H500" s="6"/>
      <c r="I500" s="9"/>
      <c r="J500" s="9" t="s">
        <v>145</v>
      </c>
    </row>
    <row r="501" spans="1:10" hidden="1">
      <c r="A501" s="5"/>
      <c r="B501" s="6"/>
      <c r="C501" s="7"/>
      <c r="D501" s="9"/>
      <c r="E501" s="8"/>
      <c r="F501" s="9"/>
      <c r="G501" s="9"/>
      <c r="H501" s="6"/>
      <c r="I501" s="9"/>
      <c r="J501" s="9" t="s">
        <v>145</v>
      </c>
    </row>
    <row r="502" spans="1:10" hidden="1">
      <c r="A502" s="5"/>
      <c r="B502" s="6"/>
      <c r="C502" s="7"/>
      <c r="D502" s="9"/>
      <c r="E502" s="8"/>
      <c r="F502" s="9"/>
      <c r="G502" s="9"/>
      <c r="H502" s="6"/>
      <c r="I502" s="9"/>
      <c r="J502" s="9" t="s">
        <v>145</v>
      </c>
    </row>
    <row r="503" spans="1:10" hidden="1">
      <c r="A503" s="5"/>
      <c r="B503" s="6"/>
      <c r="C503" s="7"/>
      <c r="D503" s="9"/>
      <c r="E503" s="8"/>
      <c r="F503" s="9"/>
      <c r="G503" s="9"/>
      <c r="H503" s="6"/>
      <c r="I503" s="9"/>
      <c r="J503" s="9" t="s">
        <v>145</v>
      </c>
    </row>
    <row r="504" spans="1:10" hidden="1">
      <c r="A504" s="5"/>
      <c r="B504" s="6"/>
      <c r="C504" s="7"/>
      <c r="D504" s="9"/>
      <c r="E504" s="8"/>
      <c r="F504" s="9"/>
      <c r="G504" s="9"/>
      <c r="H504" s="6"/>
      <c r="I504" s="9"/>
      <c r="J504" s="9" t="s">
        <v>145</v>
      </c>
    </row>
    <row r="505" spans="1:10" hidden="1">
      <c r="A505" s="5"/>
      <c r="B505" s="6"/>
      <c r="C505" s="7"/>
      <c r="D505" s="9"/>
      <c r="E505" s="8"/>
      <c r="F505" s="9"/>
      <c r="G505" s="9"/>
      <c r="H505" s="6"/>
      <c r="I505" s="9"/>
      <c r="J505" s="9" t="s">
        <v>145</v>
      </c>
    </row>
    <row r="506" spans="1:10" hidden="1">
      <c r="A506" s="5"/>
      <c r="B506" s="6"/>
      <c r="C506" s="7"/>
      <c r="D506" s="9"/>
      <c r="E506" s="8"/>
      <c r="F506" s="9"/>
      <c r="G506" s="9"/>
      <c r="H506" s="6"/>
      <c r="I506" s="9"/>
      <c r="J506" s="9" t="s">
        <v>145</v>
      </c>
    </row>
    <row r="507" spans="1:10" hidden="1">
      <c r="A507" s="5"/>
      <c r="B507" s="6"/>
      <c r="C507" s="7"/>
      <c r="D507" s="9"/>
      <c r="E507" s="8"/>
      <c r="F507" s="9"/>
      <c r="G507" s="9"/>
      <c r="H507" s="6"/>
      <c r="I507" s="9"/>
      <c r="J507" s="9" t="s">
        <v>145</v>
      </c>
    </row>
    <row r="508" spans="1:10" hidden="1">
      <c r="A508" s="5"/>
      <c r="B508" s="6"/>
      <c r="C508" s="7"/>
      <c r="D508" s="9"/>
      <c r="E508" s="8"/>
      <c r="F508" s="9"/>
      <c r="G508" s="9"/>
      <c r="H508" s="6"/>
      <c r="I508" s="9"/>
      <c r="J508" s="9" t="s">
        <v>145</v>
      </c>
    </row>
    <row r="509" spans="1:10" hidden="1">
      <c r="A509" s="5"/>
      <c r="B509" s="6"/>
      <c r="C509" s="7"/>
      <c r="D509" s="9"/>
      <c r="E509" s="8"/>
      <c r="F509" s="9"/>
      <c r="G509" s="9"/>
      <c r="H509" s="6"/>
      <c r="I509" s="9"/>
      <c r="J509" s="9" t="s">
        <v>145</v>
      </c>
    </row>
    <row r="510" spans="1:10" hidden="1">
      <c r="A510" s="5"/>
      <c r="B510" s="6"/>
      <c r="C510" s="7"/>
      <c r="D510" s="9"/>
      <c r="E510" s="8"/>
      <c r="F510" s="9"/>
      <c r="G510" s="9"/>
      <c r="H510" s="6"/>
      <c r="I510" s="9"/>
      <c r="J510" s="9" t="s">
        <v>145</v>
      </c>
    </row>
    <row r="511" spans="1:10" hidden="1">
      <c r="A511" s="5"/>
      <c r="B511" s="6"/>
      <c r="C511" s="7"/>
      <c r="D511" s="9"/>
      <c r="E511" s="8"/>
      <c r="F511" s="9"/>
      <c r="G511" s="9"/>
      <c r="H511" s="6"/>
      <c r="I511" s="9"/>
      <c r="J511" s="9" t="s">
        <v>145</v>
      </c>
    </row>
    <row r="512" spans="1:10" hidden="1">
      <c r="A512" s="5"/>
      <c r="B512" s="6"/>
      <c r="C512" s="7"/>
      <c r="D512" s="9"/>
      <c r="E512" s="8"/>
      <c r="F512" s="9"/>
      <c r="G512" s="9"/>
      <c r="H512" s="6"/>
      <c r="I512" s="9"/>
      <c r="J512" s="9" t="s">
        <v>145</v>
      </c>
    </row>
    <row r="513" spans="1:10" hidden="1">
      <c r="A513" s="5"/>
      <c r="B513" s="6"/>
      <c r="C513" s="7"/>
      <c r="D513" s="9"/>
      <c r="E513" s="8"/>
      <c r="F513" s="9"/>
      <c r="G513" s="9"/>
      <c r="H513" s="6"/>
      <c r="I513" s="9"/>
      <c r="J513" s="9" t="s">
        <v>145</v>
      </c>
    </row>
    <row r="514" spans="1:10" hidden="1">
      <c r="A514" s="5"/>
      <c r="B514" s="6"/>
      <c r="C514" s="7"/>
      <c r="D514" s="9"/>
      <c r="E514" s="8"/>
      <c r="F514" s="9"/>
      <c r="G514" s="9"/>
      <c r="H514" s="6"/>
      <c r="I514" s="9"/>
      <c r="J514" s="9" t="s">
        <v>145</v>
      </c>
    </row>
    <row r="515" spans="1:10" hidden="1">
      <c r="A515" s="5"/>
      <c r="B515" s="6"/>
      <c r="C515" s="7"/>
      <c r="D515" s="9"/>
      <c r="E515" s="8"/>
      <c r="F515" s="9"/>
      <c r="G515" s="9"/>
      <c r="H515" s="6"/>
      <c r="I515" s="9"/>
      <c r="J515" s="9" t="s">
        <v>145</v>
      </c>
    </row>
    <row r="516" spans="1:10" hidden="1">
      <c r="A516" s="5"/>
      <c r="B516" s="6"/>
      <c r="C516" s="7"/>
      <c r="D516" s="9"/>
      <c r="E516" s="4"/>
      <c r="F516" s="9"/>
      <c r="G516" s="9"/>
      <c r="H516" s="6"/>
      <c r="I516" s="9"/>
      <c r="J516" s="9" t="s">
        <v>145</v>
      </c>
    </row>
    <row r="517" spans="1:10" hidden="1">
      <c r="A517" s="5"/>
      <c r="B517" s="6"/>
      <c r="C517" s="7"/>
      <c r="D517" s="9"/>
      <c r="E517" s="8"/>
      <c r="F517" s="9"/>
      <c r="G517" s="9"/>
      <c r="H517" s="6"/>
      <c r="I517" s="9"/>
      <c r="J517" s="9" t="s">
        <v>145</v>
      </c>
    </row>
    <row r="518" spans="1:10" hidden="1">
      <c r="A518" s="5"/>
      <c r="B518" s="6"/>
      <c r="C518" s="7"/>
      <c r="D518" s="9"/>
      <c r="E518" s="8"/>
      <c r="F518" s="9"/>
      <c r="G518" s="9"/>
      <c r="H518" s="6"/>
      <c r="I518" s="9"/>
      <c r="J518" s="9" t="s">
        <v>145</v>
      </c>
    </row>
    <row r="519" spans="1:10" hidden="1">
      <c r="A519" s="5"/>
      <c r="B519" s="6"/>
      <c r="C519" s="7"/>
      <c r="D519" s="9"/>
      <c r="E519" s="8"/>
      <c r="F519" s="9"/>
      <c r="G519" s="9"/>
      <c r="H519" s="6"/>
      <c r="I519" s="9"/>
      <c r="J519" s="9" t="s">
        <v>145</v>
      </c>
    </row>
    <row r="520" spans="1:10" hidden="1">
      <c r="A520" s="5"/>
      <c r="B520" s="6"/>
      <c r="C520" s="7"/>
      <c r="D520" s="9"/>
      <c r="E520" s="8"/>
      <c r="F520" s="9"/>
      <c r="G520" s="9"/>
      <c r="H520" s="6"/>
      <c r="I520" s="9"/>
      <c r="J520" s="9" t="s">
        <v>145</v>
      </c>
    </row>
    <row r="521" spans="1:10" hidden="1">
      <c r="A521" s="5"/>
      <c r="B521" s="6"/>
      <c r="C521" s="7"/>
      <c r="D521" s="9"/>
      <c r="E521" s="8"/>
      <c r="F521" s="9"/>
      <c r="G521" s="9"/>
      <c r="H521" s="6"/>
      <c r="I521" s="9"/>
      <c r="J521" s="9" t="s">
        <v>145</v>
      </c>
    </row>
    <row r="522" spans="1:10" hidden="1">
      <c r="A522" s="5"/>
      <c r="B522" s="6"/>
      <c r="C522" s="7"/>
      <c r="D522" s="9"/>
      <c r="E522" s="8"/>
      <c r="F522" s="9"/>
      <c r="G522" s="9"/>
      <c r="H522" s="6"/>
      <c r="I522" s="9"/>
      <c r="J522" s="9" t="s">
        <v>145</v>
      </c>
    </row>
    <row r="523" spans="1:10" hidden="1">
      <c r="A523" s="5"/>
      <c r="B523" s="6"/>
      <c r="C523" s="7"/>
      <c r="D523" s="9"/>
      <c r="E523" s="8"/>
      <c r="F523" s="9"/>
      <c r="G523" s="9"/>
      <c r="H523" s="6"/>
      <c r="I523" s="9"/>
      <c r="J523" s="9" t="s">
        <v>145</v>
      </c>
    </row>
    <row r="524" spans="1:10" hidden="1">
      <c r="A524" s="5"/>
      <c r="B524" s="6"/>
      <c r="C524" s="7"/>
      <c r="D524" s="9"/>
      <c r="E524" s="8"/>
      <c r="F524" s="9"/>
      <c r="G524" s="9"/>
      <c r="H524" s="6"/>
      <c r="I524" s="9"/>
      <c r="J524" s="9" t="s">
        <v>145</v>
      </c>
    </row>
    <row r="525" spans="1:10" hidden="1">
      <c r="A525" s="5"/>
      <c r="B525" s="6"/>
      <c r="C525" s="7"/>
      <c r="D525" s="9"/>
      <c r="E525" s="8"/>
      <c r="F525" s="9"/>
      <c r="G525" s="9"/>
      <c r="H525" s="6"/>
      <c r="I525" s="9"/>
      <c r="J525" s="9" t="s">
        <v>145</v>
      </c>
    </row>
    <row r="526" spans="1:10" hidden="1">
      <c r="A526" s="5"/>
      <c r="B526" s="6"/>
      <c r="C526" s="7"/>
      <c r="D526" s="9"/>
      <c r="E526" s="8"/>
      <c r="F526" s="9"/>
      <c r="G526" s="9"/>
      <c r="H526" s="6"/>
      <c r="I526" s="9"/>
      <c r="J526" s="9" t="s">
        <v>145</v>
      </c>
    </row>
    <row r="527" spans="1:10" hidden="1">
      <c r="A527" s="5"/>
      <c r="B527" s="6"/>
      <c r="C527" s="7"/>
      <c r="D527" s="9"/>
      <c r="E527" s="8"/>
      <c r="F527" s="9"/>
      <c r="G527" s="9"/>
      <c r="H527" s="6"/>
      <c r="I527" s="9"/>
      <c r="J527" s="9" t="s">
        <v>145</v>
      </c>
    </row>
    <row r="528" spans="1:10" hidden="1">
      <c r="A528" s="5"/>
      <c r="B528" s="6"/>
      <c r="C528" s="7"/>
      <c r="D528" s="9"/>
      <c r="E528" s="8"/>
      <c r="F528" s="9"/>
      <c r="G528" s="9"/>
      <c r="H528" s="6"/>
      <c r="I528" s="9"/>
      <c r="J528" s="9" t="s">
        <v>145</v>
      </c>
    </row>
    <row r="529" spans="1:10" hidden="1">
      <c r="A529" s="5"/>
      <c r="B529" s="6"/>
      <c r="C529" s="7"/>
      <c r="D529" s="9"/>
      <c r="E529" s="8"/>
      <c r="F529" s="9"/>
      <c r="G529" s="9"/>
      <c r="H529" s="6"/>
      <c r="I529" s="9"/>
      <c r="J529" s="9" t="s">
        <v>145</v>
      </c>
    </row>
    <row r="530" spans="1:10" hidden="1">
      <c r="A530" s="5"/>
      <c r="B530" s="6"/>
      <c r="C530" s="7"/>
      <c r="D530" s="9"/>
      <c r="E530" s="8"/>
      <c r="F530" s="9"/>
      <c r="G530" s="9"/>
      <c r="H530" s="6"/>
      <c r="I530" s="9"/>
      <c r="J530" s="9" t="s">
        <v>145</v>
      </c>
    </row>
    <row r="531" spans="1:10" hidden="1">
      <c r="A531" s="5"/>
      <c r="B531" s="6"/>
      <c r="C531" s="7"/>
      <c r="D531" s="9"/>
      <c r="E531" s="8"/>
      <c r="F531" s="9"/>
      <c r="G531" s="9"/>
      <c r="H531" s="6"/>
      <c r="I531" s="9"/>
      <c r="J531" s="9" t="s">
        <v>145</v>
      </c>
    </row>
    <row r="532" spans="1:10" hidden="1">
      <c r="A532" s="5"/>
      <c r="B532" s="6"/>
      <c r="C532" s="7"/>
      <c r="D532" s="9"/>
      <c r="E532" s="8"/>
      <c r="F532" s="9"/>
      <c r="G532" s="9"/>
      <c r="H532" s="6"/>
      <c r="I532" s="9"/>
      <c r="J532" s="9" t="s">
        <v>145</v>
      </c>
    </row>
    <row r="533" spans="1:10" hidden="1">
      <c r="A533" s="5"/>
      <c r="B533" s="6"/>
      <c r="C533" s="7"/>
      <c r="D533" s="9"/>
      <c r="E533" s="8"/>
      <c r="F533" s="9"/>
      <c r="G533" s="9"/>
      <c r="H533" s="6"/>
      <c r="I533" s="9"/>
      <c r="J533" s="9" t="s">
        <v>145</v>
      </c>
    </row>
    <row r="534" spans="1:10" hidden="1">
      <c r="A534" s="5"/>
      <c r="B534" s="6"/>
      <c r="C534" s="7"/>
      <c r="D534" s="9"/>
      <c r="E534" s="4"/>
      <c r="F534" s="9"/>
      <c r="G534" s="9"/>
      <c r="H534" s="6"/>
      <c r="I534" s="9"/>
      <c r="J534" s="9" t="s">
        <v>145</v>
      </c>
    </row>
    <row r="535" spans="1:10" hidden="1">
      <c r="A535" s="5"/>
      <c r="B535" s="6"/>
      <c r="C535" s="7"/>
      <c r="D535" s="9"/>
      <c r="E535" s="4"/>
      <c r="F535" s="9"/>
      <c r="G535" s="9"/>
      <c r="H535" s="6"/>
      <c r="I535" s="9"/>
      <c r="J535" s="9" t="s">
        <v>145</v>
      </c>
    </row>
    <row r="536" spans="1:10" hidden="1">
      <c r="A536" s="5"/>
      <c r="B536" s="6"/>
      <c r="C536" s="7"/>
      <c r="D536" s="9"/>
      <c r="E536" s="8"/>
      <c r="F536" s="9"/>
      <c r="G536" s="9"/>
      <c r="H536" s="6"/>
      <c r="I536" s="9"/>
      <c r="J536" s="9" t="s">
        <v>145</v>
      </c>
    </row>
    <row r="537" spans="1:10" hidden="1">
      <c r="A537" s="5"/>
      <c r="B537" s="6"/>
      <c r="C537" s="7"/>
      <c r="D537" s="9"/>
      <c r="E537" s="8"/>
      <c r="F537" s="9"/>
      <c r="G537" s="9"/>
      <c r="H537" s="6"/>
      <c r="I537" s="9"/>
      <c r="J537" s="9" t="s">
        <v>145</v>
      </c>
    </row>
    <row r="538" spans="1:10" hidden="1">
      <c r="A538" s="5"/>
      <c r="B538" s="6"/>
      <c r="C538" s="7"/>
      <c r="D538" s="9"/>
      <c r="E538" s="8"/>
      <c r="F538" s="9"/>
      <c r="G538" s="9"/>
      <c r="H538" s="6"/>
      <c r="I538" s="9"/>
      <c r="J538" s="9" t="s">
        <v>145</v>
      </c>
    </row>
    <row r="539" spans="1:10" hidden="1">
      <c r="A539" s="5"/>
      <c r="B539" s="6"/>
      <c r="C539" s="7"/>
      <c r="D539" s="9"/>
      <c r="E539" s="8"/>
      <c r="F539" s="9"/>
      <c r="G539" s="9"/>
      <c r="H539" s="6"/>
      <c r="I539" s="9"/>
      <c r="J539" s="9" t="s">
        <v>145</v>
      </c>
    </row>
    <row r="540" spans="1:10" hidden="1">
      <c r="A540" s="5"/>
      <c r="B540" s="6"/>
      <c r="C540" s="7"/>
      <c r="D540" s="9"/>
      <c r="E540" s="4"/>
      <c r="F540" s="9"/>
      <c r="G540" s="9"/>
      <c r="H540" s="6"/>
      <c r="I540" s="9"/>
      <c r="J540" s="9" t="s">
        <v>145</v>
      </c>
    </row>
    <row r="541" spans="1:10" hidden="1">
      <c r="A541" s="5"/>
      <c r="B541" s="6"/>
      <c r="C541" s="7"/>
      <c r="D541" s="9"/>
      <c r="E541" s="8"/>
      <c r="F541" s="9"/>
      <c r="G541" s="9"/>
      <c r="H541" s="6"/>
      <c r="I541" s="9"/>
      <c r="J541" s="9" t="s">
        <v>145</v>
      </c>
    </row>
    <row r="542" spans="1:10" hidden="1">
      <c r="A542" s="5"/>
      <c r="B542" s="6"/>
      <c r="C542" s="7"/>
      <c r="D542" s="9"/>
      <c r="E542" s="8"/>
      <c r="F542" s="9"/>
      <c r="G542" s="9"/>
      <c r="H542" s="6"/>
      <c r="I542" s="9"/>
      <c r="J542" s="9" t="s">
        <v>145</v>
      </c>
    </row>
    <row r="543" spans="1:10" hidden="1">
      <c r="A543" s="5"/>
      <c r="B543" s="6"/>
      <c r="C543" s="7"/>
      <c r="D543" s="9"/>
      <c r="E543" s="4"/>
      <c r="F543" s="9"/>
      <c r="G543" s="9"/>
      <c r="H543" s="6"/>
      <c r="I543" s="9"/>
      <c r="J543" s="9" t="s">
        <v>145</v>
      </c>
    </row>
    <row r="544" spans="1:10" hidden="1">
      <c r="A544" s="5"/>
      <c r="B544" s="6"/>
      <c r="C544" s="7"/>
      <c r="D544" s="9"/>
      <c r="E544" s="8"/>
      <c r="F544" s="9"/>
      <c r="G544" s="9"/>
      <c r="H544" s="6"/>
      <c r="I544" s="9"/>
      <c r="J544" s="9" t="s">
        <v>145</v>
      </c>
    </row>
    <row r="545" spans="1:10" hidden="1">
      <c r="A545" s="5"/>
      <c r="B545" s="6"/>
      <c r="C545" s="7"/>
      <c r="D545" s="9"/>
      <c r="E545" s="8"/>
      <c r="F545" s="9"/>
      <c r="G545" s="9"/>
      <c r="H545" s="6"/>
      <c r="I545" s="9"/>
      <c r="J545" s="9" t="s">
        <v>145</v>
      </c>
    </row>
    <row r="546" spans="1:10" hidden="1">
      <c r="A546" s="5"/>
      <c r="B546" s="6"/>
      <c r="C546" s="7"/>
      <c r="D546" s="9"/>
      <c r="E546" s="8"/>
      <c r="F546" s="9"/>
      <c r="G546" s="9"/>
      <c r="H546" s="6"/>
      <c r="I546" s="9"/>
      <c r="J546" s="9" t="s">
        <v>145</v>
      </c>
    </row>
    <row r="547" spans="1:10" hidden="1">
      <c r="A547" s="5"/>
      <c r="B547" s="6"/>
      <c r="C547" s="7"/>
      <c r="D547" s="9"/>
      <c r="E547" s="8"/>
      <c r="F547" s="9"/>
      <c r="G547" s="9"/>
      <c r="H547" s="6"/>
      <c r="I547" s="9"/>
      <c r="J547" s="9" t="s">
        <v>145</v>
      </c>
    </row>
    <row r="548" spans="1:10" hidden="1">
      <c r="A548" s="5"/>
      <c r="B548" s="6"/>
      <c r="C548" s="7"/>
      <c r="D548" s="9"/>
      <c r="E548" s="8"/>
      <c r="F548" s="9"/>
      <c r="G548" s="9"/>
      <c r="H548" s="6"/>
      <c r="I548" s="9"/>
      <c r="J548" s="9" t="s">
        <v>145</v>
      </c>
    </row>
    <row r="549" spans="1:10" hidden="1">
      <c r="A549" s="5"/>
      <c r="B549" s="6"/>
      <c r="C549" s="7"/>
      <c r="D549" s="9"/>
      <c r="E549" s="8"/>
      <c r="F549" s="9"/>
      <c r="G549" s="9"/>
      <c r="H549" s="6"/>
      <c r="I549" s="9"/>
      <c r="J549" s="9" t="s">
        <v>145</v>
      </c>
    </row>
    <row r="550" spans="1:10" hidden="1">
      <c r="A550" s="5"/>
      <c r="B550" s="6"/>
      <c r="C550" s="7"/>
      <c r="D550" s="9"/>
      <c r="E550" s="8"/>
      <c r="F550" s="9"/>
      <c r="G550" s="9"/>
      <c r="H550" s="6"/>
      <c r="I550" s="9"/>
      <c r="J550" s="9" t="s">
        <v>145</v>
      </c>
    </row>
    <row r="551" spans="1:10" hidden="1">
      <c r="A551" s="5"/>
      <c r="B551" s="6"/>
      <c r="C551" s="7"/>
      <c r="D551" s="9"/>
      <c r="E551" s="8"/>
      <c r="F551" s="9"/>
      <c r="G551" s="9"/>
      <c r="H551" s="6"/>
      <c r="I551" s="9"/>
      <c r="J551" s="9" t="s">
        <v>145</v>
      </c>
    </row>
    <row r="552" spans="1:10" hidden="1">
      <c r="A552" s="5"/>
      <c r="B552" s="6"/>
      <c r="C552" s="7"/>
      <c r="D552" s="9"/>
      <c r="E552" s="8"/>
      <c r="F552" s="9"/>
      <c r="G552" s="9"/>
      <c r="H552" s="6"/>
      <c r="I552" s="9"/>
      <c r="J552" s="9" t="s">
        <v>145</v>
      </c>
    </row>
    <row r="553" spans="1:10" hidden="1">
      <c r="A553" s="5"/>
      <c r="B553" s="6"/>
      <c r="C553" s="7"/>
      <c r="D553" s="9"/>
      <c r="E553" s="4"/>
      <c r="F553" s="9"/>
      <c r="G553" s="9"/>
      <c r="H553" s="6"/>
      <c r="I553" s="9"/>
      <c r="J553" s="9" t="s">
        <v>145</v>
      </c>
    </row>
    <row r="554" spans="1:10" hidden="1">
      <c r="A554" s="5"/>
      <c r="B554" s="6"/>
      <c r="C554" s="7"/>
      <c r="D554" s="9"/>
      <c r="E554" s="8"/>
      <c r="F554" s="9"/>
      <c r="G554" s="9"/>
      <c r="H554" s="6"/>
      <c r="I554" s="9"/>
      <c r="J554" s="9" t="s">
        <v>145</v>
      </c>
    </row>
  </sheetData>
  <autoFilter ref="A6:M305" xr:uid="{B7411325-D959-40C5-9F01-09913600F1C6}"/>
  <mergeCells count="2">
    <mergeCell ref="A2:J2"/>
    <mergeCell ref="A3:B3"/>
  </mergeCells>
  <phoneticPr fontId="5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41A75-706A-442E-90FC-747D2C9BF07B}">
  <dimension ref="A2:M654"/>
  <sheetViews>
    <sheetView workbookViewId="0">
      <selection sqref="A1:A1048576"/>
    </sheetView>
  </sheetViews>
  <sheetFormatPr defaultColWidth="9.81640625" defaultRowHeight="17"/>
  <cols>
    <col min="1" max="1" width="7.81640625" style="10" customWidth="1"/>
    <col min="2" max="2" width="35.81640625" style="3" bestFit="1" customWidth="1"/>
    <col min="3" max="3" width="16.453125" style="10" customWidth="1"/>
    <col min="4" max="4" width="20.1796875" style="10" customWidth="1"/>
    <col min="5" max="5" width="27.453125" style="11" customWidth="1"/>
    <col min="6" max="7" width="10.54296875" style="10" customWidth="1"/>
    <col min="8" max="8" width="52.1796875" style="3" customWidth="1"/>
    <col min="9" max="9" width="8.7265625" style="10" customWidth="1"/>
    <col min="10" max="10" width="20" style="10" hidden="1" customWidth="1"/>
    <col min="11" max="16384" width="9.81640625" style="3"/>
  </cols>
  <sheetData>
    <row r="2" spans="1:13" s="31" customFormat="1" ht="35.15" customHeight="1">
      <c r="A2" s="96"/>
      <c r="B2" s="96"/>
      <c r="C2" s="96"/>
      <c r="D2" s="96"/>
      <c r="E2" s="96"/>
      <c r="F2" s="96"/>
      <c r="G2" s="96"/>
      <c r="H2" s="96"/>
      <c r="I2" s="96"/>
      <c r="J2" s="96"/>
      <c r="K2" s="30"/>
      <c r="L2" s="30"/>
      <c r="M2" s="30"/>
    </row>
    <row r="3" spans="1:13" s="31" customFormat="1" ht="23.15" customHeight="1">
      <c r="A3" s="97" t="s">
        <v>229</v>
      </c>
      <c r="B3" s="97"/>
      <c r="C3" s="32"/>
      <c r="D3" s="33"/>
      <c r="E3" s="32"/>
      <c r="F3" s="32"/>
      <c r="G3" s="32"/>
      <c r="H3" s="32"/>
      <c r="I3" s="32"/>
      <c r="J3" s="32"/>
      <c r="K3" s="32"/>
      <c r="L3" s="32"/>
      <c r="M3" s="34"/>
    </row>
    <row r="4" spans="1:13" ht="5.15" customHeight="1"/>
    <row r="5" spans="1:13">
      <c r="G5" s="10">
        <f>SUBTOTAL(3,G7:G1000)</f>
        <v>394</v>
      </c>
    </row>
    <row r="6" spans="1:13" ht="25.5" customHeight="1">
      <c r="A6" s="1" t="s">
        <v>102</v>
      </c>
      <c r="B6" s="2" t="s">
        <v>103</v>
      </c>
      <c r="C6" s="1" t="s">
        <v>104</v>
      </c>
      <c r="D6" s="1" t="s">
        <v>105</v>
      </c>
      <c r="E6" s="2" t="s">
        <v>106</v>
      </c>
      <c r="F6" s="1" t="s">
        <v>107</v>
      </c>
      <c r="G6" s="1" t="s">
        <v>6</v>
      </c>
      <c r="H6" s="1" t="s">
        <v>108</v>
      </c>
      <c r="I6" s="1" t="s">
        <v>109</v>
      </c>
      <c r="J6" s="1" t="s">
        <v>110</v>
      </c>
    </row>
    <row r="7" spans="1:13">
      <c r="A7" s="5" t="s">
        <v>239</v>
      </c>
      <c r="B7" s="6" t="s">
        <v>1325</v>
      </c>
      <c r="C7" s="7">
        <v>46108</v>
      </c>
      <c r="D7" s="9" t="s">
        <v>241</v>
      </c>
      <c r="E7" s="8" t="s">
        <v>28</v>
      </c>
      <c r="F7" s="9" t="s">
        <v>242</v>
      </c>
      <c r="G7" s="9">
        <v>1</v>
      </c>
      <c r="H7" s="6" t="s">
        <v>423</v>
      </c>
      <c r="I7" s="9" t="s">
        <v>388</v>
      </c>
      <c r="J7" s="9" t="s">
        <v>145</v>
      </c>
    </row>
    <row r="8" spans="1:13">
      <c r="A8" s="5" t="s">
        <v>245</v>
      </c>
      <c r="B8" s="6" t="s">
        <v>1325</v>
      </c>
      <c r="C8" s="7">
        <v>46108</v>
      </c>
      <c r="D8" s="9" t="s">
        <v>241</v>
      </c>
      <c r="E8" s="4" t="s">
        <v>27</v>
      </c>
      <c r="F8" s="9" t="s">
        <v>246</v>
      </c>
      <c r="G8" s="9">
        <v>1</v>
      </c>
      <c r="H8" s="6" t="s">
        <v>423</v>
      </c>
      <c r="I8" s="9" t="s">
        <v>388</v>
      </c>
      <c r="J8" s="9" t="s">
        <v>145</v>
      </c>
    </row>
    <row r="9" spans="1:13">
      <c r="A9" s="5" t="s">
        <v>247</v>
      </c>
      <c r="B9" s="6" t="s">
        <v>1325</v>
      </c>
      <c r="C9" s="7">
        <v>46108</v>
      </c>
      <c r="D9" s="9" t="s">
        <v>261</v>
      </c>
      <c r="E9" s="8" t="s">
        <v>62</v>
      </c>
      <c r="F9" s="9" t="s">
        <v>242</v>
      </c>
      <c r="G9" s="9">
        <v>2</v>
      </c>
      <c r="H9" s="6" t="s">
        <v>423</v>
      </c>
      <c r="I9" s="9" t="s">
        <v>388</v>
      </c>
      <c r="J9" s="9" t="s">
        <v>145</v>
      </c>
    </row>
    <row r="10" spans="1:13">
      <c r="A10" s="5" t="s">
        <v>250</v>
      </c>
      <c r="B10" s="6" t="s">
        <v>1325</v>
      </c>
      <c r="C10" s="7">
        <v>46108</v>
      </c>
      <c r="D10" s="9" t="s">
        <v>261</v>
      </c>
      <c r="E10" s="4" t="s">
        <v>281</v>
      </c>
      <c r="F10" s="9" t="s">
        <v>242</v>
      </c>
      <c r="G10" s="9">
        <v>2</v>
      </c>
      <c r="H10" s="6" t="s">
        <v>423</v>
      </c>
      <c r="I10" s="9" t="s">
        <v>388</v>
      </c>
      <c r="J10" s="9" t="s">
        <v>145</v>
      </c>
    </row>
    <row r="11" spans="1:13">
      <c r="A11" s="5" t="s">
        <v>251</v>
      </c>
      <c r="B11" s="6" t="s">
        <v>1326</v>
      </c>
      <c r="C11" s="7">
        <v>46108</v>
      </c>
      <c r="D11" s="9" t="s">
        <v>241</v>
      </c>
      <c r="E11" s="8" t="s">
        <v>1152</v>
      </c>
      <c r="F11" s="9" t="s">
        <v>242</v>
      </c>
      <c r="G11" s="9">
        <v>1</v>
      </c>
      <c r="H11" s="6" t="s">
        <v>1327</v>
      </c>
      <c r="I11" s="9" t="s">
        <v>357</v>
      </c>
      <c r="J11" s="9" t="s">
        <v>145</v>
      </c>
    </row>
    <row r="12" spans="1:13">
      <c r="A12" s="5" t="s">
        <v>254</v>
      </c>
      <c r="B12" s="6" t="s">
        <v>1326</v>
      </c>
      <c r="C12" s="7">
        <v>46108</v>
      </c>
      <c r="D12" s="9" t="s">
        <v>241</v>
      </c>
      <c r="E12" s="8" t="s">
        <v>29</v>
      </c>
      <c r="F12" s="9" t="s">
        <v>246</v>
      </c>
      <c r="G12" s="9">
        <v>1</v>
      </c>
      <c r="H12" s="6" t="s">
        <v>1327</v>
      </c>
      <c r="I12" s="9" t="s">
        <v>357</v>
      </c>
      <c r="J12" s="9" t="s">
        <v>145</v>
      </c>
    </row>
    <row r="13" spans="1:13">
      <c r="A13" s="5" t="s">
        <v>255</v>
      </c>
      <c r="B13" s="6" t="s">
        <v>1326</v>
      </c>
      <c r="C13" s="7">
        <v>46108</v>
      </c>
      <c r="D13" s="9" t="s">
        <v>261</v>
      </c>
      <c r="E13" s="8" t="s">
        <v>281</v>
      </c>
      <c r="F13" s="9" t="s">
        <v>242</v>
      </c>
      <c r="G13" s="9">
        <v>5</v>
      </c>
      <c r="H13" s="6" t="s">
        <v>1327</v>
      </c>
      <c r="I13" s="9" t="s">
        <v>357</v>
      </c>
      <c r="J13" s="9" t="s">
        <v>145</v>
      </c>
    </row>
    <row r="14" spans="1:13">
      <c r="A14" s="5" t="s">
        <v>259</v>
      </c>
      <c r="B14" s="6" t="s">
        <v>1328</v>
      </c>
      <c r="C14" s="7">
        <v>46111</v>
      </c>
      <c r="D14" s="9" t="s">
        <v>1329</v>
      </c>
      <c r="E14" s="8" t="s">
        <v>33</v>
      </c>
      <c r="F14" s="9" t="s">
        <v>242</v>
      </c>
      <c r="G14" s="9">
        <v>1</v>
      </c>
      <c r="H14" s="6" t="s">
        <v>1330</v>
      </c>
      <c r="I14" s="9" t="s">
        <v>628</v>
      </c>
      <c r="J14" s="9" t="s">
        <v>145</v>
      </c>
    </row>
    <row r="15" spans="1:13">
      <c r="A15" s="5" t="s">
        <v>260</v>
      </c>
      <c r="B15" s="6" t="s">
        <v>1328</v>
      </c>
      <c r="C15" s="7">
        <v>46111</v>
      </c>
      <c r="D15" s="9" t="s">
        <v>1329</v>
      </c>
      <c r="E15" s="8" t="s">
        <v>33</v>
      </c>
      <c r="F15" s="9" t="s">
        <v>246</v>
      </c>
      <c r="G15" s="9">
        <v>1</v>
      </c>
      <c r="H15" s="6" t="s">
        <v>1330</v>
      </c>
      <c r="I15" s="9" t="s">
        <v>628</v>
      </c>
      <c r="J15" s="9" t="s">
        <v>145</v>
      </c>
    </row>
    <row r="16" spans="1:13">
      <c r="A16" s="5" t="s">
        <v>262</v>
      </c>
      <c r="B16" s="6" t="s">
        <v>1331</v>
      </c>
      <c r="C16" s="7">
        <v>46111</v>
      </c>
      <c r="D16" s="9" t="s">
        <v>299</v>
      </c>
      <c r="E16" s="8" t="s">
        <v>376</v>
      </c>
      <c r="F16" s="9" t="s">
        <v>242</v>
      </c>
      <c r="G16" s="9">
        <v>1</v>
      </c>
      <c r="H16" s="6" t="s">
        <v>1332</v>
      </c>
      <c r="I16" s="9" t="s">
        <v>484</v>
      </c>
      <c r="J16" s="9" t="s">
        <v>145</v>
      </c>
    </row>
    <row r="17" spans="1:10">
      <c r="A17" s="5" t="s">
        <v>267</v>
      </c>
      <c r="B17" s="6" t="s">
        <v>1331</v>
      </c>
      <c r="C17" s="7">
        <v>46111</v>
      </c>
      <c r="D17" s="9" t="s">
        <v>299</v>
      </c>
      <c r="E17" s="8" t="s">
        <v>24</v>
      </c>
      <c r="F17" s="9" t="s">
        <v>246</v>
      </c>
      <c r="G17" s="9">
        <v>1</v>
      </c>
      <c r="H17" s="6" t="s">
        <v>1332</v>
      </c>
      <c r="I17" s="9" t="s">
        <v>484</v>
      </c>
      <c r="J17" s="9" t="s">
        <v>145</v>
      </c>
    </row>
    <row r="18" spans="1:10">
      <c r="A18" s="5" t="s">
        <v>268</v>
      </c>
      <c r="B18" s="6" t="s">
        <v>1331</v>
      </c>
      <c r="C18" s="7">
        <v>46111</v>
      </c>
      <c r="D18" s="9" t="s">
        <v>261</v>
      </c>
      <c r="E18" s="8" t="s">
        <v>64</v>
      </c>
      <c r="F18" s="9" t="s">
        <v>242</v>
      </c>
      <c r="G18" s="9">
        <v>3</v>
      </c>
      <c r="H18" s="6" t="s">
        <v>1332</v>
      </c>
      <c r="I18" s="9" t="s">
        <v>484</v>
      </c>
      <c r="J18" s="9" t="s">
        <v>145</v>
      </c>
    </row>
    <row r="19" spans="1:10">
      <c r="A19" s="5" t="s">
        <v>269</v>
      </c>
      <c r="B19" s="6" t="s">
        <v>1331</v>
      </c>
      <c r="C19" s="7">
        <v>46111</v>
      </c>
      <c r="D19" s="9" t="s">
        <v>270</v>
      </c>
      <c r="E19" s="8" t="s">
        <v>271</v>
      </c>
      <c r="F19" s="9" t="s">
        <v>242</v>
      </c>
      <c r="G19" s="9">
        <v>3</v>
      </c>
      <c r="H19" s="6" t="s">
        <v>1332</v>
      </c>
      <c r="I19" s="9" t="s">
        <v>484</v>
      </c>
      <c r="J19" s="9" t="s">
        <v>145</v>
      </c>
    </row>
    <row r="20" spans="1:10">
      <c r="A20" s="5" t="s">
        <v>272</v>
      </c>
      <c r="B20" s="6" t="s">
        <v>1331</v>
      </c>
      <c r="C20" s="7">
        <v>46111</v>
      </c>
      <c r="D20" s="9" t="s">
        <v>503</v>
      </c>
      <c r="E20" s="4" t="s">
        <v>162</v>
      </c>
      <c r="F20" s="9" t="s">
        <v>242</v>
      </c>
      <c r="G20" s="9">
        <v>1</v>
      </c>
      <c r="H20" s="6" t="s">
        <v>1332</v>
      </c>
      <c r="I20" s="9" t="s">
        <v>484</v>
      </c>
      <c r="J20" s="9" t="s">
        <v>145</v>
      </c>
    </row>
    <row r="21" spans="1:10">
      <c r="A21" s="5" t="s">
        <v>276</v>
      </c>
      <c r="B21" s="6" t="s">
        <v>1331</v>
      </c>
      <c r="C21" s="7">
        <v>46111</v>
      </c>
      <c r="D21" s="9" t="s">
        <v>503</v>
      </c>
      <c r="E21" s="8" t="s">
        <v>206</v>
      </c>
      <c r="F21" s="9" t="s">
        <v>242</v>
      </c>
      <c r="G21" s="9">
        <v>2</v>
      </c>
      <c r="H21" s="6" t="s">
        <v>1332</v>
      </c>
      <c r="I21" s="9" t="s">
        <v>484</v>
      </c>
      <c r="J21" s="9" t="s">
        <v>145</v>
      </c>
    </row>
    <row r="22" spans="1:10">
      <c r="A22" s="5" t="s">
        <v>277</v>
      </c>
      <c r="B22" s="6" t="s">
        <v>1333</v>
      </c>
      <c r="C22" s="7">
        <v>46111</v>
      </c>
      <c r="D22" s="9" t="s">
        <v>299</v>
      </c>
      <c r="E22" s="8" t="s">
        <v>1334</v>
      </c>
      <c r="F22" s="9" t="s">
        <v>242</v>
      </c>
      <c r="G22" s="9">
        <v>1</v>
      </c>
      <c r="H22" s="6" t="s">
        <v>1120</v>
      </c>
      <c r="I22" s="9" t="s">
        <v>258</v>
      </c>
      <c r="J22" s="9" t="s">
        <v>145</v>
      </c>
    </row>
    <row r="23" spans="1:10">
      <c r="A23" s="5" t="s">
        <v>279</v>
      </c>
      <c r="B23" s="6" t="s">
        <v>1333</v>
      </c>
      <c r="C23" s="7">
        <v>46111</v>
      </c>
      <c r="D23" s="9" t="s">
        <v>299</v>
      </c>
      <c r="E23" s="8" t="s">
        <v>24</v>
      </c>
      <c r="F23" s="9" t="s">
        <v>246</v>
      </c>
      <c r="G23" s="9">
        <v>1</v>
      </c>
      <c r="H23" s="6" t="s">
        <v>1120</v>
      </c>
      <c r="I23" s="9" t="s">
        <v>258</v>
      </c>
      <c r="J23" s="9" t="s">
        <v>145</v>
      </c>
    </row>
    <row r="24" spans="1:10">
      <c r="A24" s="5" t="s">
        <v>280</v>
      </c>
      <c r="B24" s="6" t="s">
        <v>1333</v>
      </c>
      <c r="C24" s="7">
        <v>46111</v>
      </c>
      <c r="D24" s="9" t="s">
        <v>261</v>
      </c>
      <c r="E24" s="8" t="s">
        <v>64</v>
      </c>
      <c r="F24" s="9" t="s">
        <v>242</v>
      </c>
      <c r="G24" s="9">
        <v>4</v>
      </c>
      <c r="H24" s="6" t="s">
        <v>1120</v>
      </c>
      <c r="I24" s="9" t="s">
        <v>258</v>
      </c>
      <c r="J24" s="9" t="s">
        <v>145</v>
      </c>
    </row>
    <row r="25" spans="1:10">
      <c r="A25" s="5" t="s">
        <v>282</v>
      </c>
      <c r="B25" s="6" t="s">
        <v>1333</v>
      </c>
      <c r="C25" s="7">
        <v>46111</v>
      </c>
      <c r="D25" s="9" t="s">
        <v>270</v>
      </c>
      <c r="E25" s="8" t="s">
        <v>271</v>
      </c>
      <c r="F25" s="9" t="s">
        <v>242</v>
      </c>
      <c r="G25" s="9">
        <v>4</v>
      </c>
      <c r="H25" s="6" t="s">
        <v>1120</v>
      </c>
      <c r="I25" s="9" t="s">
        <v>258</v>
      </c>
      <c r="J25" s="9" t="s">
        <v>145</v>
      </c>
    </row>
    <row r="26" spans="1:10">
      <c r="A26" s="5" t="s">
        <v>285</v>
      </c>
      <c r="B26" s="6" t="s">
        <v>1333</v>
      </c>
      <c r="C26" s="7">
        <v>46111</v>
      </c>
      <c r="D26" s="9" t="s">
        <v>503</v>
      </c>
      <c r="E26" s="4" t="s">
        <v>206</v>
      </c>
      <c r="F26" s="9" t="s">
        <v>242</v>
      </c>
      <c r="G26" s="9">
        <v>2</v>
      </c>
      <c r="H26" s="6" t="s">
        <v>1120</v>
      </c>
      <c r="I26" s="9" t="s">
        <v>258</v>
      </c>
      <c r="J26" s="9" t="s">
        <v>145</v>
      </c>
    </row>
    <row r="27" spans="1:10">
      <c r="A27" s="5" t="s">
        <v>286</v>
      </c>
      <c r="B27" s="6" t="s">
        <v>1335</v>
      </c>
      <c r="C27" s="7">
        <v>46112</v>
      </c>
      <c r="D27" s="9" t="s">
        <v>299</v>
      </c>
      <c r="E27" s="8" t="s">
        <v>22</v>
      </c>
      <c r="F27" s="9" t="s">
        <v>242</v>
      </c>
      <c r="G27" s="9">
        <v>1</v>
      </c>
      <c r="H27" s="6" t="s">
        <v>243</v>
      </c>
      <c r="I27" s="9" t="s">
        <v>284</v>
      </c>
      <c r="J27" s="9" t="s">
        <v>145</v>
      </c>
    </row>
    <row r="28" spans="1:10">
      <c r="A28" s="5" t="s">
        <v>287</v>
      </c>
      <c r="B28" s="6" t="s">
        <v>1335</v>
      </c>
      <c r="C28" s="7">
        <v>46112</v>
      </c>
      <c r="D28" s="9" t="s">
        <v>299</v>
      </c>
      <c r="E28" s="8" t="s">
        <v>22</v>
      </c>
      <c r="F28" s="9" t="s">
        <v>246</v>
      </c>
      <c r="G28" s="9">
        <v>1</v>
      </c>
      <c r="H28" s="6" t="s">
        <v>243</v>
      </c>
      <c r="I28" s="9" t="s">
        <v>284</v>
      </c>
      <c r="J28" s="9" t="s">
        <v>145</v>
      </c>
    </row>
    <row r="29" spans="1:10">
      <c r="A29" s="5" t="s">
        <v>290</v>
      </c>
      <c r="B29" s="6" t="s">
        <v>1336</v>
      </c>
      <c r="C29" s="7">
        <v>46113</v>
      </c>
      <c r="D29" s="9" t="s">
        <v>241</v>
      </c>
      <c r="E29" s="8" t="s">
        <v>992</v>
      </c>
      <c r="F29" s="9" t="s">
        <v>242</v>
      </c>
      <c r="G29" s="9">
        <v>1</v>
      </c>
      <c r="H29" s="6" t="s">
        <v>1337</v>
      </c>
      <c r="I29" s="9" t="s">
        <v>1280</v>
      </c>
      <c r="J29" s="9" t="s">
        <v>145</v>
      </c>
    </row>
    <row r="30" spans="1:10">
      <c r="A30" s="5" t="s">
        <v>291</v>
      </c>
      <c r="B30" s="6" t="s">
        <v>1336</v>
      </c>
      <c r="C30" s="7">
        <v>46113</v>
      </c>
      <c r="D30" s="9" t="s">
        <v>241</v>
      </c>
      <c r="E30" s="4" t="s">
        <v>29</v>
      </c>
      <c r="F30" s="9" t="s">
        <v>246</v>
      </c>
      <c r="G30" s="9">
        <v>1</v>
      </c>
      <c r="H30" s="6" t="s">
        <v>1337</v>
      </c>
      <c r="I30" s="9" t="s">
        <v>1280</v>
      </c>
      <c r="J30" s="9" t="s">
        <v>145</v>
      </c>
    </row>
    <row r="31" spans="1:10">
      <c r="A31" s="5" t="s">
        <v>293</v>
      </c>
      <c r="B31" s="6" t="s">
        <v>1336</v>
      </c>
      <c r="C31" s="7">
        <v>46113</v>
      </c>
      <c r="D31" s="9" t="s">
        <v>261</v>
      </c>
      <c r="E31" s="8" t="s">
        <v>281</v>
      </c>
      <c r="F31" s="9" t="s">
        <v>242</v>
      </c>
      <c r="G31" s="9">
        <v>2</v>
      </c>
      <c r="H31" s="6" t="s">
        <v>1337</v>
      </c>
      <c r="I31" s="9" t="s">
        <v>1280</v>
      </c>
      <c r="J31" s="9" t="s">
        <v>145</v>
      </c>
    </row>
    <row r="32" spans="1:10">
      <c r="A32" s="5" t="s">
        <v>294</v>
      </c>
      <c r="B32" s="6" t="s">
        <v>1336</v>
      </c>
      <c r="C32" s="7">
        <v>46113</v>
      </c>
      <c r="D32" s="9" t="s">
        <v>360</v>
      </c>
      <c r="E32" s="8" t="s">
        <v>59</v>
      </c>
      <c r="F32" s="9" t="s">
        <v>242</v>
      </c>
      <c r="G32" s="9">
        <v>1</v>
      </c>
      <c r="H32" s="6" t="s">
        <v>1337</v>
      </c>
      <c r="I32" s="9" t="s">
        <v>1280</v>
      </c>
      <c r="J32" s="9" t="s">
        <v>145</v>
      </c>
    </row>
    <row r="33" spans="1:10">
      <c r="A33" s="5" t="s">
        <v>296</v>
      </c>
      <c r="B33" s="6" t="s">
        <v>1338</v>
      </c>
      <c r="C33" s="7">
        <v>46113</v>
      </c>
      <c r="D33" s="9" t="s">
        <v>241</v>
      </c>
      <c r="E33" s="8" t="s">
        <v>1152</v>
      </c>
      <c r="F33" s="9" t="s">
        <v>242</v>
      </c>
      <c r="G33" s="9">
        <v>1</v>
      </c>
      <c r="H33" s="6" t="s">
        <v>1339</v>
      </c>
      <c r="I33" s="9" t="s">
        <v>244</v>
      </c>
      <c r="J33" s="9" t="s">
        <v>145</v>
      </c>
    </row>
    <row r="34" spans="1:10">
      <c r="A34" s="5" t="s">
        <v>297</v>
      </c>
      <c r="B34" s="6" t="s">
        <v>1338</v>
      </c>
      <c r="C34" s="7">
        <v>46113</v>
      </c>
      <c r="D34" s="9" t="s">
        <v>241</v>
      </c>
      <c r="E34" s="8" t="s">
        <v>29</v>
      </c>
      <c r="F34" s="9" t="s">
        <v>246</v>
      </c>
      <c r="G34" s="9">
        <v>1</v>
      </c>
      <c r="H34" s="6" t="s">
        <v>1339</v>
      </c>
      <c r="I34" s="9" t="s">
        <v>244</v>
      </c>
      <c r="J34" s="9" t="s">
        <v>145</v>
      </c>
    </row>
    <row r="35" spans="1:10">
      <c r="A35" s="5" t="s">
        <v>300</v>
      </c>
      <c r="B35" s="6" t="s">
        <v>1338</v>
      </c>
      <c r="C35" s="7">
        <v>46113</v>
      </c>
      <c r="D35" s="9" t="s">
        <v>261</v>
      </c>
      <c r="E35" s="8" t="s">
        <v>281</v>
      </c>
      <c r="F35" s="9" t="s">
        <v>242</v>
      </c>
      <c r="G35" s="9">
        <v>2</v>
      </c>
      <c r="H35" s="6" t="s">
        <v>1339</v>
      </c>
      <c r="I35" s="9" t="s">
        <v>244</v>
      </c>
      <c r="J35" s="9" t="s">
        <v>145</v>
      </c>
    </row>
    <row r="36" spans="1:10">
      <c r="A36" s="5" t="s">
        <v>301</v>
      </c>
      <c r="B36" s="6" t="s">
        <v>1340</v>
      </c>
      <c r="C36" s="7">
        <v>46113</v>
      </c>
      <c r="D36" s="9" t="s">
        <v>714</v>
      </c>
      <c r="E36" s="8" t="s">
        <v>715</v>
      </c>
      <c r="F36" s="9" t="s">
        <v>242</v>
      </c>
      <c r="G36" s="9">
        <v>1</v>
      </c>
      <c r="H36" s="6" t="s">
        <v>1341</v>
      </c>
      <c r="I36" s="9" t="s">
        <v>484</v>
      </c>
      <c r="J36" s="9" t="s">
        <v>145</v>
      </c>
    </row>
    <row r="37" spans="1:10">
      <c r="A37" s="5" t="s">
        <v>302</v>
      </c>
      <c r="B37" s="6" t="s">
        <v>1342</v>
      </c>
      <c r="C37" s="7">
        <v>46113</v>
      </c>
      <c r="D37" s="9" t="s">
        <v>564</v>
      </c>
      <c r="E37" s="8" t="s">
        <v>920</v>
      </c>
      <c r="F37" s="9" t="s">
        <v>242</v>
      </c>
      <c r="G37" s="9">
        <v>1</v>
      </c>
      <c r="H37" s="6" t="s">
        <v>1135</v>
      </c>
      <c r="I37" s="9" t="s">
        <v>976</v>
      </c>
      <c r="J37" s="9" t="s">
        <v>145</v>
      </c>
    </row>
    <row r="38" spans="1:10">
      <c r="A38" s="5" t="s">
        <v>303</v>
      </c>
      <c r="B38" s="6" t="s">
        <v>1342</v>
      </c>
      <c r="C38" s="7">
        <v>46113</v>
      </c>
      <c r="D38" s="9" t="s">
        <v>564</v>
      </c>
      <c r="E38" s="8" t="s">
        <v>41</v>
      </c>
      <c r="F38" s="9" t="s">
        <v>246</v>
      </c>
      <c r="G38" s="9">
        <v>1</v>
      </c>
      <c r="H38" s="6" t="s">
        <v>1135</v>
      </c>
      <c r="I38" s="9" t="s">
        <v>976</v>
      </c>
      <c r="J38" s="9" t="s">
        <v>145</v>
      </c>
    </row>
    <row r="39" spans="1:10">
      <c r="A39" s="5" t="s">
        <v>305</v>
      </c>
      <c r="B39" s="6" t="s">
        <v>1342</v>
      </c>
      <c r="C39" s="7">
        <v>46113</v>
      </c>
      <c r="D39" s="9" t="s">
        <v>261</v>
      </c>
      <c r="E39" s="8" t="s">
        <v>64</v>
      </c>
      <c r="F39" s="9" t="s">
        <v>242</v>
      </c>
      <c r="G39" s="9">
        <v>1</v>
      </c>
      <c r="H39" s="6" t="s">
        <v>1135</v>
      </c>
      <c r="I39" s="9" t="s">
        <v>976</v>
      </c>
      <c r="J39" s="9" t="s">
        <v>145</v>
      </c>
    </row>
    <row r="40" spans="1:10">
      <c r="A40" s="5" t="s">
        <v>306</v>
      </c>
      <c r="B40" s="6" t="s">
        <v>1342</v>
      </c>
      <c r="C40" s="7">
        <v>46113</v>
      </c>
      <c r="D40" s="9" t="s">
        <v>270</v>
      </c>
      <c r="E40" s="8" t="s">
        <v>271</v>
      </c>
      <c r="F40" s="9" t="s">
        <v>242</v>
      </c>
      <c r="G40" s="9">
        <v>1</v>
      </c>
      <c r="H40" s="6" t="s">
        <v>1135</v>
      </c>
      <c r="I40" s="9" t="s">
        <v>976</v>
      </c>
      <c r="J40" s="9" t="s">
        <v>145</v>
      </c>
    </row>
    <row r="41" spans="1:10">
      <c r="A41" s="5" t="s">
        <v>307</v>
      </c>
      <c r="B41" s="6" t="s">
        <v>1342</v>
      </c>
      <c r="C41" s="7">
        <v>46113</v>
      </c>
      <c r="D41" s="9" t="s">
        <v>503</v>
      </c>
      <c r="E41" s="8" t="s">
        <v>74</v>
      </c>
      <c r="F41" s="9" t="s">
        <v>242</v>
      </c>
      <c r="G41" s="9">
        <v>2</v>
      </c>
      <c r="H41" s="6" t="s">
        <v>1135</v>
      </c>
      <c r="I41" s="9" t="s">
        <v>976</v>
      </c>
      <c r="J41" s="9" t="s">
        <v>145</v>
      </c>
    </row>
    <row r="42" spans="1:10">
      <c r="A42" s="5" t="s">
        <v>308</v>
      </c>
      <c r="B42" s="6" t="s">
        <v>1343</v>
      </c>
      <c r="C42" s="7">
        <v>46113</v>
      </c>
      <c r="D42" s="9" t="s">
        <v>241</v>
      </c>
      <c r="E42" s="8" t="s">
        <v>28</v>
      </c>
      <c r="F42" s="9" t="s">
        <v>242</v>
      </c>
      <c r="G42" s="9">
        <v>1</v>
      </c>
      <c r="H42" s="6" t="s">
        <v>243</v>
      </c>
      <c r="I42" s="9" t="s">
        <v>284</v>
      </c>
      <c r="J42" s="9" t="s">
        <v>145</v>
      </c>
    </row>
    <row r="43" spans="1:10">
      <c r="A43" s="5" t="s">
        <v>312</v>
      </c>
      <c r="B43" s="6" t="s">
        <v>1343</v>
      </c>
      <c r="C43" s="7">
        <v>46113</v>
      </c>
      <c r="D43" s="9" t="s">
        <v>241</v>
      </c>
      <c r="E43" s="8" t="s">
        <v>29</v>
      </c>
      <c r="F43" s="9" t="s">
        <v>246</v>
      </c>
      <c r="G43" s="9">
        <v>1</v>
      </c>
      <c r="H43" s="6" t="s">
        <v>243</v>
      </c>
      <c r="I43" s="9" t="s">
        <v>284</v>
      </c>
      <c r="J43" s="9" t="s">
        <v>145</v>
      </c>
    </row>
    <row r="44" spans="1:10">
      <c r="A44" s="5" t="s">
        <v>313</v>
      </c>
      <c r="B44" s="6" t="s">
        <v>1344</v>
      </c>
      <c r="C44" s="7">
        <v>46113</v>
      </c>
      <c r="D44" s="9" t="s">
        <v>241</v>
      </c>
      <c r="E44" s="8" t="s">
        <v>28</v>
      </c>
      <c r="F44" s="9" t="s">
        <v>242</v>
      </c>
      <c r="G44" s="9">
        <v>1</v>
      </c>
      <c r="H44" s="6" t="s">
        <v>249</v>
      </c>
      <c r="I44" s="9" t="s">
        <v>388</v>
      </c>
      <c r="J44" s="9" t="s">
        <v>145</v>
      </c>
    </row>
    <row r="45" spans="1:10">
      <c r="A45" s="5" t="s">
        <v>314</v>
      </c>
      <c r="B45" s="6" t="s">
        <v>1344</v>
      </c>
      <c r="C45" s="7">
        <v>46113</v>
      </c>
      <c r="D45" s="9" t="s">
        <v>241</v>
      </c>
      <c r="E45" s="8" t="s">
        <v>27</v>
      </c>
      <c r="F45" s="9" t="s">
        <v>246</v>
      </c>
      <c r="G45" s="9">
        <v>1</v>
      </c>
      <c r="H45" s="6" t="s">
        <v>249</v>
      </c>
      <c r="I45" s="9" t="s">
        <v>388</v>
      </c>
      <c r="J45" s="9" t="s">
        <v>145</v>
      </c>
    </row>
    <row r="46" spans="1:10">
      <c r="A46" s="5" t="s">
        <v>317</v>
      </c>
      <c r="B46" s="6" t="s">
        <v>1345</v>
      </c>
      <c r="C46" s="7">
        <v>46114</v>
      </c>
      <c r="D46" s="9" t="s">
        <v>299</v>
      </c>
      <c r="E46" s="8" t="s">
        <v>22</v>
      </c>
      <c r="F46" s="9" t="s">
        <v>242</v>
      </c>
      <c r="G46" s="9">
        <v>1</v>
      </c>
      <c r="H46" s="6" t="s">
        <v>249</v>
      </c>
      <c r="I46" s="9" t="s">
        <v>311</v>
      </c>
      <c r="J46" s="9" t="s">
        <v>145</v>
      </c>
    </row>
    <row r="47" spans="1:10">
      <c r="A47" s="5" t="s">
        <v>318</v>
      </c>
      <c r="B47" s="6" t="s">
        <v>1345</v>
      </c>
      <c r="C47" s="7">
        <v>46114</v>
      </c>
      <c r="D47" s="9" t="s">
        <v>299</v>
      </c>
      <c r="E47" s="8" t="s">
        <v>376</v>
      </c>
      <c r="F47" s="9" t="s">
        <v>246</v>
      </c>
      <c r="G47" s="9">
        <v>1</v>
      </c>
      <c r="H47" s="6" t="s">
        <v>249</v>
      </c>
      <c r="I47" s="9" t="s">
        <v>311</v>
      </c>
      <c r="J47" s="9" t="s">
        <v>145</v>
      </c>
    </row>
    <row r="48" spans="1:10">
      <c r="A48" s="5" t="s">
        <v>321</v>
      </c>
      <c r="B48" s="6" t="s">
        <v>1346</v>
      </c>
      <c r="C48" s="7">
        <v>46114</v>
      </c>
      <c r="D48" s="9" t="s">
        <v>299</v>
      </c>
      <c r="E48" s="4" t="s">
        <v>1334</v>
      </c>
      <c r="F48" s="9" t="s">
        <v>242</v>
      </c>
      <c r="G48" s="9">
        <v>1</v>
      </c>
      <c r="H48" s="6" t="s">
        <v>310</v>
      </c>
      <c r="I48" s="9" t="s">
        <v>616</v>
      </c>
      <c r="J48" s="9" t="s">
        <v>145</v>
      </c>
    </row>
    <row r="49" spans="1:10">
      <c r="A49" s="5" t="s">
        <v>322</v>
      </c>
      <c r="B49" s="6" t="s">
        <v>1346</v>
      </c>
      <c r="C49" s="7">
        <v>46114</v>
      </c>
      <c r="D49" s="9" t="s">
        <v>299</v>
      </c>
      <c r="E49" s="4" t="s">
        <v>1334</v>
      </c>
      <c r="F49" s="9" t="s">
        <v>246</v>
      </c>
      <c r="G49" s="9">
        <v>1</v>
      </c>
      <c r="H49" s="6" t="s">
        <v>310</v>
      </c>
      <c r="I49" s="9" t="s">
        <v>616</v>
      </c>
      <c r="J49" s="9" t="s">
        <v>145</v>
      </c>
    </row>
    <row r="50" spans="1:10">
      <c r="A50" s="5" t="s">
        <v>324</v>
      </c>
      <c r="B50" s="6" t="s">
        <v>1347</v>
      </c>
      <c r="C50" s="7">
        <v>46114</v>
      </c>
      <c r="D50" s="9" t="s">
        <v>241</v>
      </c>
      <c r="E50" s="8" t="s">
        <v>1152</v>
      </c>
      <c r="F50" s="9" t="s">
        <v>242</v>
      </c>
      <c r="G50" s="9">
        <v>1</v>
      </c>
      <c r="H50" s="6" t="s">
        <v>328</v>
      </c>
      <c r="I50" s="9" t="s">
        <v>605</v>
      </c>
      <c r="J50" s="9" t="s">
        <v>145</v>
      </c>
    </row>
    <row r="51" spans="1:10">
      <c r="A51" s="5" t="s">
        <v>325</v>
      </c>
      <c r="B51" s="6" t="s">
        <v>1347</v>
      </c>
      <c r="C51" s="7">
        <v>46114</v>
      </c>
      <c r="D51" s="9" t="s">
        <v>241</v>
      </c>
      <c r="E51" s="8" t="s">
        <v>27</v>
      </c>
      <c r="F51" s="9" t="s">
        <v>246</v>
      </c>
      <c r="G51" s="9">
        <v>1</v>
      </c>
      <c r="H51" s="6" t="s">
        <v>328</v>
      </c>
      <c r="I51" s="9" t="s">
        <v>605</v>
      </c>
      <c r="J51" s="9" t="s">
        <v>145</v>
      </c>
    </row>
    <row r="52" spans="1:10">
      <c r="A52" s="5" t="s">
        <v>326</v>
      </c>
      <c r="B52" s="6" t="s">
        <v>1347</v>
      </c>
      <c r="C52" s="7">
        <v>46114</v>
      </c>
      <c r="D52" s="9" t="s">
        <v>261</v>
      </c>
      <c r="E52" s="8" t="s">
        <v>281</v>
      </c>
      <c r="F52" s="9" t="s">
        <v>242</v>
      </c>
      <c r="G52" s="9">
        <v>3</v>
      </c>
      <c r="H52" s="6" t="s">
        <v>328</v>
      </c>
      <c r="I52" s="9" t="s">
        <v>605</v>
      </c>
      <c r="J52" s="9" t="s">
        <v>145</v>
      </c>
    </row>
    <row r="53" spans="1:10">
      <c r="A53" s="5" t="s">
        <v>330</v>
      </c>
      <c r="B53" s="6" t="s">
        <v>1348</v>
      </c>
      <c r="C53" s="7">
        <v>46114</v>
      </c>
      <c r="D53" s="9" t="s">
        <v>241</v>
      </c>
      <c r="E53" s="4" t="s">
        <v>28</v>
      </c>
      <c r="F53" s="9" t="s">
        <v>242</v>
      </c>
      <c r="G53" s="9">
        <v>1</v>
      </c>
      <c r="H53" s="6" t="s">
        <v>328</v>
      </c>
      <c r="I53" s="9" t="s">
        <v>605</v>
      </c>
      <c r="J53" s="9" t="s">
        <v>145</v>
      </c>
    </row>
    <row r="54" spans="1:10">
      <c r="A54" s="5" t="s">
        <v>331</v>
      </c>
      <c r="B54" s="6" t="s">
        <v>1348</v>
      </c>
      <c r="C54" s="7">
        <v>46114</v>
      </c>
      <c r="D54" s="9" t="s">
        <v>241</v>
      </c>
      <c r="E54" s="8" t="s">
        <v>27</v>
      </c>
      <c r="F54" s="9" t="s">
        <v>246</v>
      </c>
      <c r="G54" s="9">
        <v>1</v>
      </c>
      <c r="H54" s="6" t="s">
        <v>328</v>
      </c>
      <c r="I54" s="9" t="s">
        <v>605</v>
      </c>
      <c r="J54" s="9" t="s">
        <v>145</v>
      </c>
    </row>
    <row r="55" spans="1:10">
      <c r="A55" s="5" t="s">
        <v>332</v>
      </c>
      <c r="B55" s="6" t="s">
        <v>1349</v>
      </c>
      <c r="C55" s="7">
        <v>46114</v>
      </c>
      <c r="D55" s="9" t="s">
        <v>241</v>
      </c>
      <c r="E55" s="4" t="s">
        <v>28</v>
      </c>
      <c r="F55" s="9" t="s">
        <v>242</v>
      </c>
      <c r="G55" s="9">
        <v>1</v>
      </c>
      <c r="H55" s="6" t="s">
        <v>423</v>
      </c>
      <c r="I55" s="9" t="s">
        <v>388</v>
      </c>
      <c r="J55" s="9" t="s">
        <v>145</v>
      </c>
    </row>
    <row r="56" spans="1:10">
      <c r="A56" s="5" t="s">
        <v>334</v>
      </c>
      <c r="B56" s="6" t="s">
        <v>1349</v>
      </c>
      <c r="C56" s="7">
        <v>46114</v>
      </c>
      <c r="D56" s="9" t="s">
        <v>241</v>
      </c>
      <c r="E56" s="8" t="s">
        <v>27</v>
      </c>
      <c r="F56" s="9" t="s">
        <v>246</v>
      </c>
      <c r="G56" s="9">
        <v>1</v>
      </c>
      <c r="H56" s="6" t="s">
        <v>423</v>
      </c>
      <c r="I56" s="9" t="s">
        <v>388</v>
      </c>
      <c r="J56" s="9" t="s">
        <v>145</v>
      </c>
    </row>
    <row r="57" spans="1:10">
      <c r="A57" s="5" t="s">
        <v>335</v>
      </c>
      <c r="B57" s="6" t="s">
        <v>1350</v>
      </c>
      <c r="C57" s="7">
        <v>46114</v>
      </c>
      <c r="D57" s="9" t="s">
        <v>241</v>
      </c>
      <c r="E57" s="4" t="s">
        <v>28</v>
      </c>
      <c r="F57" s="9" t="s">
        <v>242</v>
      </c>
      <c r="G57" s="9">
        <v>1</v>
      </c>
      <c r="H57" s="6" t="s">
        <v>587</v>
      </c>
      <c r="I57" s="9" t="s">
        <v>1280</v>
      </c>
      <c r="J57" s="9" t="s">
        <v>145</v>
      </c>
    </row>
    <row r="58" spans="1:10">
      <c r="A58" s="5" t="s">
        <v>338</v>
      </c>
      <c r="B58" s="6" t="s">
        <v>1351</v>
      </c>
      <c r="C58" s="7">
        <v>46115</v>
      </c>
      <c r="D58" s="9" t="s">
        <v>241</v>
      </c>
      <c r="E58" s="8" t="s">
        <v>28</v>
      </c>
      <c r="F58" s="9" t="s">
        <v>242</v>
      </c>
      <c r="G58" s="9">
        <v>1</v>
      </c>
      <c r="H58" s="6" t="s">
        <v>1352</v>
      </c>
      <c r="I58" s="9" t="s">
        <v>357</v>
      </c>
      <c r="J58" s="9" t="s">
        <v>145</v>
      </c>
    </row>
    <row r="59" spans="1:10">
      <c r="A59" s="5" t="s">
        <v>339</v>
      </c>
      <c r="B59" s="6" t="s">
        <v>1351</v>
      </c>
      <c r="C59" s="7">
        <v>46115</v>
      </c>
      <c r="D59" s="9" t="s">
        <v>241</v>
      </c>
      <c r="E59" s="8" t="s">
        <v>29</v>
      </c>
      <c r="F59" s="9" t="s">
        <v>246</v>
      </c>
      <c r="G59" s="9">
        <v>1</v>
      </c>
      <c r="H59" s="6" t="s">
        <v>1352</v>
      </c>
      <c r="I59" s="9" t="s">
        <v>357</v>
      </c>
      <c r="J59" s="9" t="s">
        <v>145</v>
      </c>
    </row>
    <row r="60" spans="1:10">
      <c r="A60" s="5" t="s">
        <v>342</v>
      </c>
      <c r="B60" s="6" t="s">
        <v>1351</v>
      </c>
      <c r="C60" s="7">
        <v>46115</v>
      </c>
      <c r="D60" s="9" t="s">
        <v>241</v>
      </c>
      <c r="E60" s="8" t="s">
        <v>28</v>
      </c>
      <c r="F60" s="9" t="s">
        <v>242</v>
      </c>
      <c r="G60" s="9">
        <v>1</v>
      </c>
      <c r="H60" s="6" t="s">
        <v>1353</v>
      </c>
      <c r="I60" s="9" t="s">
        <v>357</v>
      </c>
      <c r="J60" s="9" t="s">
        <v>145</v>
      </c>
    </row>
    <row r="61" spans="1:10">
      <c r="A61" s="5" t="s">
        <v>343</v>
      </c>
      <c r="B61" s="6" t="s">
        <v>1351</v>
      </c>
      <c r="C61" s="7">
        <v>46115</v>
      </c>
      <c r="D61" s="9" t="s">
        <v>241</v>
      </c>
      <c r="E61" s="8" t="s">
        <v>29</v>
      </c>
      <c r="F61" s="9" t="s">
        <v>246</v>
      </c>
      <c r="G61" s="9">
        <v>1</v>
      </c>
      <c r="H61" s="6" t="s">
        <v>1353</v>
      </c>
      <c r="I61" s="9" t="s">
        <v>357</v>
      </c>
      <c r="J61" s="9" t="s">
        <v>145</v>
      </c>
    </row>
    <row r="62" spans="1:10">
      <c r="A62" s="5" t="s">
        <v>345</v>
      </c>
      <c r="B62" s="6" t="s">
        <v>1354</v>
      </c>
      <c r="C62" s="7">
        <v>46115</v>
      </c>
      <c r="D62" s="9" t="s">
        <v>299</v>
      </c>
      <c r="E62" s="8" t="s">
        <v>376</v>
      </c>
      <c r="F62" s="9" t="s">
        <v>242</v>
      </c>
      <c r="G62" s="9">
        <v>1</v>
      </c>
      <c r="H62" s="6" t="s">
        <v>310</v>
      </c>
      <c r="I62" s="9" t="s">
        <v>284</v>
      </c>
      <c r="J62" s="9" t="s">
        <v>145</v>
      </c>
    </row>
    <row r="63" spans="1:10">
      <c r="A63" s="5" t="s">
        <v>346</v>
      </c>
      <c r="B63" s="6" t="s">
        <v>1354</v>
      </c>
      <c r="C63" s="7">
        <v>46115</v>
      </c>
      <c r="D63" s="9" t="s">
        <v>299</v>
      </c>
      <c r="E63" s="4" t="s">
        <v>376</v>
      </c>
      <c r="F63" s="9" t="s">
        <v>246</v>
      </c>
      <c r="G63" s="9">
        <v>1</v>
      </c>
      <c r="H63" s="6" t="s">
        <v>310</v>
      </c>
      <c r="I63" s="9" t="s">
        <v>284</v>
      </c>
      <c r="J63" s="9" t="s">
        <v>145</v>
      </c>
    </row>
    <row r="64" spans="1:10">
      <c r="A64" s="5" t="s">
        <v>349</v>
      </c>
      <c r="B64" s="6" t="s">
        <v>1355</v>
      </c>
      <c r="C64" s="7">
        <v>46118</v>
      </c>
      <c r="D64" s="9" t="s">
        <v>299</v>
      </c>
      <c r="E64" s="8" t="s">
        <v>376</v>
      </c>
      <c r="F64" s="9" t="s">
        <v>242</v>
      </c>
      <c r="G64" s="9">
        <v>1</v>
      </c>
      <c r="H64" s="6" t="s">
        <v>243</v>
      </c>
      <c r="I64" s="9" t="s">
        <v>514</v>
      </c>
      <c r="J64" s="9" t="s">
        <v>145</v>
      </c>
    </row>
    <row r="65" spans="1:10">
      <c r="A65" s="5" t="s">
        <v>350</v>
      </c>
      <c r="B65" s="6" t="s">
        <v>1355</v>
      </c>
      <c r="C65" s="7">
        <v>46118</v>
      </c>
      <c r="D65" s="9" t="s">
        <v>299</v>
      </c>
      <c r="E65" s="8" t="s">
        <v>376</v>
      </c>
      <c r="F65" s="9" t="s">
        <v>246</v>
      </c>
      <c r="G65" s="9">
        <v>1</v>
      </c>
      <c r="H65" s="6" t="s">
        <v>243</v>
      </c>
      <c r="I65" s="9" t="s">
        <v>514</v>
      </c>
      <c r="J65" s="9" t="s">
        <v>145</v>
      </c>
    </row>
    <row r="66" spans="1:10">
      <c r="A66" s="5" t="s">
        <v>353</v>
      </c>
      <c r="B66" s="6" t="s">
        <v>1356</v>
      </c>
      <c r="C66" s="7">
        <v>46119</v>
      </c>
      <c r="D66" s="9" t="s">
        <v>241</v>
      </c>
      <c r="E66" s="8" t="s">
        <v>1152</v>
      </c>
      <c r="F66" s="9" t="s">
        <v>242</v>
      </c>
      <c r="G66" s="9">
        <v>1</v>
      </c>
      <c r="H66" s="6" t="s">
        <v>243</v>
      </c>
      <c r="I66" s="9" t="s">
        <v>616</v>
      </c>
      <c r="J66" s="9" t="s">
        <v>145</v>
      </c>
    </row>
    <row r="67" spans="1:10">
      <c r="A67" s="5" t="s">
        <v>354</v>
      </c>
      <c r="B67" s="6" t="s">
        <v>1356</v>
      </c>
      <c r="C67" s="7">
        <v>46119</v>
      </c>
      <c r="D67" s="9" t="s">
        <v>241</v>
      </c>
      <c r="E67" s="8" t="s">
        <v>27</v>
      </c>
      <c r="F67" s="9" t="s">
        <v>246</v>
      </c>
      <c r="G67" s="9">
        <v>1</v>
      </c>
      <c r="H67" s="6" t="s">
        <v>243</v>
      </c>
      <c r="I67" s="9" t="s">
        <v>616</v>
      </c>
      <c r="J67" s="9" t="s">
        <v>145</v>
      </c>
    </row>
    <row r="68" spans="1:10">
      <c r="A68" s="5" t="s">
        <v>355</v>
      </c>
      <c r="B68" s="6" t="s">
        <v>1357</v>
      </c>
      <c r="C68" s="7">
        <v>46119</v>
      </c>
      <c r="D68" s="9" t="s">
        <v>299</v>
      </c>
      <c r="E68" s="8" t="s">
        <v>21</v>
      </c>
      <c r="F68" s="9" t="s">
        <v>242</v>
      </c>
      <c r="G68" s="9">
        <v>1</v>
      </c>
      <c r="H68" s="6" t="s">
        <v>243</v>
      </c>
      <c r="I68" s="9" t="s">
        <v>284</v>
      </c>
      <c r="J68" s="9" t="s">
        <v>145</v>
      </c>
    </row>
    <row r="69" spans="1:10">
      <c r="A69" s="5" t="s">
        <v>358</v>
      </c>
      <c r="B69" s="6" t="s">
        <v>1357</v>
      </c>
      <c r="C69" s="7">
        <v>46119</v>
      </c>
      <c r="D69" s="9" t="s">
        <v>299</v>
      </c>
      <c r="E69" s="8" t="s">
        <v>21</v>
      </c>
      <c r="F69" s="9" t="s">
        <v>246</v>
      </c>
      <c r="G69" s="9">
        <v>0</v>
      </c>
      <c r="H69" s="6" t="s">
        <v>243</v>
      </c>
      <c r="I69" s="9" t="s">
        <v>284</v>
      </c>
      <c r="J69" s="9" t="s">
        <v>145</v>
      </c>
    </row>
    <row r="70" spans="1:10">
      <c r="A70" s="5" t="s">
        <v>359</v>
      </c>
      <c r="B70" s="6" t="s">
        <v>1358</v>
      </c>
      <c r="C70" s="7">
        <v>46111</v>
      </c>
      <c r="D70" s="9" t="s">
        <v>241</v>
      </c>
      <c r="E70" s="8" t="s">
        <v>992</v>
      </c>
      <c r="F70" s="9" t="s">
        <v>242</v>
      </c>
      <c r="G70" s="9">
        <v>2</v>
      </c>
      <c r="H70" s="6" t="s">
        <v>993</v>
      </c>
      <c r="I70" s="9" t="s">
        <v>830</v>
      </c>
      <c r="J70" s="9" t="s">
        <v>145</v>
      </c>
    </row>
    <row r="71" spans="1:10">
      <c r="A71" s="5" t="s">
        <v>361</v>
      </c>
      <c r="B71" s="6" t="s">
        <v>1358</v>
      </c>
      <c r="C71" s="7">
        <v>46111</v>
      </c>
      <c r="D71" s="9" t="s">
        <v>241</v>
      </c>
      <c r="E71" s="8" t="s">
        <v>29</v>
      </c>
      <c r="F71" s="9" t="s">
        <v>246</v>
      </c>
      <c r="G71" s="9">
        <v>2</v>
      </c>
      <c r="H71" s="6" t="s">
        <v>993</v>
      </c>
      <c r="I71" s="9" t="s">
        <v>830</v>
      </c>
      <c r="J71" s="9" t="s">
        <v>145</v>
      </c>
    </row>
    <row r="72" spans="1:10">
      <c r="A72" s="5" t="s">
        <v>364</v>
      </c>
      <c r="B72" s="6" t="s">
        <v>1359</v>
      </c>
      <c r="C72" s="7">
        <v>46111</v>
      </c>
      <c r="D72" s="9" t="s">
        <v>241</v>
      </c>
      <c r="E72" s="4" t="s">
        <v>992</v>
      </c>
      <c r="F72" s="9" t="s">
        <v>242</v>
      </c>
      <c r="G72" s="9">
        <v>2</v>
      </c>
      <c r="H72" s="6" t="s">
        <v>993</v>
      </c>
      <c r="I72" s="9" t="s">
        <v>830</v>
      </c>
      <c r="J72" s="9" t="s">
        <v>145</v>
      </c>
    </row>
    <row r="73" spans="1:10">
      <c r="A73" s="5" t="s">
        <v>365</v>
      </c>
      <c r="B73" s="6" t="s">
        <v>1359</v>
      </c>
      <c r="C73" s="7">
        <v>46111</v>
      </c>
      <c r="D73" s="9" t="s">
        <v>241</v>
      </c>
      <c r="E73" s="8" t="s">
        <v>29</v>
      </c>
      <c r="F73" s="9" t="s">
        <v>246</v>
      </c>
      <c r="G73" s="9">
        <v>2</v>
      </c>
      <c r="H73" s="6" t="s">
        <v>993</v>
      </c>
      <c r="I73" s="9" t="s">
        <v>830</v>
      </c>
      <c r="J73" s="9" t="s">
        <v>145</v>
      </c>
    </row>
    <row r="74" spans="1:10">
      <c r="A74" s="5" t="s">
        <v>368</v>
      </c>
      <c r="B74" s="6" t="s">
        <v>1360</v>
      </c>
      <c r="C74" s="7">
        <v>46111</v>
      </c>
      <c r="D74" s="9" t="s">
        <v>241</v>
      </c>
      <c r="E74" s="8" t="s">
        <v>992</v>
      </c>
      <c r="F74" s="9" t="s">
        <v>242</v>
      </c>
      <c r="G74" s="9">
        <v>2</v>
      </c>
      <c r="H74" s="6" t="s">
        <v>993</v>
      </c>
      <c r="I74" s="9" t="s">
        <v>830</v>
      </c>
      <c r="J74" s="9" t="s">
        <v>145</v>
      </c>
    </row>
    <row r="75" spans="1:10">
      <c r="A75" s="5" t="s">
        <v>369</v>
      </c>
      <c r="B75" s="6" t="s">
        <v>1360</v>
      </c>
      <c r="C75" s="7">
        <v>46111</v>
      </c>
      <c r="D75" s="9" t="s">
        <v>241</v>
      </c>
      <c r="E75" s="8" t="s">
        <v>29</v>
      </c>
      <c r="F75" s="9" t="s">
        <v>246</v>
      </c>
      <c r="G75" s="9">
        <v>2</v>
      </c>
      <c r="H75" s="6" t="s">
        <v>993</v>
      </c>
      <c r="I75" s="9" t="s">
        <v>830</v>
      </c>
      <c r="J75" s="9" t="s">
        <v>145</v>
      </c>
    </row>
    <row r="76" spans="1:10">
      <c r="A76" s="5" t="s">
        <v>370</v>
      </c>
      <c r="B76" s="6" t="s">
        <v>1361</v>
      </c>
      <c r="C76" s="7">
        <v>46111</v>
      </c>
      <c r="D76" s="9" t="s">
        <v>241</v>
      </c>
      <c r="E76" s="8" t="s">
        <v>992</v>
      </c>
      <c r="F76" s="9" t="s">
        <v>242</v>
      </c>
      <c r="G76" s="9">
        <v>2</v>
      </c>
      <c r="H76" s="6" t="s">
        <v>993</v>
      </c>
      <c r="I76" s="9" t="s">
        <v>830</v>
      </c>
      <c r="J76" s="9" t="s">
        <v>145</v>
      </c>
    </row>
    <row r="77" spans="1:10">
      <c r="A77" s="5" t="s">
        <v>372</v>
      </c>
      <c r="B77" s="6" t="s">
        <v>1361</v>
      </c>
      <c r="C77" s="7">
        <v>46111</v>
      </c>
      <c r="D77" s="9" t="s">
        <v>241</v>
      </c>
      <c r="E77" s="8" t="s">
        <v>29</v>
      </c>
      <c r="F77" s="9" t="s">
        <v>246</v>
      </c>
      <c r="G77" s="9">
        <v>2</v>
      </c>
      <c r="H77" s="6" t="s">
        <v>993</v>
      </c>
      <c r="I77" s="9" t="s">
        <v>830</v>
      </c>
      <c r="J77" s="9" t="s">
        <v>145</v>
      </c>
    </row>
    <row r="78" spans="1:10">
      <c r="A78" s="5" t="s">
        <v>373</v>
      </c>
      <c r="B78" s="6" t="s">
        <v>1362</v>
      </c>
      <c r="C78" s="7">
        <v>46111</v>
      </c>
      <c r="D78" s="9" t="s">
        <v>241</v>
      </c>
      <c r="E78" s="8" t="s">
        <v>992</v>
      </c>
      <c r="F78" s="9" t="s">
        <v>242</v>
      </c>
      <c r="G78" s="9">
        <v>2</v>
      </c>
      <c r="H78" s="6" t="s">
        <v>993</v>
      </c>
      <c r="I78" s="9" t="s">
        <v>830</v>
      </c>
      <c r="J78" s="9" t="s">
        <v>145</v>
      </c>
    </row>
    <row r="79" spans="1:10">
      <c r="A79" s="5" t="s">
        <v>375</v>
      </c>
      <c r="B79" s="6" t="s">
        <v>1362</v>
      </c>
      <c r="C79" s="7">
        <v>46111</v>
      </c>
      <c r="D79" s="9" t="s">
        <v>241</v>
      </c>
      <c r="E79" s="8" t="s">
        <v>29</v>
      </c>
      <c r="F79" s="9" t="s">
        <v>246</v>
      </c>
      <c r="G79" s="9">
        <v>2</v>
      </c>
      <c r="H79" s="6" t="s">
        <v>993</v>
      </c>
      <c r="I79" s="9" t="s">
        <v>830</v>
      </c>
      <c r="J79" s="9" t="s">
        <v>145</v>
      </c>
    </row>
    <row r="80" spans="1:10">
      <c r="A80" s="5" t="s">
        <v>377</v>
      </c>
      <c r="B80" s="6" t="s">
        <v>1363</v>
      </c>
      <c r="C80" s="7">
        <v>46111</v>
      </c>
      <c r="D80" s="9" t="s">
        <v>241</v>
      </c>
      <c r="E80" s="4" t="s">
        <v>992</v>
      </c>
      <c r="F80" s="9" t="s">
        <v>242</v>
      </c>
      <c r="G80" s="9">
        <v>2</v>
      </c>
      <c r="H80" s="6" t="s">
        <v>993</v>
      </c>
      <c r="I80" s="9" t="s">
        <v>830</v>
      </c>
      <c r="J80" s="9" t="s">
        <v>145</v>
      </c>
    </row>
    <row r="81" spans="1:10">
      <c r="A81" s="5" t="s">
        <v>378</v>
      </c>
      <c r="B81" s="6" t="s">
        <v>1363</v>
      </c>
      <c r="C81" s="7">
        <v>46111</v>
      </c>
      <c r="D81" s="9" t="s">
        <v>241</v>
      </c>
      <c r="E81" s="8" t="s">
        <v>29</v>
      </c>
      <c r="F81" s="9" t="s">
        <v>246</v>
      </c>
      <c r="G81" s="9">
        <v>2</v>
      </c>
      <c r="H81" s="6" t="s">
        <v>993</v>
      </c>
      <c r="I81" s="9" t="s">
        <v>830</v>
      </c>
      <c r="J81" s="9" t="s">
        <v>145</v>
      </c>
    </row>
    <row r="82" spans="1:10">
      <c r="A82" s="5" t="s">
        <v>379</v>
      </c>
      <c r="B82" s="6" t="s">
        <v>1364</v>
      </c>
      <c r="C82" s="7">
        <v>46111</v>
      </c>
      <c r="D82" s="9" t="s">
        <v>241</v>
      </c>
      <c r="E82" s="8" t="s">
        <v>992</v>
      </c>
      <c r="F82" s="9" t="s">
        <v>242</v>
      </c>
      <c r="G82" s="9">
        <v>2</v>
      </c>
      <c r="H82" s="6" t="s">
        <v>993</v>
      </c>
      <c r="I82" s="9" t="s">
        <v>830</v>
      </c>
      <c r="J82" s="9" t="s">
        <v>145</v>
      </c>
    </row>
    <row r="83" spans="1:10">
      <c r="A83" s="5" t="s">
        <v>381</v>
      </c>
      <c r="B83" s="6" t="s">
        <v>1364</v>
      </c>
      <c r="C83" s="7">
        <v>46111</v>
      </c>
      <c r="D83" s="9" t="s">
        <v>241</v>
      </c>
      <c r="E83" s="8" t="s">
        <v>29</v>
      </c>
      <c r="F83" s="9" t="s">
        <v>246</v>
      </c>
      <c r="G83" s="9">
        <v>2</v>
      </c>
      <c r="H83" s="6" t="s">
        <v>993</v>
      </c>
      <c r="I83" s="9" t="s">
        <v>830</v>
      </c>
      <c r="J83" s="9" t="s">
        <v>145</v>
      </c>
    </row>
    <row r="84" spans="1:10">
      <c r="A84" s="5" t="s">
        <v>382</v>
      </c>
      <c r="B84" s="6" t="s">
        <v>1365</v>
      </c>
      <c r="C84" s="7">
        <v>46111</v>
      </c>
      <c r="D84" s="9" t="s">
        <v>241</v>
      </c>
      <c r="E84" s="8" t="s">
        <v>992</v>
      </c>
      <c r="F84" s="9" t="s">
        <v>242</v>
      </c>
      <c r="G84" s="9">
        <v>2</v>
      </c>
      <c r="H84" s="6" t="s">
        <v>993</v>
      </c>
      <c r="I84" s="9" t="s">
        <v>830</v>
      </c>
      <c r="J84" s="9" t="s">
        <v>145</v>
      </c>
    </row>
    <row r="85" spans="1:10">
      <c r="A85" s="5" t="s">
        <v>384</v>
      </c>
      <c r="B85" s="6" t="s">
        <v>1365</v>
      </c>
      <c r="C85" s="7">
        <v>46111</v>
      </c>
      <c r="D85" s="9" t="s">
        <v>241</v>
      </c>
      <c r="E85" s="8" t="s">
        <v>29</v>
      </c>
      <c r="F85" s="9" t="s">
        <v>246</v>
      </c>
      <c r="G85" s="9">
        <v>2</v>
      </c>
      <c r="H85" s="6" t="s">
        <v>993</v>
      </c>
      <c r="I85" s="9" t="s">
        <v>830</v>
      </c>
      <c r="J85" s="9" t="s">
        <v>145</v>
      </c>
    </row>
    <row r="86" spans="1:10">
      <c r="A86" s="5" t="s">
        <v>385</v>
      </c>
      <c r="B86" s="6" t="s">
        <v>1366</v>
      </c>
      <c r="C86" s="7">
        <v>46119</v>
      </c>
      <c r="D86" s="9" t="s">
        <v>241</v>
      </c>
      <c r="E86" s="8" t="s">
        <v>1152</v>
      </c>
      <c r="F86" s="9" t="s">
        <v>242</v>
      </c>
      <c r="G86" s="9">
        <v>1</v>
      </c>
      <c r="H86" s="6" t="s">
        <v>243</v>
      </c>
      <c r="I86" s="9" t="s">
        <v>616</v>
      </c>
      <c r="J86" s="9" t="s">
        <v>145</v>
      </c>
    </row>
    <row r="87" spans="1:10">
      <c r="A87" s="5" t="s">
        <v>389</v>
      </c>
      <c r="B87" s="6" t="s">
        <v>1366</v>
      </c>
      <c r="C87" s="7">
        <v>46119</v>
      </c>
      <c r="D87" s="9" t="s">
        <v>241</v>
      </c>
      <c r="E87" s="8" t="s">
        <v>27</v>
      </c>
      <c r="F87" s="9" t="s">
        <v>246</v>
      </c>
      <c r="G87" s="9">
        <v>1</v>
      </c>
      <c r="H87" s="6" t="s">
        <v>243</v>
      </c>
      <c r="I87" s="9" t="s">
        <v>616</v>
      </c>
      <c r="J87" s="9" t="s">
        <v>145</v>
      </c>
    </row>
    <row r="88" spans="1:10">
      <c r="A88" s="5" t="s">
        <v>390</v>
      </c>
      <c r="B88" s="6" t="s">
        <v>1367</v>
      </c>
      <c r="C88" s="7">
        <v>46120</v>
      </c>
      <c r="D88" s="9" t="s">
        <v>241</v>
      </c>
      <c r="E88" s="8" t="s">
        <v>1152</v>
      </c>
      <c r="F88" s="9" t="s">
        <v>242</v>
      </c>
      <c r="G88" s="9">
        <v>1</v>
      </c>
      <c r="H88" s="6" t="s">
        <v>954</v>
      </c>
      <c r="I88" s="9" t="s">
        <v>609</v>
      </c>
      <c r="J88" s="9" t="s">
        <v>145</v>
      </c>
    </row>
    <row r="89" spans="1:10">
      <c r="A89" s="5" t="s">
        <v>391</v>
      </c>
      <c r="B89" s="6" t="s">
        <v>1367</v>
      </c>
      <c r="C89" s="7">
        <v>46120</v>
      </c>
      <c r="D89" s="9" t="s">
        <v>241</v>
      </c>
      <c r="E89" s="8" t="s">
        <v>29</v>
      </c>
      <c r="F89" s="9" t="s">
        <v>246</v>
      </c>
      <c r="G89" s="9">
        <v>1</v>
      </c>
      <c r="H89" s="6" t="s">
        <v>954</v>
      </c>
      <c r="I89" s="9" t="s">
        <v>609</v>
      </c>
      <c r="J89" s="9" t="s">
        <v>145</v>
      </c>
    </row>
    <row r="90" spans="1:10">
      <c r="A90" s="5" t="s">
        <v>393</v>
      </c>
      <c r="B90" s="6" t="s">
        <v>1367</v>
      </c>
      <c r="C90" s="7">
        <v>46120</v>
      </c>
      <c r="D90" s="9" t="s">
        <v>261</v>
      </c>
      <c r="E90" s="8" t="s">
        <v>62</v>
      </c>
      <c r="F90" s="9" t="s">
        <v>242</v>
      </c>
      <c r="G90" s="9">
        <v>2</v>
      </c>
      <c r="H90" s="6" t="s">
        <v>954</v>
      </c>
      <c r="I90" s="9" t="s">
        <v>609</v>
      </c>
      <c r="J90" s="9" t="s">
        <v>145</v>
      </c>
    </row>
    <row r="91" spans="1:10">
      <c r="A91" s="5" t="s">
        <v>394</v>
      </c>
      <c r="B91" s="6" t="s">
        <v>1368</v>
      </c>
      <c r="C91" s="7">
        <v>46120</v>
      </c>
      <c r="D91" s="9" t="s">
        <v>241</v>
      </c>
      <c r="E91" s="8" t="s">
        <v>28</v>
      </c>
      <c r="F91" s="9" t="s">
        <v>242</v>
      </c>
      <c r="G91" s="9">
        <v>1</v>
      </c>
      <c r="H91" s="6" t="s">
        <v>513</v>
      </c>
      <c r="I91" s="9" t="s">
        <v>514</v>
      </c>
      <c r="J91" s="9" t="s">
        <v>145</v>
      </c>
    </row>
    <row r="92" spans="1:10">
      <c r="A92" s="5" t="s">
        <v>396</v>
      </c>
      <c r="B92" s="6" t="s">
        <v>1368</v>
      </c>
      <c r="C92" s="7">
        <v>46120</v>
      </c>
      <c r="D92" s="9" t="s">
        <v>241</v>
      </c>
      <c r="E92" s="8" t="s">
        <v>29</v>
      </c>
      <c r="F92" s="9" t="s">
        <v>246</v>
      </c>
      <c r="G92" s="9">
        <v>1</v>
      </c>
      <c r="H92" s="6" t="s">
        <v>513</v>
      </c>
      <c r="I92" s="9" t="s">
        <v>514</v>
      </c>
      <c r="J92" s="9" t="s">
        <v>145</v>
      </c>
    </row>
    <row r="93" spans="1:10">
      <c r="A93" s="5" t="s">
        <v>398</v>
      </c>
      <c r="B93" s="6" t="s">
        <v>1369</v>
      </c>
      <c r="C93" s="7">
        <v>46120</v>
      </c>
      <c r="D93" s="9" t="s">
        <v>1</v>
      </c>
      <c r="E93" s="4" t="s">
        <v>657</v>
      </c>
      <c r="F93" s="9" t="s">
        <v>242</v>
      </c>
      <c r="G93" s="9">
        <v>1</v>
      </c>
      <c r="H93" s="6" t="s">
        <v>1370</v>
      </c>
      <c r="I93" s="9" t="s">
        <v>311</v>
      </c>
      <c r="J93" s="9" t="s">
        <v>145</v>
      </c>
    </row>
    <row r="94" spans="1:10">
      <c r="A94" s="5" t="s">
        <v>399</v>
      </c>
      <c r="B94" s="6" t="s">
        <v>1369</v>
      </c>
      <c r="C94" s="7">
        <v>46120</v>
      </c>
      <c r="D94" s="9" t="s">
        <v>1</v>
      </c>
      <c r="E94" s="8" t="s">
        <v>659</v>
      </c>
      <c r="F94" s="9" t="s">
        <v>246</v>
      </c>
      <c r="G94" s="9">
        <v>1</v>
      </c>
      <c r="H94" s="6" t="s">
        <v>1370</v>
      </c>
      <c r="I94" s="9" t="s">
        <v>311</v>
      </c>
      <c r="J94" s="9" t="s">
        <v>145</v>
      </c>
    </row>
    <row r="95" spans="1:10">
      <c r="A95" s="5" t="s">
        <v>401</v>
      </c>
      <c r="B95" s="6" t="s">
        <v>1369</v>
      </c>
      <c r="C95" s="7">
        <v>46120</v>
      </c>
      <c r="D95" s="9" t="s">
        <v>261</v>
      </c>
      <c r="E95" s="8" t="s">
        <v>64</v>
      </c>
      <c r="F95" s="9" t="s">
        <v>242</v>
      </c>
      <c r="G95" s="9">
        <v>4</v>
      </c>
      <c r="H95" s="6" t="s">
        <v>1370</v>
      </c>
      <c r="I95" s="9" t="s">
        <v>311</v>
      </c>
      <c r="J95" s="9" t="s">
        <v>145</v>
      </c>
    </row>
    <row r="96" spans="1:10">
      <c r="A96" s="5" t="s">
        <v>402</v>
      </c>
      <c r="B96" s="6" t="s">
        <v>1369</v>
      </c>
      <c r="C96" s="7">
        <v>46120</v>
      </c>
      <c r="D96" s="9" t="s">
        <v>1024</v>
      </c>
      <c r="E96" s="8" t="s">
        <v>83</v>
      </c>
      <c r="F96" s="9" t="s">
        <v>242</v>
      </c>
      <c r="G96" s="9">
        <v>1</v>
      </c>
      <c r="H96" s="6" t="s">
        <v>1370</v>
      </c>
      <c r="I96" s="9" t="s">
        <v>311</v>
      </c>
      <c r="J96" s="9" t="s">
        <v>145</v>
      </c>
    </row>
    <row r="97" spans="1:10">
      <c r="A97" s="5" t="s">
        <v>403</v>
      </c>
      <c r="B97" s="6" t="s">
        <v>1369</v>
      </c>
      <c r="C97" s="7">
        <v>46120</v>
      </c>
      <c r="D97" s="9" t="s">
        <v>270</v>
      </c>
      <c r="E97" s="8" t="s">
        <v>271</v>
      </c>
      <c r="F97" s="9" t="s">
        <v>242</v>
      </c>
      <c r="G97" s="9">
        <v>4</v>
      </c>
      <c r="H97" s="6" t="s">
        <v>1370</v>
      </c>
      <c r="I97" s="9" t="s">
        <v>311</v>
      </c>
      <c r="J97" s="9" t="s">
        <v>145</v>
      </c>
    </row>
    <row r="98" spans="1:10">
      <c r="A98" s="5" t="s">
        <v>405</v>
      </c>
      <c r="B98" s="6" t="s">
        <v>1369</v>
      </c>
      <c r="C98" s="7">
        <v>46120</v>
      </c>
      <c r="D98" s="9" t="s">
        <v>270</v>
      </c>
      <c r="E98" s="8" t="s">
        <v>663</v>
      </c>
      <c r="F98" s="9" t="s">
        <v>242</v>
      </c>
      <c r="G98" s="9">
        <v>1</v>
      </c>
      <c r="H98" s="6" t="s">
        <v>1370</v>
      </c>
      <c r="I98" s="9" t="s">
        <v>311</v>
      </c>
      <c r="J98" s="9" t="s">
        <v>145</v>
      </c>
    </row>
    <row r="99" spans="1:10">
      <c r="A99" s="5" t="s">
        <v>406</v>
      </c>
      <c r="B99" s="6" t="s">
        <v>1371</v>
      </c>
      <c r="C99" s="7">
        <v>46121</v>
      </c>
      <c r="D99" s="9" t="s">
        <v>241</v>
      </c>
      <c r="E99" s="8" t="s">
        <v>1152</v>
      </c>
      <c r="F99" s="9" t="s">
        <v>242</v>
      </c>
      <c r="G99" s="9">
        <v>1</v>
      </c>
      <c r="H99" s="6" t="s">
        <v>243</v>
      </c>
      <c r="I99" s="9" t="s">
        <v>609</v>
      </c>
      <c r="J99" s="9" t="s">
        <v>145</v>
      </c>
    </row>
    <row r="100" spans="1:10">
      <c r="A100" s="5" t="s">
        <v>409</v>
      </c>
      <c r="B100" s="6" t="s">
        <v>1371</v>
      </c>
      <c r="C100" s="7">
        <v>46121</v>
      </c>
      <c r="D100" s="9" t="s">
        <v>241</v>
      </c>
      <c r="E100" s="8" t="s">
        <v>27</v>
      </c>
      <c r="F100" s="9" t="s">
        <v>246</v>
      </c>
      <c r="G100" s="9">
        <v>1</v>
      </c>
      <c r="H100" s="6" t="s">
        <v>243</v>
      </c>
      <c r="I100" s="9" t="s">
        <v>609</v>
      </c>
      <c r="J100" s="9" t="s">
        <v>145</v>
      </c>
    </row>
    <row r="101" spans="1:10">
      <c r="A101" s="5" t="s">
        <v>410</v>
      </c>
      <c r="B101" s="6" t="s">
        <v>1371</v>
      </c>
      <c r="C101" s="7">
        <v>46121</v>
      </c>
      <c r="D101" s="9" t="s">
        <v>261</v>
      </c>
      <c r="E101" s="8" t="s">
        <v>281</v>
      </c>
      <c r="F101" s="9" t="s">
        <v>242</v>
      </c>
      <c r="G101" s="9">
        <v>3</v>
      </c>
      <c r="H101" s="6" t="s">
        <v>243</v>
      </c>
      <c r="I101" s="9" t="s">
        <v>609</v>
      </c>
      <c r="J101" s="9" t="s">
        <v>145</v>
      </c>
    </row>
    <row r="102" spans="1:10">
      <c r="A102" s="5" t="s">
        <v>412</v>
      </c>
      <c r="B102" s="6" t="s">
        <v>1372</v>
      </c>
      <c r="C102" s="7">
        <v>46121</v>
      </c>
      <c r="D102" s="9" t="s">
        <v>241</v>
      </c>
      <c r="E102" s="8" t="s">
        <v>1152</v>
      </c>
      <c r="F102" s="9" t="s">
        <v>242</v>
      </c>
      <c r="G102" s="9">
        <v>1</v>
      </c>
      <c r="H102" s="6" t="s">
        <v>243</v>
      </c>
      <c r="I102" s="9" t="s">
        <v>609</v>
      </c>
      <c r="J102" s="9" t="s">
        <v>145</v>
      </c>
    </row>
    <row r="103" spans="1:10">
      <c r="A103" s="5" t="s">
        <v>413</v>
      </c>
      <c r="B103" s="6" t="s">
        <v>1372</v>
      </c>
      <c r="C103" s="7">
        <v>46121</v>
      </c>
      <c r="D103" s="9" t="s">
        <v>241</v>
      </c>
      <c r="E103" s="8" t="s">
        <v>27</v>
      </c>
      <c r="F103" s="9" t="s">
        <v>246</v>
      </c>
      <c r="G103" s="9">
        <v>1</v>
      </c>
      <c r="H103" s="6" t="s">
        <v>243</v>
      </c>
      <c r="I103" s="9" t="s">
        <v>609</v>
      </c>
      <c r="J103" s="9" t="s">
        <v>145</v>
      </c>
    </row>
    <row r="104" spans="1:10">
      <c r="A104" s="5" t="s">
        <v>416</v>
      </c>
      <c r="B104" s="6" t="s">
        <v>1373</v>
      </c>
      <c r="C104" s="7">
        <v>46122</v>
      </c>
      <c r="D104" s="9" t="s">
        <v>241</v>
      </c>
      <c r="E104" s="8" t="s">
        <v>1152</v>
      </c>
      <c r="F104" s="9" t="s">
        <v>242</v>
      </c>
      <c r="G104" s="9">
        <v>1</v>
      </c>
      <c r="H104" s="6" t="s">
        <v>1142</v>
      </c>
      <c r="I104" s="9" t="s">
        <v>275</v>
      </c>
      <c r="J104" s="9" t="s">
        <v>145</v>
      </c>
    </row>
    <row r="105" spans="1:10">
      <c r="A105" s="5" t="s">
        <v>417</v>
      </c>
      <c r="B105" s="6" t="s">
        <v>1373</v>
      </c>
      <c r="C105" s="7">
        <v>46122</v>
      </c>
      <c r="D105" s="9" t="s">
        <v>241</v>
      </c>
      <c r="E105" s="8" t="s">
        <v>29</v>
      </c>
      <c r="F105" s="9" t="s">
        <v>246</v>
      </c>
      <c r="G105" s="9">
        <v>1</v>
      </c>
      <c r="H105" s="6" t="s">
        <v>1142</v>
      </c>
      <c r="I105" s="9" t="s">
        <v>275</v>
      </c>
      <c r="J105" s="9" t="s">
        <v>145</v>
      </c>
    </row>
    <row r="106" spans="1:10">
      <c r="A106" s="5" t="s">
        <v>420</v>
      </c>
      <c r="B106" s="6" t="s">
        <v>1374</v>
      </c>
      <c r="C106" s="7">
        <v>46122</v>
      </c>
      <c r="D106" s="9" t="s">
        <v>241</v>
      </c>
      <c r="E106" s="8" t="s">
        <v>28</v>
      </c>
      <c r="F106" s="9" t="s">
        <v>242</v>
      </c>
      <c r="G106" s="9">
        <v>1</v>
      </c>
      <c r="H106" s="6" t="s">
        <v>1142</v>
      </c>
      <c r="I106" s="9" t="s">
        <v>329</v>
      </c>
      <c r="J106" s="9" t="s">
        <v>145</v>
      </c>
    </row>
    <row r="107" spans="1:10">
      <c r="A107" s="5" t="s">
        <v>421</v>
      </c>
      <c r="B107" s="6" t="s">
        <v>1374</v>
      </c>
      <c r="C107" s="7">
        <v>46122</v>
      </c>
      <c r="D107" s="9" t="s">
        <v>241</v>
      </c>
      <c r="E107" s="8" t="s">
        <v>29</v>
      </c>
      <c r="F107" s="9" t="s">
        <v>246</v>
      </c>
      <c r="G107" s="9">
        <v>1</v>
      </c>
      <c r="H107" s="6" t="s">
        <v>1142</v>
      </c>
      <c r="I107" s="9" t="s">
        <v>329</v>
      </c>
      <c r="J107" s="9" t="s">
        <v>145</v>
      </c>
    </row>
    <row r="108" spans="1:10">
      <c r="A108" s="5" t="s">
        <v>424</v>
      </c>
      <c r="B108" s="6" t="s">
        <v>1375</v>
      </c>
      <c r="C108" s="7">
        <v>46122</v>
      </c>
      <c r="D108" s="9" t="s">
        <v>241</v>
      </c>
      <c r="E108" s="8" t="s">
        <v>28</v>
      </c>
      <c r="F108" s="9" t="s">
        <v>242</v>
      </c>
      <c r="G108" s="9">
        <v>1</v>
      </c>
      <c r="H108" s="6" t="s">
        <v>249</v>
      </c>
      <c r="I108" s="9" t="s">
        <v>258</v>
      </c>
      <c r="J108" s="9" t="s">
        <v>145</v>
      </c>
    </row>
    <row r="109" spans="1:10">
      <c r="A109" s="5" t="s">
        <v>425</v>
      </c>
      <c r="B109" s="6" t="s">
        <v>1375</v>
      </c>
      <c r="C109" s="7">
        <v>46122</v>
      </c>
      <c r="D109" s="9" t="s">
        <v>241</v>
      </c>
      <c r="E109" s="4" t="s">
        <v>28</v>
      </c>
      <c r="F109" s="9" t="s">
        <v>246</v>
      </c>
      <c r="G109" s="9">
        <v>1</v>
      </c>
      <c r="H109" s="6" t="s">
        <v>249</v>
      </c>
      <c r="I109" s="9" t="s">
        <v>258</v>
      </c>
      <c r="J109" s="9" t="s">
        <v>145</v>
      </c>
    </row>
    <row r="110" spans="1:10">
      <c r="A110" s="5" t="s">
        <v>427</v>
      </c>
      <c r="B110" s="6" t="s">
        <v>1376</v>
      </c>
      <c r="C110" s="7">
        <v>46125</v>
      </c>
      <c r="D110" s="9" t="s">
        <v>241</v>
      </c>
      <c r="E110" s="8" t="s">
        <v>1152</v>
      </c>
      <c r="F110" s="9" t="s">
        <v>242</v>
      </c>
      <c r="G110" s="9">
        <v>1</v>
      </c>
      <c r="H110" s="6" t="s">
        <v>1142</v>
      </c>
      <c r="I110" s="9" t="s">
        <v>284</v>
      </c>
      <c r="J110" s="9" t="s">
        <v>145</v>
      </c>
    </row>
    <row r="111" spans="1:10" ht="15" customHeight="1">
      <c r="A111" s="5" t="s">
        <v>428</v>
      </c>
      <c r="B111" s="6" t="s">
        <v>1376</v>
      </c>
      <c r="C111" s="7">
        <v>46125</v>
      </c>
      <c r="D111" s="9" t="s">
        <v>241</v>
      </c>
      <c r="E111" s="8" t="s">
        <v>29</v>
      </c>
      <c r="F111" s="9" t="s">
        <v>246</v>
      </c>
      <c r="G111" s="9">
        <v>1</v>
      </c>
      <c r="H111" s="6" t="s">
        <v>1142</v>
      </c>
      <c r="I111" s="9" t="s">
        <v>284</v>
      </c>
      <c r="J111" s="9" t="s">
        <v>145</v>
      </c>
    </row>
    <row r="112" spans="1:10">
      <c r="A112" s="5" t="s">
        <v>430</v>
      </c>
      <c r="B112" s="6" t="s">
        <v>1376</v>
      </c>
      <c r="C112" s="7">
        <v>46125</v>
      </c>
      <c r="D112" s="9" t="s">
        <v>261</v>
      </c>
      <c r="E112" s="4" t="s">
        <v>62</v>
      </c>
      <c r="F112" s="9" t="s">
        <v>242</v>
      </c>
      <c r="G112" s="9">
        <v>2</v>
      </c>
      <c r="H112" s="6" t="s">
        <v>1142</v>
      </c>
      <c r="I112" s="9" t="s">
        <v>284</v>
      </c>
      <c r="J112" s="9" t="s">
        <v>145</v>
      </c>
    </row>
    <row r="113" spans="1:10">
      <c r="A113" s="5" t="s">
        <v>431</v>
      </c>
      <c r="B113" s="6" t="s">
        <v>1377</v>
      </c>
      <c r="C113" s="7">
        <v>46126</v>
      </c>
      <c r="D113" s="9" t="s">
        <v>241</v>
      </c>
      <c r="E113" s="8" t="s">
        <v>28</v>
      </c>
      <c r="F113" s="9" t="s">
        <v>242</v>
      </c>
      <c r="G113" s="9">
        <v>1</v>
      </c>
      <c r="H113" s="6" t="s">
        <v>1142</v>
      </c>
      <c r="I113" s="9" t="s">
        <v>244</v>
      </c>
      <c r="J113" s="9" t="s">
        <v>145</v>
      </c>
    </row>
    <row r="114" spans="1:10">
      <c r="A114" s="5" t="s">
        <v>433</v>
      </c>
      <c r="B114" s="6" t="s">
        <v>1377</v>
      </c>
      <c r="C114" s="7">
        <v>46126</v>
      </c>
      <c r="D114" s="9" t="s">
        <v>241</v>
      </c>
      <c r="E114" s="8" t="s">
        <v>29</v>
      </c>
      <c r="F114" s="9" t="s">
        <v>246</v>
      </c>
      <c r="G114" s="9">
        <v>1</v>
      </c>
      <c r="H114" s="6" t="s">
        <v>1142</v>
      </c>
      <c r="I114" s="9" t="s">
        <v>244</v>
      </c>
      <c r="J114" s="9" t="s">
        <v>145</v>
      </c>
    </row>
    <row r="115" spans="1:10">
      <c r="A115" s="5" t="s">
        <v>434</v>
      </c>
      <c r="B115" s="6" t="s">
        <v>1378</v>
      </c>
      <c r="C115" s="7">
        <v>46126</v>
      </c>
      <c r="D115" s="9" t="s">
        <v>241</v>
      </c>
      <c r="E115" s="4" t="s">
        <v>1152</v>
      </c>
      <c r="F115" s="9" t="s">
        <v>242</v>
      </c>
      <c r="G115" s="9">
        <v>1</v>
      </c>
      <c r="H115" s="6" t="s">
        <v>243</v>
      </c>
      <c r="I115" s="9" t="s">
        <v>284</v>
      </c>
      <c r="J115" s="9" t="s">
        <v>145</v>
      </c>
    </row>
    <row r="116" spans="1:10">
      <c r="A116" s="5" t="s">
        <v>435</v>
      </c>
      <c r="B116" s="6" t="s">
        <v>1378</v>
      </c>
      <c r="C116" s="7">
        <v>46126</v>
      </c>
      <c r="D116" s="9" t="s">
        <v>241</v>
      </c>
      <c r="E116" s="8" t="s">
        <v>29</v>
      </c>
      <c r="F116" s="9" t="s">
        <v>246</v>
      </c>
      <c r="G116" s="9">
        <v>1</v>
      </c>
      <c r="H116" s="6" t="s">
        <v>243</v>
      </c>
      <c r="I116" s="9" t="s">
        <v>284</v>
      </c>
      <c r="J116" s="9" t="s">
        <v>145</v>
      </c>
    </row>
    <row r="117" spans="1:10">
      <c r="A117" s="5" t="s">
        <v>437</v>
      </c>
      <c r="B117" s="6" t="s">
        <v>1379</v>
      </c>
      <c r="C117" s="7">
        <v>46126</v>
      </c>
      <c r="D117" s="9" t="s">
        <v>241</v>
      </c>
      <c r="E117" s="8" t="s">
        <v>28</v>
      </c>
      <c r="F117" s="9" t="s">
        <v>242</v>
      </c>
      <c r="G117" s="9">
        <v>1</v>
      </c>
      <c r="H117" s="6" t="s">
        <v>243</v>
      </c>
      <c r="I117" s="9" t="s">
        <v>918</v>
      </c>
      <c r="J117" s="9" t="s">
        <v>145</v>
      </c>
    </row>
    <row r="118" spans="1:10">
      <c r="A118" s="5" t="s">
        <v>438</v>
      </c>
      <c r="B118" s="6" t="s">
        <v>1379</v>
      </c>
      <c r="C118" s="7">
        <v>46126</v>
      </c>
      <c r="D118" s="9" t="s">
        <v>241</v>
      </c>
      <c r="E118" s="8" t="s">
        <v>29</v>
      </c>
      <c r="F118" s="9" t="s">
        <v>246</v>
      </c>
      <c r="G118" s="9">
        <v>1</v>
      </c>
      <c r="H118" s="6" t="s">
        <v>243</v>
      </c>
      <c r="I118" s="9" t="s">
        <v>918</v>
      </c>
      <c r="J118" s="9" t="s">
        <v>145</v>
      </c>
    </row>
    <row r="119" spans="1:10">
      <c r="A119" s="5" t="s">
        <v>439</v>
      </c>
      <c r="B119" s="6" t="s">
        <v>1380</v>
      </c>
      <c r="C119" s="7">
        <v>46126</v>
      </c>
      <c r="D119" s="9" t="s">
        <v>241</v>
      </c>
      <c r="E119" s="8" t="s">
        <v>28</v>
      </c>
      <c r="F119" s="9" t="s">
        <v>242</v>
      </c>
      <c r="G119" s="9">
        <v>1</v>
      </c>
      <c r="H119" s="6" t="s">
        <v>243</v>
      </c>
      <c r="I119" s="9" t="s">
        <v>918</v>
      </c>
      <c r="J119" s="9" t="s">
        <v>145</v>
      </c>
    </row>
    <row r="120" spans="1:10">
      <c r="A120" s="5" t="s">
        <v>441</v>
      </c>
      <c r="B120" s="6" t="s">
        <v>1380</v>
      </c>
      <c r="C120" s="7">
        <v>46126</v>
      </c>
      <c r="D120" s="9" t="s">
        <v>241</v>
      </c>
      <c r="E120" s="8" t="s">
        <v>29</v>
      </c>
      <c r="F120" s="9" t="s">
        <v>246</v>
      </c>
      <c r="G120" s="9">
        <v>1</v>
      </c>
      <c r="H120" s="6" t="s">
        <v>243</v>
      </c>
      <c r="I120" s="9" t="s">
        <v>918</v>
      </c>
      <c r="J120" s="9" t="s">
        <v>145</v>
      </c>
    </row>
    <row r="121" spans="1:10">
      <c r="A121" s="5" t="s">
        <v>442</v>
      </c>
      <c r="B121" s="6" t="s">
        <v>1381</v>
      </c>
      <c r="C121" s="7">
        <v>46122</v>
      </c>
      <c r="D121" s="9" t="s">
        <v>241</v>
      </c>
      <c r="E121" s="4" t="s">
        <v>28</v>
      </c>
      <c r="F121" s="9" t="s">
        <v>242</v>
      </c>
      <c r="G121" s="9">
        <v>1</v>
      </c>
      <c r="H121" s="6" t="s">
        <v>423</v>
      </c>
      <c r="I121" s="9" t="s">
        <v>514</v>
      </c>
      <c r="J121" s="9" t="s">
        <v>145</v>
      </c>
    </row>
    <row r="122" spans="1:10">
      <c r="A122" s="5" t="s">
        <v>444</v>
      </c>
      <c r="B122" s="6" t="s">
        <v>1381</v>
      </c>
      <c r="C122" s="7">
        <v>46122</v>
      </c>
      <c r="D122" s="9" t="s">
        <v>241</v>
      </c>
      <c r="E122" s="8" t="s">
        <v>29</v>
      </c>
      <c r="F122" s="9" t="s">
        <v>246</v>
      </c>
      <c r="G122" s="9">
        <v>1</v>
      </c>
      <c r="H122" s="6" t="s">
        <v>423</v>
      </c>
      <c r="I122" s="9" t="s">
        <v>514</v>
      </c>
      <c r="J122" s="9" t="s">
        <v>145</v>
      </c>
    </row>
    <row r="123" spans="1:10">
      <c r="A123" s="5" t="s">
        <v>445</v>
      </c>
      <c r="B123" s="6" t="s">
        <v>1381</v>
      </c>
      <c r="C123" s="7">
        <v>46122</v>
      </c>
      <c r="D123" s="9" t="s">
        <v>261</v>
      </c>
      <c r="E123" s="8" t="s">
        <v>281</v>
      </c>
      <c r="F123" s="9" t="s">
        <v>242</v>
      </c>
      <c r="G123" s="9">
        <v>2</v>
      </c>
      <c r="H123" s="6" t="s">
        <v>423</v>
      </c>
      <c r="I123" s="9" t="s">
        <v>514</v>
      </c>
      <c r="J123" s="9" t="s">
        <v>145</v>
      </c>
    </row>
    <row r="124" spans="1:10">
      <c r="A124" s="5" t="s">
        <v>446</v>
      </c>
      <c r="B124" s="6" t="s">
        <v>1382</v>
      </c>
      <c r="C124" s="7">
        <v>46122</v>
      </c>
      <c r="D124" s="9" t="s">
        <v>241</v>
      </c>
      <c r="E124" s="8" t="s">
        <v>28</v>
      </c>
      <c r="F124" s="9" t="s">
        <v>242</v>
      </c>
      <c r="G124" s="9">
        <v>1</v>
      </c>
      <c r="H124" s="6" t="s">
        <v>249</v>
      </c>
      <c r="I124" s="9" t="s">
        <v>284</v>
      </c>
      <c r="J124" s="9" t="s">
        <v>145</v>
      </c>
    </row>
    <row r="125" spans="1:10">
      <c r="A125" s="5" t="s">
        <v>448</v>
      </c>
      <c r="B125" s="6" t="s">
        <v>1382</v>
      </c>
      <c r="C125" s="7">
        <v>46122</v>
      </c>
      <c r="D125" s="9" t="s">
        <v>241</v>
      </c>
      <c r="E125" s="8" t="s">
        <v>29</v>
      </c>
      <c r="F125" s="9" t="s">
        <v>246</v>
      </c>
      <c r="G125" s="9">
        <v>1</v>
      </c>
      <c r="H125" s="6" t="s">
        <v>249</v>
      </c>
      <c r="I125" s="9" t="s">
        <v>284</v>
      </c>
      <c r="J125" s="9" t="s">
        <v>145</v>
      </c>
    </row>
    <row r="126" spans="1:10">
      <c r="A126" s="5" t="s">
        <v>449</v>
      </c>
      <c r="B126" s="6" t="s">
        <v>1382</v>
      </c>
      <c r="C126" s="7">
        <v>46122</v>
      </c>
      <c r="D126" s="9" t="s">
        <v>395</v>
      </c>
      <c r="E126" s="8" t="s">
        <v>57</v>
      </c>
      <c r="F126" s="9" t="s">
        <v>242</v>
      </c>
      <c r="G126" s="9">
        <v>1</v>
      </c>
      <c r="H126" s="6" t="s">
        <v>249</v>
      </c>
      <c r="I126" s="9" t="s">
        <v>284</v>
      </c>
      <c r="J126" s="9" t="s">
        <v>145</v>
      </c>
    </row>
    <row r="127" spans="1:10">
      <c r="A127" s="5" t="s">
        <v>450</v>
      </c>
      <c r="B127" s="6" t="s">
        <v>1383</v>
      </c>
      <c r="C127" s="7">
        <v>46122</v>
      </c>
      <c r="D127" s="9" t="s">
        <v>241</v>
      </c>
      <c r="E127" s="8" t="s">
        <v>28</v>
      </c>
      <c r="F127" s="9" t="s">
        <v>242</v>
      </c>
      <c r="G127" s="9">
        <v>1</v>
      </c>
      <c r="H127" s="6" t="s">
        <v>243</v>
      </c>
      <c r="I127" s="9" t="s">
        <v>357</v>
      </c>
      <c r="J127" s="9" t="s">
        <v>145</v>
      </c>
    </row>
    <row r="128" spans="1:10">
      <c r="A128" s="5" t="s">
        <v>451</v>
      </c>
      <c r="B128" s="6" t="s">
        <v>1383</v>
      </c>
      <c r="C128" s="7">
        <v>46122</v>
      </c>
      <c r="D128" s="9" t="s">
        <v>241</v>
      </c>
      <c r="E128" s="8" t="s">
        <v>29</v>
      </c>
      <c r="F128" s="9" t="s">
        <v>246</v>
      </c>
      <c r="G128" s="9">
        <v>1</v>
      </c>
      <c r="H128" s="6" t="s">
        <v>243</v>
      </c>
      <c r="I128" s="9" t="s">
        <v>357</v>
      </c>
      <c r="J128" s="9" t="s">
        <v>145</v>
      </c>
    </row>
    <row r="129" spans="1:10">
      <c r="A129" s="5" t="s">
        <v>453</v>
      </c>
      <c r="B129" s="6" t="s">
        <v>1384</v>
      </c>
      <c r="C129" s="7">
        <v>46122</v>
      </c>
      <c r="D129" s="9" t="s">
        <v>241</v>
      </c>
      <c r="E129" s="8" t="s">
        <v>1152</v>
      </c>
      <c r="F129" s="9" t="s">
        <v>242</v>
      </c>
      <c r="G129" s="9">
        <v>1</v>
      </c>
      <c r="H129" s="6" t="s">
        <v>243</v>
      </c>
      <c r="I129" s="9" t="s">
        <v>258</v>
      </c>
      <c r="J129" s="9" t="s">
        <v>145</v>
      </c>
    </row>
    <row r="130" spans="1:10">
      <c r="A130" s="5" t="s">
        <v>454</v>
      </c>
      <c r="B130" s="6" t="s">
        <v>1384</v>
      </c>
      <c r="C130" s="7">
        <v>46122</v>
      </c>
      <c r="D130" s="9" t="s">
        <v>241</v>
      </c>
      <c r="E130" s="8" t="s">
        <v>29</v>
      </c>
      <c r="F130" s="9" t="s">
        <v>246</v>
      </c>
      <c r="G130" s="9">
        <v>1</v>
      </c>
      <c r="H130" s="6" t="s">
        <v>243</v>
      </c>
      <c r="I130" s="9" t="s">
        <v>258</v>
      </c>
      <c r="J130" s="9" t="s">
        <v>145</v>
      </c>
    </row>
    <row r="131" spans="1:10">
      <c r="A131" s="5" t="s">
        <v>456</v>
      </c>
      <c r="B131" s="6" t="s">
        <v>1385</v>
      </c>
      <c r="C131" s="7">
        <v>46122</v>
      </c>
      <c r="D131" s="9" t="s">
        <v>241</v>
      </c>
      <c r="E131" s="8" t="s">
        <v>28</v>
      </c>
      <c r="F131" s="9" t="s">
        <v>242</v>
      </c>
      <c r="G131" s="9">
        <v>1</v>
      </c>
      <c r="H131" s="6" t="s">
        <v>1386</v>
      </c>
      <c r="I131" s="9" t="s">
        <v>514</v>
      </c>
      <c r="J131" s="9" t="s">
        <v>145</v>
      </c>
    </row>
    <row r="132" spans="1:10">
      <c r="A132" s="5" t="s">
        <v>457</v>
      </c>
      <c r="B132" s="6" t="s">
        <v>1385</v>
      </c>
      <c r="C132" s="7">
        <v>46122</v>
      </c>
      <c r="D132" s="9" t="s">
        <v>241</v>
      </c>
      <c r="E132" s="8" t="s">
        <v>29</v>
      </c>
      <c r="F132" s="9" t="s">
        <v>246</v>
      </c>
      <c r="G132" s="9">
        <v>1</v>
      </c>
      <c r="H132" s="6" t="s">
        <v>1386</v>
      </c>
      <c r="I132" s="9" t="s">
        <v>514</v>
      </c>
      <c r="J132" s="9" t="s">
        <v>145</v>
      </c>
    </row>
    <row r="133" spans="1:10">
      <c r="A133" s="5" t="s">
        <v>458</v>
      </c>
      <c r="B133" s="6" t="s">
        <v>1387</v>
      </c>
      <c r="C133" s="7">
        <v>46126</v>
      </c>
      <c r="D133" s="9" t="s">
        <v>299</v>
      </c>
      <c r="E133" s="8" t="s">
        <v>28</v>
      </c>
      <c r="F133" s="9" t="s">
        <v>242</v>
      </c>
      <c r="G133" s="9">
        <v>1</v>
      </c>
      <c r="H133" s="6" t="s">
        <v>1388</v>
      </c>
      <c r="I133" s="9" t="s">
        <v>258</v>
      </c>
      <c r="J133" s="9" t="s">
        <v>145</v>
      </c>
    </row>
    <row r="134" spans="1:10">
      <c r="A134" s="5" t="s">
        <v>460</v>
      </c>
      <c r="B134" s="6" t="s">
        <v>1387</v>
      </c>
      <c r="C134" s="7">
        <v>46126</v>
      </c>
      <c r="D134" s="9" t="s">
        <v>264</v>
      </c>
      <c r="E134" s="8" t="s">
        <v>38</v>
      </c>
      <c r="F134" s="9" t="s">
        <v>246</v>
      </c>
      <c r="G134" s="9">
        <v>1</v>
      </c>
      <c r="H134" s="6" t="s">
        <v>1388</v>
      </c>
      <c r="I134" s="9" t="s">
        <v>258</v>
      </c>
      <c r="J134" s="9" t="s">
        <v>145</v>
      </c>
    </row>
    <row r="135" spans="1:10">
      <c r="A135" s="5" t="s">
        <v>461</v>
      </c>
      <c r="B135" s="6" t="s">
        <v>1387</v>
      </c>
      <c r="C135" s="7">
        <v>46126</v>
      </c>
      <c r="D135" s="9" t="s">
        <v>261</v>
      </c>
      <c r="E135" s="4" t="s">
        <v>64</v>
      </c>
      <c r="F135" s="9" t="s">
        <v>242</v>
      </c>
      <c r="G135" s="9">
        <v>4</v>
      </c>
      <c r="H135" s="6" t="s">
        <v>1388</v>
      </c>
      <c r="I135" s="9" t="s">
        <v>258</v>
      </c>
      <c r="J135" s="9" t="s">
        <v>145</v>
      </c>
    </row>
    <row r="136" spans="1:10">
      <c r="A136" s="5" t="s">
        <v>463</v>
      </c>
      <c r="B136" s="6" t="s">
        <v>1387</v>
      </c>
      <c r="C136" s="7">
        <v>46126</v>
      </c>
      <c r="D136" s="9" t="s">
        <v>261</v>
      </c>
      <c r="E136" s="8" t="s">
        <v>65</v>
      </c>
      <c r="F136" s="9" t="s">
        <v>242</v>
      </c>
      <c r="G136" s="9">
        <v>1</v>
      </c>
      <c r="H136" s="6" t="s">
        <v>1388</v>
      </c>
      <c r="I136" s="9" t="s">
        <v>258</v>
      </c>
      <c r="J136" s="9" t="s">
        <v>145</v>
      </c>
    </row>
    <row r="137" spans="1:10">
      <c r="A137" s="5" t="s">
        <v>464</v>
      </c>
      <c r="B137" s="6" t="s">
        <v>1387</v>
      </c>
      <c r="C137" s="7">
        <v>46126</v>
      </c>
      <c r="D137" s="9" t="s">
        <v>270</v>
      </c>
      <c r="E137" s="8" t="s">
        <v>271</v>
      </c>
      <c r="F137" s="9" t="s">
        <v>242</v>
      </c>
      <c r="G137" s="9">
        <v>5</v>
      </c>
      <c r="H137" s="6" t="s">
        <v>1388</v>
      </c>
      <c r="I137" s="9" t="s">
        <v>258</v>
      </c>
      <c r="J137" s="9" t="s">
        <v>145</v>
      </c>
    </row>
    <row r="138" spans="1:10">
      <c r="A138" s="5" t="s">
        <v>466</v>
      </c>
      <c r="B138" s="6" t="s">
        <v>1387</v>
      </c>
      <c r="C138" s="7">
        <v>46126</v>
      </c>
      <c r="D138" s="9" t="s">
        <v>503</v>
      </c>
      <c r="E138" s="8" t="s">
        <v>162</v>
      </c>
      <c r="F138" s="9" t="s">
        <v>242</v>
      </c>
      <c r="G138" s="9">
        <v>1</v>
      </c>
      <c r="H138" s="6" t="s">
        <v>1388</v>
      </c>
      <c r="I138" s="9" t="s">
        <v>258</v>
      </c>
      <c r="J138" s="9" t="s">
        <v>145</v>
      </c>
    </row>
    <row r="139" spans="1:10">
      <c r="A139" s="5" t="s">
        <v>467</v>
      </c>
      <c r="B139" s="6" t="s">
        <v>1387</v>
      </c>
      <c r="C139" s="7">
        <v>46126</v>
      </c>
      <c r="D139" s="9" t="s">
        <v>503</v>
      </c>
      <c r="E139" s="8" t="s">
        <v>206</v>
      </c>
      <c r="F139" s="9" t="s">
        <v>242</v>
      </c>
      <c r="G139" s="9">
        <v>2</v>
      </c>
      <c r="H139" s="6" t="s">
        <v>1388</v>
      </c>
      <c r="I139" s="9" t="s">
        <v>258</v>
      </c>
      <c r="J139" s="9" t="s">
        <v>145</v>
      </c>
    </row>
    <row r="140" spans="1:10">
      <c r="A140" s="5" t="s">
        <v>468</v>
      </c>
      <c r="B140" s="6" t="s">
        <v>1389</v>
      </c>
      <c r="C140" s="7">
        <v>46126</v>
      </c>
      <c r="D140" s="9" t="s">
        <v>241</v>
      </c>
      <c r="E140" s="8" t="s">
        <v>1152</v>
      </c>
      <c r="F140" s="9" t="s">
        <v>242</v>
      </c>
      <c r="G140" s="9">
        <v>1</v>
      </c>
      <c r="H140" s="6" t="s">
        <v>1175</v>
      </c>
      <c r="I140" s="9" t="s">
        <v>275</v>
      </c>
      <c r="J140" s="9" t="s">
        <v>145</v>
      </c>
    </row>
    <row r="141" spans="1:10">
      <c r="A141" s="5" t="s">
        <v>471</v>
      </c>
      <c r="B141" s="6" t="s">
        <v>1389</v>
      </c>
      <c r="C141" s="7">
        <v>46126</v>
      </c>
      <c r="D141" s="9" t="s">
        <v>241</v>
      </c>
      <c r="E141" s="8" t="s">
        <v>29</v>
      </c>
      <c r="F141" s="9" t="s">
        <v>246</v>
      </c>
      <c r="G141" s="9">
        <v>1</v>
      </c>
      <c r="H141" s="6" t="s">
        <v>1175</v>
      </c>
      <c r="I141" s="9" t="s">
        <v>275</v>
      </c>
      <c r="J141" s="9" t="s">
        <v>145</v>
      </c>
    </row>
    <row r="142" spans="1:10">
      <c r="A142" s="5" t="s">
        <v>472</v>
      </c>
      <c r="B142" s="6" t="s">
        <v>1389</v>
      </c>
      <c r="C142" s="7">
        <v>46126</v>
      </c>
      <c r="D142" s="9" t="s">
        <v>261</v>
      </c>
      <c r="E142" s="4" t="s">
        <v>62</v>
      </c>
      <c r="F142" s="9" t="s">
        <v>242</v>
      </c>
      <c r="G142" s="9">
        <v>1</v>
      </c>
      <c r="H142" s="6" t="s">
        <v>1175</v>
      </c>
      <c r="I142" s="9" t="s">
        <v>275</v>
      </c>
      <c r="J142" s="9" t="s">
        <v>145</v>
      </c>
    </row>
    <row r="143" spans="1:10">
      <c r="A143" s="5" t="s">
        <v>475</v>
      </c>
      <c r="B143" s="6" t="s">
        <v>1390</v>
      </c>
      <c r="C143" s="7">
        <v>46126</v>
      </c>
      <c r="D143" s="9" t="s">
        <v>241</v>
      </c>
      <c r="E143" s="4" t="s">
        <v>1152</v>
      </c>
      <c r="F143" s="9" t="s">
        <v>242</v>
      </c>
      <c r="G143" s="9">
        <v>1</v>
      </c>
      <c r="H143" s="6" t="s">
        <v>243</v>
      </c>
      <c r="I143" s="9" t="s">
        <v>275</v>
      </c>
      <c r="J143" s="9" t="s">
        <v>145</v>
      </c>
    </row>
    <row r="144" spans="1:10">
      <c r="A144" s="5" t="s">
        <v>476</v>
      </c>
      <c r="B144" s="6" t="s">
        <v>1390</v>
      </c>
      <c r="C144" s="7">
        <v>46126</v>
      </c>
      <c r="D144" s="9" t="s">
        <v>241</v>
      </c>
      <c r="E144" s="8" t="s">
        <v>29</v>
      </c>
      <c r="F144" s="9" t="s">
        <v>246</v>
      </c>
      <c r="G144" s="9">
        <v>1</v>
      </c>
      <c r="H144" s="6" t="s">
        <v>243</v>
      </c>
      <c r="I144" s="9" t="s">
        <v>275</v>
      </c>
      <c r="J144" s="9" t="s">
        <v>145</v>
      </c>
    </row>
    <row r="145" spans="1:10">
      <c r="A145" s="5" t="s">
        <v>477</v>
      </c>
      <c r="B145" s="6" t="s">
        <v>1391</v>
      </c>
      <c r="C145" s="7">
        <v>46127</v>
      </c>
      <c r="D145" s="9" t="s">
        <v>299</v>
      </c>
      <c r="E145" s="8" t="s">
        <v>376</v>
      </c>
      <c r="F145" s="9" t="s">
        <v>242</v>
      </c>
      <c r="G145" s="9">
        <v>1</v>
      </c>
      <c r="H145" s="6" t="s">
        <v>423</v>
      </c>
      <c r="I145" s="9" t="s">
        <v>289</v>
      </c>
      <c r="J145" s="9" t="s">
        <v>145</v>
      </c>
    </row>
    <row r="146" spans="1:10">
      <c r="A146" s="5" t="s">
        <v>478</v>
      </c>
      <c r="B146" s="6" t="s">
        <v>1391</v>
      </c>
      <c r="C146" s="7">
        <v>46127</v>
      </c>
      <c r="D146" s="9" t="s">
        <v>299</v>
      </c>
      <c r="E146" s="8" t="s">
        <v>22</v>
      </c>
      <c r="F146" s="9" t="s">
        <v>246</v>
      </c>
      <c r="G146" s="9">
        <v>1</v>
      </c>
      <c r="H146" s="6" t="s">
        <v>423</v>
      </c>
      <c r="I146" s="9" t="s">
        <v>289</v>
      </c>
      <c r="J146" s="9" t="s">
        <v>145</v>
      </c>
    </row>
    <row r="147" spans="1:10">
      <c r="A147" s="5" t="s">
        <v>480</v>
      </c>
      <c r="B147" s="6" t="s">
        <v>1392</v>
      </c>
      <c r="C147" s="7">
        <v>46128</v>
      </c>
      <c r="D147" s="9" t="s">
        <v>241</v>
      </c>
      <c r="E147" s="4" t="s">
        <v>1152</v>
      </c>
      <c r="F147" s="9" t="s">
        <v>242</v>
      </c>
      <c r="G147" s="9">
        <v>1</v>
      </c>
      <c r="H147" s="6" t="s">
        <v>320</v>
      </c>
      <c r="I147" s="9" t="s">
        <v>605</v>
      </c>
      <c r="J147" s="9" t="s">
        <v>145</v>
      </c>
    </row>
    <row r="148" spans="1:10">
      <c r="A148" s="5" t="s">
        <v>481</v>
      </c>
      <c r="B148" s="6" t="s">
        <v>1392</v>
      </c>
      <c r="C148" s="7">
        <v>46128</v>
      </c>
      <c r="D148" s="9" t="s">
        <v>241</v>
      </c>
      <c r="E148" s="8" t="s">
        <v>27</v>
      </c>
      <c r="F148" s="9" t="s">
        <v>246</v>
      </c>
      <c r="G148" s="9">
        <v>1</v>
      </c>
      <c r="H148" s="6" t="s">
        <v>320</v>
      </c>
      <c r="I148" s="9" t="s">
        <v>605</v>
      </c>
      <c r="J148" s="9" t="s">
        <v>145</v>
      </c>
    </row>
    <row r="149" spans="1:10">
      <c r="A149" s="5" t="s">
        <v>482</v>
      </c>
      <c r="B149" s="6" t="s">
        <v>1392</v>
      </c>
      <c r="C149" s="7">
        <v>46128</v>
      </c>
      <c r="D149" s="9" t="s">
        <v>261</v>
      </c>
      <c r="E149" s="8" t="s">
        <v>281</v>
      </c>
      <c r="F149" s="9" t="s">
        <v>242</v>
      </c>
      <c r="G149" s="9">
        <v>2</v>
      </c>
      <c r="H149" s="6" t="s">
        <v>320</v>
      </c>
      <c r="I149" s="9" t="s">
        <v>605</v>
      </c>
      <c r="J149" s="9" t="s">
        <v>145</v>
      </c>
    </row>
    <row r="150" spans="1:10">
      <c r="A150" s="5" t="s">
        <v>485</v>
      </c>
      <c r="B150" s="6" t="s">
        <v>1393</v>
      </c>
      <c r="C150" s="7">
        <v>46128</v>
      </c>
      <c r="D150" s="9" t="s">
        <v>241</v>
      </c>
      <c r="E150" s="8" t="s">
        <v>28</v>
      </c>
      <c r="F150" s="9" t="s">
        <v>242</v>
      </c>
      <c r="G150" s="9">
        <v>1</v>
      </c>
      <c r="H150" s="6" t="s">
        <v>320</v>
      </c>
      <c r="I150" s="9" t="s">
        <v>605</v>
      </c>
      <c r="J150" s="9" t="s">
        <v>145</v>
      </c>
    </row>
    <row r="151" spans="1:10">
      <c r="A151" s="5" t="s">
        <v>486</v>
      </c>
      <c r="B151" s="6" t="s">
        <v>1393</v>
      </c>
      <c r="C151" s="7">
        <v>46128</v>
      </c>
      <c r="D151" s="9" t="s">
        <v>241</v>
      </c>
      <c r="E151" s="4" t="s">
        <v>29</v>
      </c>
      <c r="F151" s="9" t="s">
        <v>246</v>
      </c>
      <c r="G151" s="9">
        <v>1</v>
      </c>
      <c r="H151" s="6" t="s">
        <v>320</v>
      </c>
      <c r="I151" s="9" t="s">
        <v>605</v>
      </c>
      <c r="J151" s="9" t="s">
        <v>145</v>
      </c>
    </row>
    <row r="152" spans="1:10">
      <c r="A152" s="5" t="s">
        <v>488</v>
      </c>
      <c r="B152" s="6" t="s">
        <v>1393</v>
      </c>
      <c r="C152" s="7">
        <v>46128</v>
      </c>
      <c r="D152" s="9" t="s">
        <v>261</v>
      </c>
      <c r="E152" s="8" t="s">
        <v>62</v>
      </c>
      <c r="F152" s="9" t="s">
        <v>242</v>
      </c>
      <c r="G152" s="9">
        <v>1</v>
      </c>
      <c r="H152" s="6" t="s">
        <v>320</v>
      </c>
      <c r="I152" s="9" t="s">
        <v>605</v>
      </c>
      <c r="J152" s="9" t="s">
        <v>145</v>
      </c>
    </row>
    <row r="153" spans="1:10">
      <c r="A153" s="5" t="s">
        <v>489</v>
      </c>
      <c r="B153" s="6" t="s">
        <v>1393</v>
      </c>
      <c r="C153" s="7">
        <v>46128</v>
      </c>
      <c r="D153" s="9" t="s">
        <v>261</v>
      </c>
      <c r="E153" s="4" t="s">
        <v>281</v>
      </c>
      <c r="F153" s="9" t="s">
        <v>242</v>
      </c>
      <c r="G153" s="9">
        <v>2</v>
      </c>
      <c r="H153" s="6" t="s">
        <v>320</v>
      </c>
      <c r="I153" s="9" t="s">
        <v>605</v>
      </c>
      <c r="J153" s="9" t="s">
        <v>145</v>
      </c>
    </row>
    <row r="154" spans="1:10">
      <c r="A154" s="5" t="s">
        <v>492</v>
      </c>
      <c r="B154" s="6" t="s">
        <v>1394</v>
      </c>
      <c r="C154" s="7">
        <v>46128</v>
      </c>
      <c r="D154" s="9" t="s">
        <v>241</v>
      </c>
      <c r="E154" s="8" t="s">
        <v>28</v>
      </c>
      <c r="F154" s="9" t="s">
        <v>242</v>
      </c>
      <c r="G154" s="9">
        <v>1</v>
      </c>
      <c r="H154" s="6" t="s">
        <v>243</v>
      </c>
      <c r="I154" s="9" t="s">
        <v>918</v>
      </c>
      <c r="J154" s="9" t="s">
        <v>145</v>
      </c>
    </row>
    <row r="155" spans="1:10">
      <c r="A155" s="5" t="s">
        <v>493</v>
      </c>
      <c r="B155" s="6" t="s">
        <v>1394</v>
      </c>
      <c r="C155" s="7">
        <v>46128</v>
      </c>
      <c r="D155" s="9" t="s">
        <v>241</v>
      </c>
      <c r="E155" s="4" t="s">
        <v>27</v>
      </c>
      <c r="F155" s="9" t="s">
        <v>246</v>
      </c>
      <c r="G155" s="9">
        <v>1</v>
      </c>
      <c r="H155" s="6" t="s">
        <v>243</v>
      </c>
      <c r="I155" s="9" t="s">
        <v>918</v>
      </c>
      <c r="J155" s="9" t="s">
        <v>145</v>
      </c>
    </row>
    <row r="156" spans="1:10">
      <c r="A156" s="5" t="s">
        <v>495</v>
      </c>
      <c r="B156" s="6" t="s">
        <v>1395</v>
      </c>
      <c r="C156" s="7">
        <v>46128</v>
      </c>
      <c r="D156" s="9" t="s">
        <v>665</v>
      </c>
      <c r="E156" s="8" t="s">
        <v>666</v>
      </c>
      <c r="F156" s="9" t="s">
        <v>242</v>
      </c>
      <c r="G156" s="9">
        <v>1</v>
      </c>
      <c r="H156" s="6" t="s">
        <v>1396</v>
      </c>
      <c r="I156" s="9" t="s">
        <v>329</v>
      </c>
      <c r="J156" s="9" t="s">
        <v>145</v>
      </c>
    </row>
    <row r="157" spans="1:10">
      <c r="A157" s="5" t="s">
        <v>496</v>
      </c>
      <c r="B157" s="6" t="s">
        <v>1395</v>
      </c>
      <c r="C157" s="7">
        <v>46128</v>
      </c>
      <c r="D157" s="9" t="s">
        <v>261</v>
      </c>
      <c r="E157" s="8" t="s">
        <v>64</v>
      </c>
      <c r="F157" s="9" t="s">
        <v>242</v>
      </c>
      <c r="G157" s="9">
        <v>1</v>
      </c>
      <c r="H157" s="6" t="s">
        <v>1396</v>
      </c>
      <c r="I157" s="9" t="s">
        <v>329</v>
      </c>
      <c r="J157" s="9" t="s">
        <v>145</v>
      </c>
    </row>
    <row r="158" spans="1:10">
      <c r="A158" s="5" t="s">
        <v>498</v>
      </c>
      <c r="B158" s="6" t="s">
        <v>1395</v>
      </c>
      <c r="C158" s="7">
        <v>46128</v>
      </c>
      <c r="D158" s="9" t="s">
        <v>270</v>
      </c>
      <c r="E158" s="4" t="s">
        <v>271</v>
      </c>
      <c r="F158" s="9" t="s">
        <v>242</v>
      </c>
      <c r="G158" s="9">
        <v>1</v>
      </c>
      <c r="H158" s="6" t="s">
        <v>1396</v>
      </c>
      <c r="I158" s="9" t="s">
        <v>329</v>
      </c>
      <c r="J158" s="9" t="s">
        <v>145</v>
      </c>
    </row>
    <row r="159" spans="1:10">
      <c r="A159" s="5" t="s">
        <v>499</v>
      </c>
      <c r="B159" s="6" t="s">
        <v>1397</v>
      </c>
      <c r="C159" s="7">
        <v>46129</v>
      </c>
      <c r="D159" s="9" t="s">
        <v>241</v>
      </c>
      <c r="E159" s="8" t="s">
        <v>1152</v>
      </c>
      <c r="F159" s="9" t="s">
        <v>242</v>
      </c>
      <c r="G159" s="9">
        <v>1</v>
      </c>
      <c r="H159" s="6" t="s">
        <v>243</v>
      </c>
      <c r="I159" s="9" t="s">
        <v>357</v>
      </c>
      <c r="J159" s="9" t="s">
        <v>145</v>
      </c>
    </row>
    <row r="160" spans="1:10">
      <c r="A160" s="5" t="s">
        <v>501</v>
      </c>
      <c r="B160" s="6" t="s">
        <v>1397</v>
      </c>
      <c r="C160" s="7">
        <v>46129</v>
      </c>
      <c r="D160" s="9" t="s">
        <v>241</v>
      </c>
      <c r="E160" s="4" t="s">
        <v>29</v>
      </c>
      <c r="F160" s="9" t="s">
        <v>246</v>
      </c>
      <c r="G160" s="9">
        <v>1</v>
      </c>
      <c r="H160" s="6" t="s">
        <v>243</v>
      </c>
      <c r="I160" s="9" t="s">
        <v>357</v>
      </c>
      <c r="J160" s="9" t="s">
        <v>145</v>
      </c>
    </row>
    <row r="161" spans="1:10">
      <c r="A161" s="5" t="s">
        <v>502</v>
      </c>
      <c r="B161" s="6" t="s">
        <v>1398</v>
      </c>
      <c r="C161" s="7">
        <v>46132</v>
      </c>
      <c r="D161" s="9" t="s">
        <v>264</v>
      </c>
      <c r="E161" s="8" t="s">
        <v>35</v>
      </c>
      <c r="F161" s="9" t="s">
        <v>242</v>
      </c>
      <c r="G161" s="9">
        <v>1</v>
      </c>
      <c r="H161" s="6" t="s">
        <v>1399</v>
      </c>
      <c r="I161" s="9" t="s">
        <v>275</v>
      </c>
      <c r="J161" s="9" t="s">
        <v>145</v>
      </c>
    </row>
    <row r="162" spans="1:10">
      <c r="A162" s="5" t="s">
        <v>504</v>
      </c>
      <c r="B162" s="6" t="s">
        <v>1398</v>
      </c>
      <c r="C162" s="7">
        <v>46132</v>
      </c>
      <c r="D162" s="9" t="s">
        <v>264</v>
      </c>
      <c r="E162" s="4" t="s">
        <v>35</v>
      </c>
      <c r="F162" s="9" t="s">
        <v>246</v>
      </c>
      <c r="G162" s="9">
        <v>1</v>
      </c>
      <c r="H162" s="6" t="s">
        <v>1399</v>
      </c>
      <c r="I162" s="9" t="s">
        <v>275</v>
      </c>
      <c r="J162" s="9" t="s">
        <v>145</v>
      </c>
    </row>
    <row r="163" spans="1:10">
      <c r="A163" s="5" t="s">
        <v>507</v>
      </c>
      <c r="B163" s="6" t="s">
        <v>1400</v>
      </c>
      <c r="C163" s="7">
        <v>46132</v>
      </c>
      <c r="D163" s="9" t="s">
        <v>241</v>
      </c>
      <c r="E163" s="8" t="s">
        <v>28</v>
      </c>
      <c r="F163" s="9" t="s">
        <v>242</v>
      </c>
      <c r="G163" s="9">
        <v>1</v>
      </c>
      <c r="H163" s="6" t="s">
        <v>931</v>
      </c>
      <c r="I163" s="9" t="s">
        <v>258</v>
      </c>
      <c r="J163" s="9" t="s">
        <v>145</v>
      </c>
    </row>
    <row r="164" spans="1:10">
      <c r="A164" s="5" t="s">
        <v>508</v>
      </c>
      <c r="B164" s="6" t="s">
        <v>1400</v>
      </c>
      <c r="C164" s="7">
        <v>46132</v>
      </c>
      <c r="D164" s="9" t="s">
        <v>241</v>
      </c>
      <c r="E164" s="8" t="s">
        <v>29</v>
      </c>
      <c r="F164" s="9" t="s">
        <v>246</v>
      </c>
      <c r="G164" s="9">
        <v>1</v>
      </c>
      <c r="H164" s="6" t="s">
        <v>931</v>
      </c>
      <c r="I164" s="9" t="s">
        <v>258</v>
      </c>
      <c r="J164" s="9" t="s">
        <v>145</v>
      </c>
    </row>
    <row r="165" spans="1:10">
      <c r="A165" s="5" t="s">
        <v>510</v>
      </c>
      <c r="B165" s="6" t="s">
        <v>1401</v>
      </c>
      <c r="C165" s="7">
        <v>46133</v>
      </c>
      <c r="D165" s="9" t="s">
        <v>241</v>
      </c>
      <c r="E165" s="8" t="s">
        <v>1152</v>
      </c>
      <c r="F165" s="9" t="s">
        <v>242</v>
      </c>
      <c r="G165" s="9">
        <v>1</v>
      </c>
      <c r="H165" s="6" t="s">
        <v>1402</v>
      </c>
      <c r="I165" s="9" t="s">
        <v>357</v>
      </c>
      <c r="J165" s="9" t="s">
        <v>145</v>
      </c>
    </row>
    <row r="166" spans="1:10">
      <c r="A166" s="5" t="s">
        <v>511</v>
      </c>
      <c r="B166" s="6" t="s">
        <v>1401</v>
      </c>
      <c r="C166" s="7">
        <v>46133</v>
      </c>
      <c r="D166" s="9" t="s">
        <v>264</v>
      </c>
      <c r="E166" s="8" t="s">
        <v>35</v>
      </c>
      <c r="F166" s="9" t="s">
        <v>246</v>
      </c>
      <c r="G166" s="9">
        <v>1</v>
      </c>
      <c r="H166" s="6" t="s">
        <v>1402</v>
      </c>
      <c r="I166" s="9" t="s">
        <v>357</v>
      </c>
      <c r="J166" s="9" t="s">
        <v>145</v>
      </c>
    </row>
    <row r="167" spans="1:10">
      <c r="A167" s="5" t="s">
        <v>515</v>
      </c>
      <c r="B167" s="6" t="s">
        <v>1401</v>
      </c>
      <c r="C167" s="7">
        <v>46133</v>
      </c>
      <c r="D167" s="9" t="s">
        <v>261</v>
      </c>
      <c r="E167" s="8" t="s">
        <v>62</v>
      </c>
      <c r="F167" s="9" t="s">
        <v>242</v>
      </c>
      <c r="G167" s="9">
        <v>2</v>
      </c>
      <c r="H167" s="6" t="s">
        <v>1402</v>
      </c>
      <c r="I167" s="9" t="s">
        <v>357</v>
      </c>
      <c r="J167" s="9" t="s">
        <v>145</v>
      </c>
    </row>
    <row r="168" spans="1:10">
      <c r="A168" s="5" t="s">
        <v>516</v>
      </c>
      <c r="B168" s="6" t="s">
        <v>1403</v>
      </c>
      <c r="C168" s="7">
        <v>46133</v>
      </c>
      <c r="D168" s="9" t="s">
        <v>241</v>
      </c>
      <c r="E168" s="8" t="s">
        <v>1152</v>
      </c>
      <c r="F168" s="9" t="s">
        <v>242</v>
      </c>
      <c r="G168" s="9">
        <v>1</v>
      </c>
      <c r="H168" s="6" t="s">
        <v>1402</v>
      </c>
      <c r="I168" s="9" t="s">
        <v>357</v>
      </c>
      <c r="J168" s="9" t="s">
        <v>145</v>
      </c>
    </row>
    <row r="169" spans="1:10">
      <c r="A169" s="5" t="s">
        <v>519</v>
      </c>
      <c r="B169" s="6" t="s">
        <v>1403</v>
      </c>
      <c r="C169" s="7">
        <v>46133</v>
      </c>
      <c r="D169" s="9" t="s">
        <v>264</v>
      </c>
      <c r="E169" s="8" t="s">
        <v>35</v>
      </c>
      <c r="F169" s="9" t="s">
        <v>246</v>
      </c>
      <c r="G169" s="9">
        <v>1</v>
      </c>
      <c r="H169" s="6" t="s">
        <v>1402</v>
      </c>
      <c r="I169" s="9" t="s">
        <v>357</v>
      </c>
      <c r="J169" s="9" t="s">
        <v>145</v>
      </c>
    </row>
    <row r="170" spans="1:10">
      <c r="A170" s="5" t="s">
        <v>520</v>
      </c>
      <c r="B170" s="6" t="s">
        <v>1403</v>
      </c>
      <c r="C170" s="7">
        <v>46133</v>
      </c>
      <c r="D170" s="9" t="s">
        <v>261</v>
      </c>
      <c r="E170" s="4" t="s">
        <v>62</v>
      </c>
      <c r="F170" s="9" t="s">
        <v>242</v>
      </c>
      <c r="G170" s="9">
        <v>2</v>
      </c>
      <c r="H170" s="6" t="s">
        <v>1402</v>
      </c>
      <c r="I170" s="9" t="s">
        <v>357</v>
      </c>
      <c r="J170" s="9" t="s">
        <v>145</v>
      </c>
    </row>
    <row r="171" spans="1:10">
      <c r="A171" s="5" t="s">
        <v>521</v>
      </c>
      <c r="B171" s="6" t="s">
        <v>1217</v>
      </c>
      <c r="C171" s="7">
        <v>46133</v>
      </c>
      <c r="D171" s="9" t="s">
        <v>241</v>
      </c>
      <c r="E171" s="8" t="s">
        <v>28</v>
      </c>
      <c r="F171" s="9" t="s">
        <v>242</v>
      </c>
      <c r="G171" s="9">
        <v>1</v>
      </c>
      <c r="H171" s="6" t="s">
        <v>328</v>
      </c>
      <c r="I171" s="9" t="s">
        <v>484</v>
      </c>
      <c r="J171" s="9" t="s">
        <v>145</v>
      </c>
    </row>
    <row r="172" spans="1:10">
      <c r="A172" s="5" t="s">
        <v>523</v>
      </c>
      <c r="B172" s="6" t="s">
        <v>1217</v>
      </c>
      <c r="C172" s="7">
        <v>46133</v>
      </c>
      <c r="D172" s="9" t="s">
        <v>241</v>
      </c>
      <c r="E172" s="8" t="s">
        <v>29</v>
      </c>
      <c r="F172" s="9" t="s">
        <v>246</v>
      </c>
      <c r="G172" s="9">
        <v>1</v>
      </c>
      <c r="H172" s="6" t="s">
        <v>328</v>
      </c>
      <c r="I172" s="9" t="s">
        <v>484</v>
      </c>
      <c r="J172" s="9" t="s">
        <v>145</v>
      </c>
    </row>
    <row r="173" spans="1:10">
      <c r="A173" s="5" t="s">
        <v>524</v>
      </c>
      <c r="B173" s="6" t="s">
        <v>1404</v>
      </c>
      <c r="C173" s="7">
        <v>46133</v>
      </c>
      <c r="D173" s="9" t="s">
        <v>241</v>
      </c>
      <c r="E173" s="8" t="s">
        <v>28</v>
      </c>
      <c r="F173" s="9" t="s">
        <v>242</v>
      </c>
      <c r="G173" s="9">
        <v>1</v>
      </c>
      <c r="H173" s="6" t="s">
        <v>243</v>
      </c>
      <c r="I173" s="9" t="s">
        <v>1280</v>
      </c>
      <c r="J173" s="9" t="s">
        <v>145</v>
      </c>
    </row>
    <row r="174" spans="1:10">
      <c r="A174" s="5" t="s">
        <v>527</v>
      </c>
      <c r="B174" s="6" t="s">
        <v>1404</v>
      </c>
      <c r="C174" s="7">
        <v>46133</v>
      </c>
      <c r="D174" s="9" t="s">
        <v>241</v>
      </c>
      <c r="E174" s="4" t="s">
        <v>29</v>
      </c>
      <c r="F174" s="9" t="s">
        <v>246</v>
      </c>
      <c r="G174" s="9">
        <v>1</v>
      </c>
      <c r="H174" s="6" t="s">
        <v>243</v>
      </c>
      <c r="I174" s="9" t="s">
        <v>1280</v>
      </c>
      <c r="J174" s="9" t="s">
        <v>145</v>
      </c>
    </row>
    <row r="175" spans="1:10">
      <c r="A175" s="5" t="s">
        <v>528</v>
      </c>
      <c r="B175" s="6" t="s">
        <v>1404</v>
      </c>
      <c r="C175" s="7">
        <v>46133</v>
      </c>
      <c r="D175" s="9" t="s">
        <v>261</v>
      </c>
      <c r="E175" s="8" t="s">
        <v>281</v>
      </c>
      <c r="F175" s="9" t="s">
        <v>242</v>
      </c>
      <c r="G175" s="9">
        <v>3</v>
      </c>
      <c r="H175" s="6" t="s">
        <v>243</v>
      </c>
      <c r="I175" s="9" t="s">
        <v>1280</v>
      </c>
      <c r="J175" s="9" t="s">
        <v>145</v>
      </c>
    </row>
    <row r="176" spans="1:10">
      <c r="A176" s="5" t="s">
        <v>529</v>
      </c>
      <c r="B176" s="6" t="s">
        <v>1405</v>
      </c>
      <c r="C176" s="7">
        <v>46133</v>
      </c>
      <c r="D176" s="9" t="s">
        <v>241</v>
      </c>
      <c r="E176" s="8" t="s">
        <v>28</v>
      </c>
      <c r="F176" s="9" t="s">
        <v>242</v>
      </c>
      <c r="G176" s="9">
        <v>1</v>
      </c>
      <c r="H176" s="6" t="s">
        <v>243</v>
      </c>
      <c r="I176" s="9" t="s">
        <v>918</v>
      </c>
      <c r="J176" s="9" t="s">
        <v>145</v>
      </c>
    </row>
    <row r="177" spans="1:10">
      <c r="A177" s="5" t="s">
        <v>533</v>
      </c>
      <c r="B177" s="6" t="s">
        <v>1405</v>
      </c>
      <c r="C177" s="7">
        <v>46133</v>
      </c>
      <c r="D177" s="9" t="s">
        <v>241</v>
      </c>
      <c r="E177" s="8" t="s">
        <v>29</v>
      </c>
      <c r="F177" s="9" t="s">
        <v>246</v>
      </c>
      <c r="G177" s="9">
        <v>1</v>
      </c>
      <c r="H177" s="6" t="s">
        <v>243</v>
      </c>
      <c r="I177" s="9" t="s">
        <v>918</v>
      </c>
      <c r="J177" s="9" t="s">
        <v>145</v>
      </c>
    </row>
    <row r="178" spans="1:10">
      <c r="A178" s="5" t="s">
        <v>534</v>
      </c>
      <c r="B178" s="6" t="s">
        <v>1406</v>
      </c>
      <c r="C178" s="7">
        <v>46133</v>
      </c>
      <c r="D178" s="9" t="s">
        <v>241</v>
      </c>
      <c r="E178" s="8" t="s">
        <v>28</v>
      </c>
      <c r="F178" s="9" t="s">
        <v>242</v>
      </c>
      <c r="G178" s="9">
        <v>1</v>
      </c>
      <c r="H178" s="6" t="s">
        <v>423</v>
      </c>
      <c r="I178" s="9" t="s">
        <v>616</v>
      </c>
      <c r="J178" s="9" t="s">
        <v>145</v>
      </c>
    </row>
    <row r="179" spans="1:10">
      <c r="A179" s="5" t="s">
        <v>537</v>
      </c>
      <c r="B179" s="6" t="s">
        <v>1406</v>
      </c>
      <c r="C179" s="7">
        <v>46133</v>
      </c>
      <c r="D179" s="9" t="s">
        <v>241</v>
      </c>
      <c r="E179" s="8" t="s">
        <v>29</v>
      </c>
      <c r="F179" s="9" t="s">
        <v>246</v>
      </c>
      <c r="G179" s="9">
        <v>1</v>
      </c>
      <c r="H179" s="6" t="s">
        <v>423</v>
      </c>
      <c r="I179" s="9" t="s">
        <v>616</v>
      </c>
      <c r="J179" s="9" t="s">
        <v>145</v>
      </c>
    </row>
    <row r="180" spans="1:10">
      <c r="A180" s="5" t="s">
        <v>538</v>
      </c>
      <c r="B180" s="6" t="s">
        <v>1407</v>
      </c>
      <c r="C180" s="7">
        <v>46133</v>
      </c>
      <c r="D180" s="9" t="s">
        <v>241</v>
      </c>
      <c r="E180" s="8" t="s">
        <v>28</v>
      </c>
      <c r="F180" s="9" t="s">
        <v>242</v>
      </c>
      <c r="G180" s="9">
        <v>1</v>
      </c>
      <c r="H180" s="6" t="s">
        <v>1408</v>
      </c>
      <c r="I180" s="9" t="s">
        <v>484</v>
      </c>
      <c r="J180" s="9" t="s">
        <v>145</v>
      </c>
    </row>
    <row r="181" spans="1:10">
      <c r="A181" s="5" t="s">
        <v>539</v>
      </c>
      <c r="B181" s="6" t="s">
        <v>1407</v>
      </c>
      <c r="C181" s="7">
        <v>46133</v>
      </c>
      <c r="D181" s="9" t="s">
        <v>241</v>
      </c>
      <c r="E181" s="4" t="s">
        <v>29</v>
      </c>
      <c r="F181" s="9" t="s">
        <v>246</v>
      </c>
      <c r="G181" s="9">
        <v>1</v>
      </c>
      <c r="H181" s="6" t="s">
        <v>1408</v>
      </c>
      <c r="I181" s="9" t="s">
        <v>484</v>
      </c>
      <c r="J181" s="9" t="s">
        <v>145</v>
      </c>
    </row>
    <row r="182" spans="1:10">
      <c r="A182" s="5" t="s">
        <v>541</v>
      </c>
      <c r="B182" s="6" t="s">
        <v>1407</v>
      </c>
      <c r="C182" s="7">
        <v>46133</v>
      </c>
      <c r="D182" s="9" t="s">
        <v>261</v>
      </c>
      <c r="E182" s="8" t="s">
        <v>281</v>
      </c>
      <c r="F182" s="9" t="s">
        <v>242</v>
      </c>
      <c r="G182" s="9">
        <v>2</v>
      </c>
      <c r="H182" s="6" t="s">
        <v>1408</v>
      </c>
      <c r="I182" s="9" t="s">
        <v>484</v>
      </c>
      <c r="J182" s="9" t="s">
        <v>145</v>
      </c>
    </row>
    <row r="183" spans="1:10">
      <c r="A183" s="5" t="s">
        <v>542</v>
      </c>
      <c r="B183" s="6" t="s">
        <v>1409</v>
      </c>
      <c r="C183" s="7">
        <v>46133</v>
      </c>
      <c r="D183" s="9" t="s">
        <v>241</v>
      </c>
      <c r="E183" s="4" t="s">
        <v>28</v>
      </c>
      <c r="F183" s="9" t="s">
        <v>242</v>
      </c>
      <c r="G183" s="9">
        <v>1</v>
      </c>
      <c r="H183" s="6" t="s">
        <v>243</v>
      </c>
      <c r="I183" s="9" t="s">
        <v>258</v>
      </c>
      <c r="J183" s="9" t="s">
        <v>145</v>
      </c>
    </row>
    <row r="184" spans="1:10">
      <c r="A184" s="5" t="s">
        <v>543</v>
      </c>
      <c r="B184" s="6" t="s">
        <v>1409</v>
      </c>
      <c r="C184" s="7">
        <v>46133</v>
      </c>
      <c r="D184" s="9" t="s">
        <v>241</v>
      </c>
      <c r="E184" s="8" t="s">
        <v>29</v>
      </c>
      <c r="F184" s="9" t="s">
        <v>246</v>
      </c>
      <c r="G184" s="9">
        <v>1</v>
      </c>
      <c r="H184" s="6" t="s">
        <v>243</v>
      </c>
      <c r="I184" s="9" t="s">
        <v>258</v>
      </c>
      <c r="J184" s="9" t="s">
        <v>145</v>
      </c>
    </row>
    <row r="185" spans="1:10">
      <c r="A185" s="5" t="s">
        <v>544</v>
      </c>
      <c r="B185" s="6" t="s">
        <v>1409</v>
      </c>
      <c r="C185" s="7">
        <v>46133</v>
      </c>
      <c r="D185" s="9" t="s">
        <v>360</v>
      </c>
      <c r="E185" s="8" t="s">
        <v>59</v>
      </c>
      <c r="F185" s="9" t="s">
        <v>242</v>
      </c>
      <c r="G185" s="9">
        <v>1</v>
      </c>
      <c r="H185" s="6" t="s">
        <v>243</v>
      </c>
      <c r="I185" s="9" t="s">
        <v>258</v>
      </c>
      <c r="J185" s="9" t="s">
        <v>145</v>
      </c>
    </row>
    <row r="186" spans="1:10">
      <c r="A186" s="5" t="s">
        <v>545</v>
      </c>
      <c r="B186" s="6" t="s">
        <v>1409</v>
      </c>
      <c r="C186" s="7">
        <v>46133</v>
      </c>
      <c r="D186" s="9" t="s">
        <v>261</v>
      </c>
      <c r="E186" s="8" t="s">
        <v>281</v>
      </c>
      <c r="F186" s="9" t="s">
        <v>242</v>
      </c>
      <c r="G186" s="9">
        <v>2</v>
      </c>
      <c r="H186" s="6" t="s">
        <v>243</v>
      </c>
      <c r="I186" s="9" t="s">
        <v>258</v>
      </c>
      <c r="J186" s="9" t="s">
        <v>145</v>
      </c>
    </row>
    <row r="187" spans="1:10">
      <c r="A187" s="5" t="s">
        <v>546</v>
      </c>
      <c r="B187" s="6" t="s">
        <v>1410</v>
      </c>
      <c r="C187" s="7">
        <v>46133</v>
      </c>
      <c r="D187" s="9" t="s">
        <v>241</v>
      </c>
      <c r="E187" s="8" t="s">
        <v>1152</v>
      </c>
      <c r="F187" s="9" t="s">
        <v>242</v>
      </c>
      <c r="G187" s="9">
        <v>1</v>
      </c>
      <c r="H187" s="6" t="s">
        <v>931</v>
      </c>
      <c r="I187" s="9" t="s">
        <v>388</v>
      </c>
      <c r="J187" s="9" t="s">
        <v>145</v>
      </c>
    </row>
    <row r="188" spans="1:10">
      <c r="A188" s="5" t="s">
        <v>549</v>
      </c>
      <c r="B188" s="6" t="s">
        <v>1410</v>
      </c>
      <c r="C188" s="7">
        <v>46133</v>
      </c>
      <c r="D188" s="9" t="s">
        <v>241</v>
      </c>
      <c r="E188" s="8" t="s">
        <v>29</v>
      </c>
      <c r="F188" s="9" t="s">
        <v>246</v>
      </c>
      <c r="G188" s="9">
        <v>1</v>
      </c>
      <c r="H188" s="6" t="s">
        <v>931</v>
      </c>
      <c r="I188" s="9" t="s">
        <v>388</v>
      </c>
      <c r="J188" s="9" t="s">
        <v>145</v>
      </c>
    </row>
    <row r="189" spans="1:10">
      <c r="A189" s="5" t="s">
        <v>550</v>
      </c>
      <c r="B189" s="6" t="s">
        <v>1410</v>
      </c>
      <c r="C189" s="7">
        <v>46133</v>
      </c>
      <c r="D189" s="9" t="s">
        <v>261</v>
      </c>
      <c r="E189" s="8" t="s">
        <v>281</v>
      </c>
      <c r="F189" s="9" t="s">
        <v>242</v>
      </c>
      <c r="G189" s="9">
        <v>2</v>
      </c>
      <c r="H189" s="6" t="s">
        <v>931</v>
      </c>
      <c r="I189" s="9" t="s">
        <v>388</v>
      </c>
      <c r="J189" s="9" t="s">
        <v>145</v>
      </c>
    </row>
    <row r="190" spans="1:10">
      <c r="A190" s="5" t="s">
        <v>551</v>
      </c>
      <c r="B190" s="6" t="s">
        <v>1411</v>
      </c>
      <c r="C190" s="7">
        <v>46133</v>
      </c>
      <c r="D190" s="9" t="s">
        <v>241</v>
      </c>
      <c r="E190" s="8" t="s">
        <v>28</v>
      </c>
      <c r="F190" s="9" t="s">
        <v>242</v>
      </c>
      <c r="G190" s="9">
        <v>1</v>
      </c>
      <c r="H190" s="6" t="s">
        <v>243</v>
      </c>
      <c r="I190" s="9" t="s">
        <v>363</v>
      </c>
      <c r="J190" s="9" t="s">
        <v>145</v>
      </c>
    </row>
    <row r="191" spans="1:10">
      <c r="A191" s="5" t="s">
        <v>553</v>
      </c>
      <c r="B191" s="6" t="s">
        <v>1411</v>
      </c>
      <c r="C191" s="7">
        <v>46133</v>
      </c>
      <c r="D191" s="9" t="s">
        <v>241</v>
      </c>
      <c r="E191" s="8" t="s">
        <v>29</v>
      </c>
      <c r="F191" s="9" t="s">
        <v>246</v>
      </c>
      <c r="G191" s="9">
        <v>1</v>
      </c>
      <c r="H191" s="6" t="s">
        <v>243</v>
      </c>
      <c r="I191" s="9" t="s">
        <v>363</v>
      </c>
      <c r="J191" s="9" t="s">
        <v>145</v>
      </c>
    </row>
    <row r="192" spans="1:10">
      <c r="A192" s="5" t="s">
        <v>554</v>
      </c>
      <c r="B192" s="6" t="s">
        <v>1412</v>
      </c>
      <c r="C192" s="7">
        <v>46133</v>
      </c>
      <c r="D192" s="9" t="s">
        <v>241</v>
      </c>
      <c r="E192" s="4" t="s">
        <v>28</v>
      </c>
      <c r="F192" s="9" t="s">
        <v>242</v>
      </c>
      <c r="G192" s="9">
        <v>1</v>
      </c>
      <c r="H192" s="6" t="s">
        <v>423</v>
      </c>
      <c r="I192" s="9" t="s">
        <v>363</v>
      </c>
      <c r="J192" s="9" t="s">
        <v>145</v>
      </c>
    </row>
    <row r="193" spans="1:10">
      <c r="A193" s="5" t="s">
        <v>555</v>
      </c>
      <c r="B193" s="6" t="s">
        <v>1412</v>
      </c>
      <c r="C193" s="7">
        <v>46133</v>
      </c>
      <c r="D193" s="9" t="s">
        <v>241</v>
      </c>
      <c r="E193" s="8" t="s">
        <v>29</v>
      </c>
      <c r="F193" s="9" t="s">
        <v>246</v>
      </c>
      <c r="G193" s="9">
        <v>1</v>
      </c>
      <c r="H193" s="6" t="s">
        <v>423</v>
      </c>
      <c r="I193" s="9" t="s">
        <v>363</v>
      </c>
      <c r="J193" s="9" t="s">
        <v>145</v>
      </c>
    </row>
    <row r="194" spans="1:10">
      <c r="A194" s="5" t="s">
        <v>557</v>
      </c>
      <c r="B194" s="6" t="s">
        <v>1413</v>
      </c>
      <c r="C194" s="7">
        <v>46133</v>
      </c>
      <c r="D194" s="9" t="s">
        <v>241</v>
      </c>
      <c r="E194" s="8" t="s">
        <v>28</v>
      </c>
      <c r="F194" s="9" t="s">
        <v>586</v>
      </c>
      <c r="G194" s="9">
        <v>1</v>
      </c>
      <c r="H194" s="6" t="s">
        <v>587</v>
      </c>
      <c r="I194" s="9" t="s">
        <v>609</v>
      </c>
      <c r="J194" s="9" t="s">
        <v>145</v>
      </c>
    </row>
    <row r="195" spans="1:10">
      <c r="A195" s="5" t="s">
        <v>558</v>
      </c>
      <c r="B195" s="6" t="s">
        <v>1413</v>
      </c>
      <c r="C195" s="7">
        <v>46133</v>
      </c>
      <c r="D195" s="9" t="s">
        <v>261</v>
      </c>
      <c r="E195" s="8" t="s">
        <v>62</v>
      </c>
      <c r="F195" s="9" t="s">
        <v>586</v>
      </c>
      <c r="G195" s="9">
        <v>1</v>
      </c>
      <c r="H195" s="6" t="s">
        <v>587</v>
      </c>
      <c r="I195" s="9" t="s">
        <v>609</v>
      </c>
      <c r="J195" s="9" t="s">
        <v>145</v>
      </c>
    </row>
    <row r="196" spans="1:10">
      <c r="A196" s="5" t="s">
        <v>561</v>
      </c>
      <c r="B196" s="6" t="s">
        <v>1413</v>
      </c>
      <c r="C196" s="7">
        <v>46133</v>
      </c>
      <c r="D196" s="9" t="s">
        <v>261</v>
      </c>
      <c r="E196" s="8" t="s">
        <v>281</v>
      </c>
      <c r="F196" s="9" t="s">
        <v>586</v>
      </c>
      <c r="G196" s="9">
        <v>2</v>
      </c>
      <c r="H196" s="6" t="s">
        <v>587</v>
      </c>
      <c r="I196" s="9" t="s">
        <v>609</v>
      </c>
      <c r="J196" s="9" t="s">
        <v>145</v>
      </c>
    </row>
    <row r="197" spans="1:10">
      <c r="A197" s="5" t="s">
        <v>562</v>
      </c>
      <c r="B197" s="6" t="s">
        <v>1414</v>
      </c>
      <c r="C197" s="7">
        <v>46133</v>
      </c>
      <c r="D197" s="9" t="s">
        <v>299</v>
      </c>
      <c r="E197" s="8" t="s">
        <v>22</v>
      </c>
      <c r="F197" s="9" t="s">
        <v>242</v>
      </c>
      <c r="G197" s="9">
        <v>1</v>
      </c>
      <c r="H197" s="6" t="s">
        <v>257</v>
      </c>
      <c r="I197" s="9" t="s">
        <v>484</v>
      </c>
      <c r="J197" s="9" t="s">
        <v>145</v>
      </c>
    </row>
    <row r="198" spans="1:10">
      <c r="A198" s="5" t="s">
        <v>567</v>
      </c>
      <c r="B198" s="6" t="s">
        <v>1414</v>
      </c>
      <c r="C198" s="7">
        <v>46133</v>
      </c>
      <c r="D198" s="9" t="s">
        <v>299</v>
      </c>
      <c r="E198" s="4" t="s">
        <v>22</v>
      </c>
      <c r="F198" s="9" t="s">
        <v>246</v>
      </c>
      <c r="G198" s="9">
        <v>1</v>
      </c>
      <c r="H198" s="6" t="s">
        <v>257</v>
      </c>
      <c r="I198" s="9" t="s">
        <v>484</v>
      </c>
      <c r="J198" s="9" t="s">
        <v>145</v>
      </c>
    </row>
    <row r="199" spans="1:10">
      <c r="A199" s="5" t="s">
        <v>568</v>
      </c>
      <c r="B199" s="6" t="s">
        <v>1415</v>
      </c>
      <c r="C199" s="7">
        <v>46134</v>
      </c>
      <c r="D199" s="9" t="s">
        <v>241</v>
      </c>
      <c r="E199" s="8" t="s">
        <v>1152</v>
      </c>
      <c r="F199" s="9" t="s">
        <v>242</v>
      </c>
      <c r="G199" s="9">
        <v>1</v>
      </c>
      <c r="H199" s="6" t="s">
        <v>243</v>
      </c>
      <c r="I199" s="9" t="s">
        <v>616</v>
      </c>
      <c r="J199" s="9" t="s">
        <v>145</v>
      </c>
    </row>
    <row r="200" spans="1:10">
      <c r="A200" s="5" t="s">
        <v>569</v>
      </c>
      <c r="B200" s="6" t="s">
        <v>1415</v>
      </c>
      <c r="C200" s="7">
        <v>46134</v>
      </c>
      <c r="D200" s="9" t="s">
        <v>241</v>
      </c>
      <c r="E200" s="8" t="s">
        <v>27</v>
      </c>
      <c r="F200" s="9" t="s">
        <v>246</v>
      </c>
      <c r="G200" s="9">
        <v>1</v>
      </c>
      <c r="H200" s="6" t="s">
        <v>243</v>
      </c>
      <c r="I200" s="9" t="s">
        <v>616</v>
      </c>
      <c r="J200" s="9" t="s">
        <v>145</v>
      </c>
    </row>
    <row r="201" spans="1:10">
      <c r="A201" s="5" t="s">
        <v>570</v>
      </c>
      <c r="B201" s="6" t="s">
        <v>1416</v>
      </c>
      <c r="C201" s="7">
        <v>46134</v>
      </c>
      <c r="D201" s="9" t="s">
        <v>241</v>
      </c>
      <c r="E201" s="8" t="s">
        <v>1152</v>
      </c>
      <c r="F201" s="9" t="s">
        <v>242</v>
      </c>
      <c r="G201" s="9">
        <v>1</v>
      </c>
      <c r="H201" s="6" t="s">
        <v>1417</v>
      </c>
      <c r="I201" s="9" t="s">
        <v>616</v>
      </c>
      <c r="J201" s="9" t="s">
        <v>145</v>
      </c>
    </row>
    <row r="202" spans="1:10">
      <c r="A202" s="5" t="s">
        <v>571</v>
      </c>
      <c r="B202" s="6" t="s">
        <v>1416</v>
      </c>
      <c r="C202" s="7">
        <v>46134</v>
      </c>
      <c r="D202" s="9" t="s">
        <v>241</v>
      </c>
      <c r="E202" s="8" t="s">
        <v>29</v>
      </c>
      <c r="F202" s="9" t="s">
        <v>246</v>
      </c>
      <c r="G202" s="9">
        <v>1</v>
      </c>
      <c r="H202" s="6" t="s">
        <v>1417</v>
      </c>
      <c r="I202" s="9" t="s">
        <v>616</v>
      </c>
      <c r="J202" s="9" t="s">
        <v>145</v>
      </c>
    </row>
    <row r="203" spans="1:10">
      <c r="A203" s="5" t="s">
        <v>573</v>
      </c>
      <c r="B203" s="6" t="s">
        <v>1416</v>
      </c>
      <c r="C203" s="7">
        <v>46134</v>
      </c>
      <c r="D203" s="9" t="s">
        <v>261</v>
      </c>
      <c r="E203" s="4" t="s">
        <v>62</v>
      </c>
      <c r="F203" s="9" t="s">
        <v>242</v>
      </c>
      <c r="G203" s="9">
        <v>1</v>
      </c>
      <c r="H203" s="6" t="s">
        <v>1417</v>
      </c>
      <c r="I203" s="9" t="s">
        <v>616</v>
      </c>
      <c r="J203" s="9" t="s">
        <v>145</v>
      </c>
    </row>
    <row r="204" spans="1:10">
      <c r="A204" s="5" t="s">
        <v>574</v>
      </c>
      <c r="B204" s="6" t="s">
        <v>1416</v>
      </c>
      <c r="C204" s="7">
        <v>46134</v>
      </c>
      <c r="D204" s="9" t="s">
        <v>261</v>
      </c>
      <c r="E204" s="8" t="s">
        <v>281</v>
      </c>
      <c r="F204" s="9" t="s">
        <v>242</v>
      </c>
      <c r="G204" s="9">
        <v>2</v>
      </c>
      <c r="H204" s="6" t="s">
        <v>1417</v>
      </c>
      <c r="I204" s="9" t="s">
        <v>616</v>
      </c>
      <c r="J204" s="9" t="s">
        <v>145</v>
      </c>
    </row>
    <row r="205" spans="1:10">
      <c r="A205" s="5" t="s">
        <v>575</v>
      </c>
      <c r="B205" s="6" t="s">
        <v>1418</v>
      </c>
      <c r="C205" s="7">
        <v>46134</v>
      </c>
      <c r="D205" s="9" t="s">
        <v>241</v>
      </c>
      <c r="E205" s="8" t="s">
        <v>1152</v>
      </c>
      <c r="F205" s="9" t="s">
        <v>242</v>
      </c>
      <c r="G205" s="9">
        <v>1</v>
      </c>
      <c r="H205" s="6" t="s">
        <v>243</v>
      </c>
      <c r="I205" s="9" t="s">
        <v>275</v>
      </c>
      <c r="J205" s="9" t="s">
        <v>145</v>
      </c>
    </row>
    <row r="206" spans="1:10">
      <c r="A206" s="5" t="s">
        <v>576</v>
      </c>
      <c r="B206" s="6" t="s">
        <v>1418</v>
      </c>
      <c r="C206" s="7">
        <v>46134</v>
      </c>
      <c r="D206" s="9" t="s">
        <v>241</v>
      </c>
      <c r="E206" s="8" t="s">
        <v>27</v>
      </c>
      <c r="F206" s="9" t="s">
        <v>246</v>
      </c>
      <c r="G206" s="9">
        <v>1</v>
      </c>
      <c r="H206" s="6" t="s">
        <v>243</v>
      </c>
      <c r="I206" s="9" t="s">
        <v>275</v>
      </c>
      <c r="J206" s="9" t="s">
        <v>145</v>
      </c>
    </row>
    <row r="207" spans="1:10">
      <c r="A207" s="5" t="s">
        <v>577</v>
      </c>
      <c r="B207" s="6" t="s">
        <v>1419</v>
      </c>
      <c r="C207" s="7">
        <v>46134</v>
      </c>
      <c r="D207" s="9" t="s">
        <v>241</v>
      </c>
      <c r="E207" s="8" t="s">
        <v>1152</v>
      </c>
      <c r="F207" s="9" t="s">
        <v>242</v>
      </c>
      <c r="G207" s="9">
        <v>1</v>
      </c>
      <c r="H207" s="6" t="s">
        <v>243</v>
      </c>
      <c r="I207" s="9" t="s">
        <v>275</v>
      </c>
      <c r="J207" s="9" t="s">
        <v>145</v>
      </c>
    </row>
    <row r="208" spans="1:10">
      <c r="A208" s="5" t="s">
        <v>580</v>
      </c>
      <c r="B208" s="6" t="s">
        <v>1419</v>
      </c>
      <c r="C208" s="7">
        <v>46134</v>
      </c>
      <c r="D208" s="9" t="s">
        <v>241</v>
      </c>
      <c r="E208" s="8" t="s">
        <v>27</v>
      </c>
      <c r="F208" s="9" t="s">
        <v>246</v>
      </c>
      <c r="G208" s="9">
        <v>1</v>
      </c>
      <c r="H208" s="6" t="s">
        <v>243</v>
      </c>
      <c r="I208" s="9" t="s">
        <v>275</v>
      </c>
      <c r="J208" s="9" t="s">
        <v>145</v>
      </c>
    </row>
    <row r="209" spans="1:10">
      <c r="A209" s="5" t="s">
        <v>581</v>
      </c>
      <c r="B209" s="6" t="s">
        <v>1420</v>
      </c>
      <c r="C209" s="7">
        <v>46135</v>
      </c>
      <c r="D209" s="9" t="s">
        <v>241</v>
      </c>
      <c r="E209" s="8" t="s">
        <v>1152</v>
      </c>
      <c r="F209" s="9" t="s">
        <v>242</v>
      </c>
      <c r="G209" s="9">
        <v>1</v>
      </c>
      <c r="H209" s="6" t="s">
        <v>243</v>
      </c>
      <c r="I209" s="9" t="s">
        <v>609</v>
      </c>
      <c r="J209" s="9" t="s">
        <v>145</v>
      </c>
    </row>
    <row r="210" spans="1:10">
      <c r="A210" s="5" t="s">
        <v>583</v>
      </c>
      <c r="B210" s="6" t="s">
        <v>1420</v>
      </c>
      <c r="C210" s="7">
        <v>46135</v>
      </c>
      <c r="D210" s="9" t="s">
        <v>241</v>
      </c>
      <c r="E210" s="8" t="s">
        <v>29</v>
      </c>
      <c r="F210" s="9" t="s">
        <v>246</v>
      </c>
      <c r="G210" s="9">
        <v>1</v>
      </c>
      <c r="H210" s="6" t="s">
        <v>243</v>
      </c>
      <c r="I210" s="9" t="s">
        <v>609</v>
      </c>
      <c r="J210" s="9" t="s">
        <v>145</v>
      </c>
    </row>
    <row r="211" spans="1:10">
      <c r="A211" s="5" t="s">
        <v>584</v>
      </c>
      <c r="B211" s="6" t="s">
        <v>1420</v>
      </c>
      <c r="C211" s="7">
        <v>46135</v>
      </c>
      <c r="D211" s="9" t="s">
        <v>261</v>
      </c>
      <c r="E211" s="8" t="s">
        <v>62</v>
      </c>
      <c r="F211" s="9" t="s">
        <v>242</v>
      </c>
      <c r="G211" s="9">
        <v>2</v>
      </c>
      <c r="H211" s="6" t="s">
        <v>243</v>
      </c>
      <c r="I211" s="9" t="s">
        <v>609</v>
      </c>
      <c r="J211" s="9" t="s">
        <v>145</v>
      </c>
    </row>
    <row r="212" spans="1:10">
      <c r="A212" s="5" t="s">
        <v>588</v>
      </c>
      <c r="B212" s="6" t="s">
        <v>1421</v>
      </c>
      <c r="C212" s="7">
        <v>46135</v>
      </c>
      <c r="D212" s="9" t="s">
        <v>241</v>
      </c>
      <c r="E212" s="8" t="s">
        <v>1152</v>
      </c>
      <c r="F212" s="9" t="s">
        <v>242</v>
      </c>
      <c r="G212" s="9">
        <v>1</v>
      </c>
      <c r="H212" s="6" t="s">
        <v>243</v>
      </c>
      <c r="I212" s="9" t="s">
        <v>616</v>
      </c>
      <c r="J212" s="9" t="s">
        <v>145</v>
      </c>
    </row>
    <row r="213" spans="1:10">
      <c r="A213" s="5" t="s">
        <v>591</v>
      </c>
      <c r="B213" s="6" t="s">
        <v>1421</v>
      </c>
      <c r="C213" s="7">
        <v>46135</v>
      </c>
      <c r="D213" s="9" t="s">
        <v>241</v>
      </c>
      <c r="E213" s="8" t="s">
        <v>27</v>
      </c>
      <c r="F213" s="9" t="s">
        <v>246</v>
      </c>
      <c r="G213" s="9">
        <v>1</v>
      </c>
      <c r="H213" s="6" t="s">
        <v>243</v>
      </c>
      <c r="I213" s="9" t="s">
        <v>616</v>
      </c>
      <c r="J213" s="9" t="s">
        <v>145</v>
      </c>
    </row>
    <row r="214" spans="1:10">
      <c r="A214" s="5" t="s">
        <v>592</v>
      </c>
      <c r="B214" s="6" t="s">
        <v>1422</v>
      </c>
      <c r="C214" s="7">
        <v>46135</v>
      </c>
      <c r="D214" s="9" t="s">
        <v>241</v>
      </c>
      <c r="E214" s="8" t="s">
        <v>1152</v>
      </c>
      <c r="F214" s="9" t="s">
        <v>242</v>
      </c>
      <c r="G214" s="9">
        <v>1</v>
      </c>
      <c r="H214" s="6" t="s">
        <v>1423</v>
      </c>
      <c r="I214" s="9" t="s">
        <v>388</v>
      </c>
      <c r="J214" s="9" t="s">
        <v>145</v>
      </c>
    </row>
    <row r="215" spans="1:10">
      <c r="A215" s="5" t="s">
        <v>593</v>
      </c>
      <c r="B215" s="6" t="s">
        <v>1422</v>
      </c>
      <c r="C215" s="7">
        <v>46135</v>
      </c>
      <c r="D215" s="9" t="s">
        <v>241</v>
      </c>
      <c r="E215" s="8" t="s">
        <v>29</v>
      </c>
      <c r="F215" s="9" t="s">
        <v>246</v>
      </c>
      <c r="G215" s="9">
        <v>1</v>
      </c>
      <c r="H215" s="6" t="s">
        <v>1423</v>
      </c>
      <c r="I215" s="9" t="s">
        <v>388</v>
      </c>
      <c r="J215" s="9" t="s">
        <v>145</v>
      </c>
    </row>
    <row r="216" spans="1:10">
      <c r="A216" s="5" t="s">
        <v>595</v>
      </c>
      <c r="B216" s="6" t="s">
        <v>1424</v>
      </c>
      <c r="C216" s="7">
        <v>46136</v>
      </c>
      <c r="D216" s="9" t="s">
        <v>299</v>
      </c>
      <c r="E216" s="8" t="s">
        <v>376</v>
      </c>
      <c r="F216" s="9" t="s">
        <v>242</v>
      </c>
      <c r="G216" s="9">
        <v>1</v>
      </c>
      <c r="H216" s="6" t="s">
        <v>328</v>
      </c>
      <c r="I216" s="9" t="s">
        <v>253</v>
      </c>
      <c r="J216" s="9" t="s">
        <v>145</v>
      </c>
    </row>
    <row r="217" spans="1:10">
      <c r="A217" s="5" t="s">
        <v>596</v>
      </c>
      <c r="B217" s="6" t="s">
        <v>1424</v>
      </c>
      <c r="C217" s="7">
        <v>46136</v>
      </c>
      <c r="D217" s="9" t="s">
        <v>299</v>
      </c>
      <c r="E217" s="8" t="s">
        <v>22</v>
      </c>
      <c r="F217" s="9" t="s">
        <v>246</v>
      </c>
      <c r="G217" s="9">
        <v>1</v>
      </c>
      <c r="H217" s="6" t="s">
        <v>328</v>
      </c>
      <c r="I217" s="9" t="s">
        <v>253</v>
      </c>
      <c r="J217" s="9" t="s">
        <v>145</v>
      </c>
    </row>
    <row r="218" spans="1:10">
      <c r="A218" s="5" t="s">
        <v>599</v>
      </c>
      <c r="B218" s="6" t="s">
        <v>1425</v>
      </c>
      <c r="C218" s="7">
        <v>46136</v>
      </c>
      <c r="D218" s="9" t="s">
        <v>241</v>
      </c>
      <c r="E218" s="8" t="s">
        <v>28</v>
      </c>
      <c r="F218" s="9" t="s">
        <v>242</v>
      </c>
      <c r="G218" s="9">
        <v>1</v>
      </c>
      <c r="H218" s="6" t="s">
        <v>931</v>
      </c>
      <c r="I218" s="9" t="s">
        <v>275</v>
      </c>
      <c r="J218" s="9" t="s">
        <v>145</v>
      </c>
    </row>
    <row r="219" spans="1:10">
      <c r="A219" s="5" t="s">
        <v>600</v>
      </c>
      <c r="B219" s="6" t="s">
        <v>1425</v>
      </c>
      <c r="C219" s="7">
        <v>46136</v>
      </c>
      <c r="D219" s="9" t="s">
        <v>241</v>
      </c>
      <c r="E219" s="8" t="s">
        <v>29</v>
      </c>
      <c r="F219" s="9" t="s">
        <v>246</v>
      </c>
      <c r="G219" s="9">
        <v>1</v>
      </c>
      <c r="H219" s="6" t="s">
        <v>931</v>
      </c>
      <c r="I219" s="9" t="s">
        <v>275</v>
      </c>
      <c r="J219" s="9" t="s">
        <v>145</v>
      </c>
    </row>
    <row r="220" spans="1:10">
      <c r="A220" s="5" t="s">
        <v>602</v>
      </c>
      <c r="B220" s="6" t="s">
        <v>1425</v>
      </c>
      <c r="C220" s="7">
        <v>46136</v>
      </c>
      <c r="D220" s="9" t="s">
        <v>261</v>
      </c>
      <c r="E220" s="8" t="s">
        <v>281</v>
      </c>
      <c r="F220" s="9" t="s">
        <v>242</v>
      </c>
      <c r="G220" s="9">
        <v>2</v>
      </c>
      <c r="H220" s="6" t="s">
        <v>931</v>
      </c>
      <c r="I220" s="9" t="s">
        <v>275</v>
      </c>
      <c r="J220" s="9" t="s">
        <v>145</v>
      </c>
    </row>
    <row r="221" spans="1:10">
      <c r="A221" s="5" t="s">
        <v>603</v>
      </c>
      <c r="B221" s="6" t="s">
        <v>1426</v>
      </c>
      <c r="C221" s="7">
        <v>46136</v>
      </c>
      <c r="D221" s="9" t="s">
        <v>264</v>
      </c>
      <c r="E221" s="8" t="s">
        <v>36</v>
      </c>
      <c r="F221" s="9" t="s">
        <v>242</v>
      </c>
      <c r="G221" s="9">
        <v>1</v>
      </c>
      <c r="H221" s="6" t="s">
        <v>1386</v>
      </c>
      <c r="I221" s="9" t="s">
        <v>253</v>
      </c>
      <c r="J221" s="9" t="s">
        <v>145</v>
      </c>
    </row>
    <row r="222" spans="1:10">
      <c r="A222" s="5" t="s">
        <v>606</v>
      </c>
      <c r="B222" s="6" t="s">
        <v>1426</v>
      </c>
      <c r="C222" s="7">
        <v>46136</v>
      </c>
      <c r="D222" s="9" t="s">
        <v>264</v>
      </c>
      <c r="E222" s="8" t="s">
        <v>36</v>
      </c>
      <c r="F222" s="9" t="s">
        <v>246</v>
      </c>
      <c r="G222" s="9">
        <v>1</v>
      </c>
      <c r="H222" s="6" t="s">
        <v>1386</v>
      </c>
      <c r="I222" s="9" t="s">
        <v>253</v>
      </c>
      <c r="J222" s="9" t="s">
        <v>145</v>
      </c>
    </row>
    <row r="223" spans="1:10">
      <c r="A223" s="5" t="s">
        <v>607</v>
      </c>
      <c r="B223" s="6" t="s">
        <v>1427</v>
      </c>
      <c r="C223" s="7">
        <v>46135</v>
      </c>
      <c r="D223" s="9" t="s">
        <v>564</v>
      </c>
      <c r="E223" s="8" t="s">
        <v>920</v>
      </c>
      <c r="F223" s="9" t="s">
        <v>242</v>
      </c>
      <c r="G223" s="9">
        <v>1</v>
      </c>
      <c r="H223" s="6" t="s">
        <v>1428</v>
      </c>
      <c r="I223" s="9" t="s">
        <v>329</v>
      </c>
      <c r="J223" s="9" t="s">
        <v>145</v>
      </c>
    </row>
    <row r="224" spans="1:10">
      <c r="A224" s="5" t="s">
        <v>610</v>
      </c>
      <c r="B224" s="6" t="s">
        <v>1427</v>
      </c>
      <c r="C224" s="7">
        <v>46135</v>
      </c>
      <c r="D224" s="9" t="s">
        <v>564</v>
      </c>
      <c r="E224" s="4" t="s">
        <v>920</v>
      </c>
      <c r="F224" s="9" t="s">
        <v>246</v>
      </c>
      <c r="G224" s="9">
        <v>1</v>
      </c>
      <c r="H224" s="6" t="s">
        <v>1428</v>
      </c>
      <c r="I224" s="9" t="s">
        <v>329</v>
      </c>
      <c r="J224" s="9" t="s">
        <v>145</v>
      </c>
    </row>
    <row r="225" spans="1:10">
      <c r="A225" s="5" t="s">
        <v>611</v>
      </c>
      <c r="B225" s="6" t="s">
        <v>1427</v>
      </c>
      <c r="C225" s="7">
        <v>46135</v>
      </c>
      <c r="D225" s="9" t="s">
        <v>261</v>
      </c>
      <c r="E225" s="8" t="s">
        <v>64</v>
      </c>
      <c r="F225" s="9" t="s">
        <v>242</v>
      </c>
      <c r="G225" s="9">
        <v>1</v>
      </c>
      <c r="H225" s="6" t="s">
        <v>1428</v>
      </c>
      <c r="I225" s="9" t="s">
        <v>329</v>
      </c>
      <c r="J225" s="9" t="s">
        <v>145</v>
      </c>
    </row>
    <row r="226" spans="1:10">
      <c r="A226" s="5" t="s">
        <v>612</v>
      </c>
      <c r="B226" s="6" t="s">
        <v>1427</v>
      </c>
      <c r="C226" s="7">
        <v>46135</v>
      </c>
      <c r="D226" s="9" t="s">
        <v>270</v>
      </c>
      <c r="E226" s="8" t="s">
        <v>271</v>
      </c>
      <c r="F226" s="9" t="s">
        <v>242</v>
      </c>
      <c r="G226" s="9">
        <v>1</v>
      </c>
      <c r="H226" s="6" t="s">
        <v>1428</v>
      </c>
      <c r="I226" s="9" t="s">
        <v>329</v>
      </c>
      <c r="J226" s="9" t="s">
        <v>145</v>
      </c>
    </row>
    <row r="227" spans="1:10">
      <c r="A227" s="5" t="s">
        <v>613</v>
      </c>
      <c r="B227" s="6" t="s">
        <v>1427</v>
      </c>
      <c r="C227" s="7">
        <v>46135</v>
      </c>
      <c r="D227" s="9" t="s">
        <v>503</v>
      </c>
      <c r="E227" s="8" t="s">
        <v>1429</v>
      </c>
      <c r="F227" s="9" t="s">
        <v>242</v>
      </c>
      <c r="G227" s="9">
        <v>7</v>
      </c>
      <c r="H227" s="6" t="s">
        <v>1428</v>
      </c>
      <c r="I227" s="9" t="s">
        <v>329</v>
      </c>
      <c r="J227" s="9" t="s">
        <v>145</v>
      </c>
    </row>
    <row r="228" spans="1:10">
      <c r="A228" s="5" t="s">
        <v>617</v>
      </c>
      <c r="B228" s="6" t="s">
        <v>1430</v>
      </c>
      <c r="C228" s="7">
        <v>46108</v>
      </c>
      <c r="D228" s="9" t="s">
        <v>500</v>
      </c>
      <c r="E228" s="4" t="s">
        <v>3</v>
      </c>
      <c r="F228" s="9" t="s">
        <v>242</v>
      </c>
      <c r="G228" s="9">
        <v>1</v>
      </c>
      <c r="H228" s="6" t="s">
        <v>1431</v>
      </c>
      <c r="I228" s="9" t="s">
        <v>976</v>
      </c>
      <c r="J228" s="9" t="s">
        <v>145</v>
      </c>
    </row>
    <row r="229" spans="1:10">
      <c r="A229" s="5" t="s">
        <v>618</v>
      </c>
      <c r="B229" s="6" t="s">
        <v>1430</v>
      </c>
      <c r="C229" s="7">
        <v>46108</v>
      </c>
      <c r="D229" s="9" t="s">
        <v>261</v>
      </c>
      <c r="E229" s="8" t="s">
        <v>64</v>
      </c>
      <c r="F229" s="9" t="s">
        <v>242</v>
      </c>
      <c r="G229" s="9">
        <v>3</v>
      </c>
      <c r="H229" s="6" t="s">
        <v>1431</v>
      </c>
      <c r="I229" s="9" t="s">
        <v>976</v>
      </c>
      <c r="J229" s="9" t="s">
        <v>145</v>
      </c>
    </row>
    <row r="230" spans="1:10">
      <c r="A230" s="5" t="s">
        <v>620</v>
      </c>
      <c r="B230" s="6" t="s">
        <v>1430</v>
      </c>
      <c r="C230" s="7">
        <v>46108</v>
      </c>
      <c r="D230" s="9" t="s">
        <v>270</v>
      </c>
      <c r="E230" s="4" t="s">
        <v>271</v>
      </c>
      <c r="F230" s="9" t="s">
        <v>242</v>
      </c>
      <c r="G230" s="9">
        <v>3</v>
      </c>
      <c r="H230" s="6" t="s">
        <v>1431</v>
      </c>
      <c r="I230" s="9" t="s">
        <v>976</v>
      </c>
      <c r="J230" s="9" t="s">
        <v>145</v>
      </c>
    </row>
    <row r="231" spans="1:10">
      <c r="A231" s="5" t="s">
        <v>621</v>
      </c>
      <c r="B231" s="6" t="s">
        <v>1432</v>
      </c>
      <c r="C231" s="7">
        <v>46108</v>
      </c>
      <c r="D231" s="9" t="s">
        <v>500</v>
      </c>
      <c r="E231" s="8" t="s">
        <v>54</v>
      </c>
      <c r="F231" s="9" t="s">
        <v>242</v>
      </c>
      <c r="G231" s="9">
        <v>1</v>
      </c>
      <c r="H231" s="6" t="s">
        <v>759</v>
      </c>
      <c r="I231" s="9" t="s">
        <v>616</v>
      </c>
      <c r="J231" s="9" t="s">
        <v>145</v>
      </c>
    </row>
    <row r="232" spans="1:10">
      <c r="A232" s="5" t="s">
        <v>624</v>
      </c>
      <c r="B232" s="6" t="s">
        <v>1432</v>
      </c>
      <c r="C232" s="7">
        <v>46108</v>
      </c>
      <c r="D232" s="9" t="s">
        <v>261</v>
      </c>
      <c r="E232" s="4" t="s">
        <v>62</v>
      </c>
      <c r="F232" s="9" t="s">
        <v>242</v>
      </c>
      <c r="G232" s="9">
        <v>2</v>
      </c>
      <c r="H232" s="6" t="s">
        <v>759</v>
      </c>
      <c r="I232" s="9" t="s">
        <v>616</v>
      </c>
      <c r="J232" s="9" t="s">
        <v>145</v>
      </c>
    </row>
    <row r="233" spans="1:10">
      <c r="A233" s="5" t="s">
        <v>625</v>
      </c>
      <c r="B233" s="6" t="s">
        <v>1433</v>
      </c>
      <c r="C233" s="7">
        <v>46108</v>
      </c>
      <c r="D233" s="9" t="s">
        <v>261</v>
      </c>
      <c r="E233" s="8" t="s">
        <v>62</v>
      </c>
      <c r="F233" s="9" t="s">
        <v>242</v>
      </c>
      <c r="G233" s="9">
        <v>5</v>
      </c>
      <c r="H233" s="6" t="s">
        <v>722</v>
      </c>
      <c r="I233" s="9" t="s">
        <v>258</v>
      </c>
      <c r="J233" s="9" t="s">
        <v>145</v>
      </c>
    </row>
    <row r="234" spans="1:10">
      <c r="A234" s="5" t="s">
        <v>626</v>
      </c>
      <c r="B234" s="6" t="s">
        <v>1434</v>
      </c>
      <c r="C234" s="7">
        <v>46108</v>
      </c>
      <c r="D234" s="9" t="s">
        <v>261</v>
      </c>
      <c r="E234" s="8" t="s">
        <v>62</v>
      </c>
      <c r="F234" s="9" t="s">
        <v>242</v>
      </c>
      <c r="G234" s="9">
        <v>2</v>
      </c>
      <c r="H234" s="6" t="s">
        <v>722</v>
      </c>
      <c r="I234" s="9" t="s">
        <v>514</v>
      </c>
      <c r="J234" s="9" t="s">
        <v>145</v>
      </c>
    </row>
    <row r="235" spans="1:10">
      <c r="A235" s="5" t="s">
        <v>629</v>
      </c>
      <c r="B235" s="6" t="s">
        <v>1435</v>
      </c>
      <c r="C235" s="7">
        <v>46113</v>
      </c>
      <c r="D235" s="9" t="s">
        <v>261</v>
      </c>
      <c r="E235" s="8" t="s">
        <v>62</v>
      </c>
      <c r="F235" s="9" t="s">
        <v>242</v>
      </c>
      <c r="G235" s="9">
        <v>12</v>
      </c>
      <c r="H235" s="6" t="s">
        <v>722</v>
      </c>
      <c r="I235" s="9" t="s">
        <v>258</v>
      </c>
      <c r="J235" s="9" t="s">
        <v>145</v>
      </c>
    </row>
    <row r="236" spans="1:10">
      <c r="A236" s="5" t="s">
        <v>630</v>
      </c>
      <c r="B236" s="6" t="s">
        <v>1436</v>
      </c>
      <c r="C236" s="7">
        <v>46113</v>
      </c>
      <c r="D236" s="9" t="s">
        <v>261</v>
      </c>
      <c r="E236" s="4" t="s">
        <v>62</v>
      </c>
      <c r="F236" s="9" t="s">
        <v>242</v>
      </c>
      <c r="G236" s="9">
        <v>6</v>
      </c>
      <c r="H236" s="6" t="s">
        <v>1437</v>
      </c>
      <c r="I236" s="9" t="s">
        <v>628</v>
      </c>
      <c r="J236" s="9" t="s">
        <v>145</v>
      </c>
    </row>
    <row r="237" spans="1:10">
      <c r="A237" s="5" t="s">
        <v>631</v>
      </c>
      <c r="B237" s="6" t="s">
        <v>1436</v>
      </c>
      <c r="C237" s="7">
        <v>46113</v>
      </c>
      <c r="D237" s="9" t="s">
        <v>261</v>
      </c>
      <c r="E237" s="8" t="s">
        <v>125</v>
      </c>
      <c r="F237" s="9" t="s">
        <v>242</v>
      </c>
      <c r="G237" s="9">
        <v>2</v>
      </c>
      <c r="H237" s="6" t="s">
        <v>1437</v>
      </c>
      <c r="I237" s="9" t="s">
        <v>628</v>
      </c>
      <c r="J237" s="9" t="s">
        <v>145</v>
      </c>
    </row>
    <row r="238" spans="1:10">
      <c r="A238" s="5" t="s">
        <v>634</v>
      </c>
      <c r="B238" s="6" t="s">
        <v>1436</v>
      </c>
      <c r="C238" s="7">
        <v>46113</v>
      </c>
      <c r="D238" s="9" t="s">
        <v>261</v>
      </c>
      <c r="E238" s="8" t="s">
        <v>63</v>
      </c>
      <c r="F238" s="9" t="s">
        <v>242</v>
      </c>
      <c r="G238" s="9">
        <v>1</v>
      </c>
      <c r="H238" s="6" t="s">
        <v>1437</v>
      </c>
      <c r="I238" s="9" t="s">
        <v>628</v>
      </c>
      <c r="J238" s="9" t="s">
        <v>145</v>
      </c>
    </row>
    <row r="239" spans="1:10">
      <c r="A239" s="5" t="s">
        <v>635</v>
      </c>
      <c r="B239" s="6" t="s">
        <v>1436</v>
      </c>
      <c r="C239" s="7">
        <v>46113</v>
      </c>
      <c r="D239" s="9" t="s">
        <v>270</v>
      </c>
      <c r="E239" s="8" t="s">
        <v>68</v>
      </c>
      <c r="F239" s="9" t="s">
        <v>242</v>
      </c>
      <c r="G239" s="9">
        <v>1</v>
      </c>
      <c r="H239" s="6" t="s">
        <v>1437</v>
      </c>
      <c r="I239" s="9" t="s">
        <v>628</v>
      </c>
      <c r="J239" s="9" t="s">
        <v>145</v>
      </c>
    </row>
    <row r="240" spans="1:10">
      <c r="A240" s="5" t="s">
        <v>637</v>
      </c>
      <c r="B240" s="6" t="s">
        <v>1438</v>
      </c>
      <c r="C240" s="7">
        <v>46113</v>
      </c>
      <c r="D240" s="9" t="s">
        <v>500</v>
      </c>
      <c r="E240" s="8" t="s">
        <v>52</v>
      </c>
      <c r="F240" s="9" t="s">
        <v>242</v>
      </c>
      <c r="G240" s="9">
        <v>1</v>
      </c>
      <c r="H240" s="6" t="s">
        <v>1439</v>
      </c>
      <c r="I240" s="9" t="s">
        <v>532</v>
      </c>
      <c r="J240" s="9" t="s">
        <v>145</v>
      </c>
    </row>
    <row r="241" spans="1:10">
      <c r="A241" s="5" t="s">
        <v>638</v>
      </c>
      <c r="B241" s="6" t="s">
        <v>1438</v>
      </c>
      <c r="C241" s="7">
        <v>46113</v>
      </c>
      <c r="D241" s="9" t="s">
        <v>261</v>
      </c>
      <c r="E241" s="4" t="s">
        <v>64</v>
      </c>
      <c r="F241" s="9" t="s">
        <v>242</v>
      </c>
      <c r="G241" s="9">
        <v>2</v>
      </c>
      <c r="H241" s="6" t="s">
        <v>1439</v>
      </c>
      <c r="I241" s="9" t="s">
        <v>532</v>
      </c>
      <c r="J241" s="9" t="s">
        <v>145</v>
      </c>
    </row>
    <row r="242" spans="1:10">
      <c r="A242" s="5" t="s">
        <v>640</v>
      </c>
      <c r="B242" s="6" t="s">
        <v>1438</v>
      </c>
      <c r="C242" s="7">
        <v>46113</v>
      </c>
      <c r="D242" s="9" t="s">
        <v>270</v>
      </c>
      <c r="E242" s="4" t="s">
        <v>271</v>
      </c>
      <c r="F242" s="9" t="s">
        <v>242</v>
      </c>
      <c r="G242" s="9">
        <v>2</v>
      </c>
      <c r="H242" s="6" t="s">
        <v>1439</v>
      </c>
      <c r="I242" s="9" t="s">
        <v>532</v>
      </c>
      <c r="J242" s="9" t="s">
        <v>145</v>
      </c>
    </row>
    <row r="243" spans="1:10">
      <c r="A243" s="5" t="s">
        <v>641</v>
      </c>
      <c r="B243" s="6" t="s">
        <v>1438</v>
      </c>
      <c r="C243" s="7">
        <v>46113</v>
      </c>
      <c r="D243" s="9" t="s">
        <v>261</v>
      </c>
      <c r="E243" s="8" t="s">
        <v>62</v>
      </c>
      <c r="F243" s="9" t="s">
        <v>242</v>
      </c>
      <c r="G243" s="9">
        <v>3</v>
      </c>
      <c r="H243" s="6" t="s">
        <v>1439</v>
      </c>
      <c r="I243" s="9" t="s">
        <v>532</v>
      </c>
      <c r="J243" s="9" t="s">
        <v>145</v>
      </c>
    </row>
    <row r="244" spans="1:10">
      <c r="A244" s="5" t="s">
        <v>642</v>
      </c>
      <c r="B244" s="6" t="s">
        <v>1440</v>
      </c>
      <c r="C244" s="7">
        <v>46113</v>
      </c>
      <c r="D244" s="9" t="s">
        <v>261</v>
      </c>
      <c r="E244" s="8" t="s">
        <v>62</v>
      </c>
      <c r="F244" s="9" t="s">
        <v>242</v>
      </c>
      <c r="G244" s="9">
        <v>16</v>
      </c>
      <c r="H244" s="6" t="s">
        <v>1441</v>
      </c>
      <c r="I244" s="9" t="s">
        <v>1280</v>
      </c>
      <c r="J244" s="9" t="s">
        <v>145</v>
      </c>
    </row>
    <row r="245" spans="1:10">
      <c r="A245" s="5" t="s">
        <v>644</v>
      </c>
      <c r="B245" s="6" t="s">
        <v>1442</v>
      </c>
      <c r="C245" s="7">
        <v>46113</v>
      </c>
      <c r="D245" s="9" t="s">
        <v>261</v>
      </c>
      <c r="E245" s="4" t="s">
        <v>64</v>
      </c>
      <c r="F245" s="9" t="s">
        <v>242</v>
      </c>
      <c r="G245" s="9">
        <v>2</v>
      </c>
      <c r="H245" s="6" t="s">
        <v>722</v>
      </c>
      <c r="I245" s="9" t="s">
        <v>514</v>
      </c>
      <c r="J245" s="9" t="s">
        <v>145</v>
      </c>
    </row>
    <row r="246" spans="1:10">
      <c r="A246" s="5" t="s">
        <v>645</v>
      </c>
      <c r="B246" s="6" t="s">
        <v>1442</v>
      </c>
      <c r="C246" s="7">
        <v>46113</v>
      </c>
      <c r="D246" s="9" t="s">
        <v>270</v>
      </c>
      <c r="E246" s="8" t="s">
        <v>271</v>
      </c>
      <c r="F246" s="9" t="s">
        <v>242</v>
      </c>
      <c r="G246" s="9">
        <v>2</v>
      </c>
      <c r="H246" s="6" t="s">
        <v>722</v>
      </c>
      <c r="I246" s="9" t="s">
        <v>514</v>
      </c>
      <c r="J246" s="9" t="s">
        <v>145</v>
      </c>
    </row>
    <row r="247" spans="1:10">
      <c r="A247" s="5" t="s">
        <v>647</v>
      </c>
      <c r="B247" s="6" t="s">
        <v>1443</v>
      </c>
      <c r="C247" s="7">
        <v>46113</v>
      </c>
      <c r="D247" s="9" t="s">
        <v>261</v>
      </c>
      <c r="E247" s="8" t="s">
        <v>62</v>
      </c>
      <c r="F247" s="9" t="s">
        <v>242</v>
      </c>
      <c r="G247" s="9">
        <v>2</v>
      </c>
      <c r="H247" s="6" t="s">
        <v>722</v>
      </c>
      <c r="I247" s="9" t="s">
        <v>514</v>
      </c>
      <c r="J247" s="9" t="s">
        <v>145</v>
      </c>
    </row>
    <row r="248" spans="1:10">
      <c r="A248" s="5" t="s">
        <v>648</v>
      </c>
      <c r="B248" s="6" t="s">
        <v>1444</v>
      </c>
      <c r="C248" s="7">
        <v>46113</v>
      </c>
      <c r="D248" s="9" t="s">
        <v>500</v>
      </c>
      <c r="E248" s="8" t="s">
        <v>52</v>
      </c>
      <c r="F248" s="9" t="s">
        <v>242</v>
      </c>
      <c r="G248" s="9">
        <v>1</v>
      </c>
      <c r="H248" s="6" t="s">
        <v>1240</v>
      </c>
      <c r="I248" s="9" t="s">
        <v>357</v>
      </c>
      <c r="J248" s="9" t="s">
        <v>145</v>
      </c>
    </row>
    <row r="249" spans="1:10">
      <c r="A249" s="5" t="s">
        <v>651</v>
      </c>
      <c r="B249" s="6" t="s">
        <v>1444</v>
      </c>
      <c r="C249" s="7">
        <v>46113</v>
      </c>
      <c r="D249" s="9" t="s">
        <v>261</v>
      </c>
      <c r="E249" s="8" t="s">
        <v>64</v>
      </c>
      <c r="F249" s="9" t="s">
        <v>242</v>
      </c>
      <c r="G249" s="9">
        <v>1</v>
      </c>
      <c r="H249" s="6" t="s">
        <v>1240</v>
      </c>
      <c r="I249" s="9" t="s">
        <v>357</v>
      </c>
      <c r="J249" s="9" t="s">
        <v>145</v>
      </c>
    </row>
    <row r="250" spans="1:10">
      <c r="A250" s="5" t="s">
        <v>652</v>
      </c>
      <c r="B250" s="6" t="s">
        <v>1444</v>
      </c>
      <c r="C250" s="7">
        <v>46113</v>
      </c>
      <c r="D250" s="9" t="s">
        <v>270</v>
      </c>
      <c r="E250" s="4" t="s">
        <v>271</v>
      </c>
      <c r="F250" s="9" t="s">
        <v>242</v>
      </c>
      <c r="G250" s="9">
        <v>1</v>
      </c>
      <c r="H250" s="6" t="s">
        <v>1240</v>
      </c>
      <c r="I250" s="9" t="s">
        <v>357</v>
      </c>
      <c r="J250" s="9" t="s">
        <v>145</v>
      </c>
    </row>
    <row r="251" spans="1:10">
      <c r="A251" s="5" t="s">
        <v>654</v>
      </c>
      <c r="B251" s="6" t="s">
        <v>1444</v>
      </c>
      <c r="C251" s="7">
        <v>46113</v>
      </c>
      <c r="D251" s="9" t="s">
        <v>503</v>
      </c>
      <c r="E251" s="8" t="s">
        <v>162</v>
      </c>
      <c r="F251" s="9" t="s">
        <v>242</v>
      </c>
      <c r="G251" s="9">
        <v>1</v>
      </c>
      <c r="H251" s="6" t="s">
        <v>1240</v>
      </c>
      <c r="I251" s="9" t="s">
        <v>357</v>
      </c>
      <c r="J251" s="9" t="s">
        <v>145</v>
      </c>
    </row>
    <row r="252" spans="1:10">
      <c r="A252" s="5" t="s">
        <v>655</v>
      </c>
      <c r="B252" s="6" t="s">
        <v>1445</v>
      </c>
      <c r="C252" s="7">
        <v>46113</v>
      </c>
      <c r="D252" s="9" t="s">
        <v>261</v>
      </c>
      <c r="E252" s="8" t="s">
        <v>62</v>
      </c>
      <c r="F252" s="9" t="s">
        <v>242</v>
      </c>
      <c r="G252" s="9">
        <v>7</v>
      </c>
      <c r="H252" s="6" t="s">
        <v>722</v>
      </c>
      <c r="I252" s="9" t="s">
        <v>275</v>
      </c>
      <c r="J252" s="9" t="s">
        <v>145</v>
      </c>
    </row>
    <row r="253" spans="1:10">
      <c r="A253" s="5" t="s">
        <v>658</v>
      </c>
      <c r="B253" s="6" t="s">
        <v>1446</v>
      </c>
      <c r="C253" s="7">
        <v>46114</v>
      </c>
      <c r="D253" s="9" t="s">
        <v>261</v>
      </c>
      <c r="E253" s="8" t="s">
        <v>62</v>
      </c>
      <c r="F253" s="9" t="s">
        <v>242</v>
      </c>
      <c r="G253" s="9">
        <v>4</v>
      </c>
      <c r="H253" s="6" t="s">
        <v>722</v>
      </c>
      <c r="I253" s="9" t="s">
        <v>628</v>
      </c>
      <c r="J253" s="9" t="s">
        <v>145</v>
      </c>
    </row>
    <row r="254" spans="1:10">
      <c r="A254" s="5" t="s">
        <v>660</v>
      </c>
      <c r="B254" s="6" t="s">
        <v>1447</v>
      </c>
      <c r="C254" s="7">
        <v>46114</v>
      </c>
      <c r="D254" s="9" t="s">
        <v>261</v>
      </c>
      <c r="E254" s="8" t="s">
        <v>62</v>
      </c>
      <c r="F254" s="9" t="s">
        <v>242</v>
      </c>
      <c r="G254" s="9">
        <v>14</v>
      </c>
      <c r="H254" s="6" t="s">
        <v>722</v>
      </c>
      <c r="I254" s="9" t="s">
        <v>253</v>
      </c>
      <c r="J254" s="9" t="s">
        <v>145</v>
      </c>
    </row>
    <row r="255" spans="1:10">
      <c r="A255" s="5" t="s">
        <v>661</v>
      </c>
      <c r="B255" s="6" t="s">
        <v>1448</v>
      </c>
      <c r="C255" s="7">
        <v>46114</v>
      </c>
      <c r="D255" s="9" t="s">
        <v>261</v>
      </c>
      <c r="E255" s="8" t="s">
        <v>63</v>
      </c>
      <c r="F255" s="9" t="s">
        <v>242</v>
      </c>
      <c r="G255" s="9">
        <v>2</v>
      </c>
      <c r="H255" s="6" t="s">
        <v>1437</v>
      </c>
      <c r="I255" s="9" t="s">
        <v>311</v>
      </c>
      <c r="J255" s="9" t="s">
        <v>145</v>
      </c>
    </row>
    <row r="256" spans="1:10">
      <c r="A256" s="5" t="s">
        <v>662</v>
      </c>
      <c r="B256" s="6" t="s">
        <v>1448</v>
      </c>
      <c r="C256" s="7">
        <v>46114</v>
      </c>
      <c r="D256" s="9" t="s">
        <v>270</v>
      </c>
      <c r="E256" s="8" t="s">
        <v>68</v>
      </c>
      <c r="F256" s="9" t="s">
        <v>242</v>
      </c>
      <c r="G256" s="9">
        <v>2</v>
      </c>
      <c r="H256" s="6" t="s">
        <v>1437</v>
      </c>
      <c r="I256" s="9" t="s">
        <v>311</v>
      </c>
      <c r="J256" s="9" t="s">
        <v>145</v>
      </c>
    </row>
    <row r="257" spans="1:10">
      <c r="A257" s="5" t="s">
        <v>664</v>
      </c>
      <c r="B257" s="6" t="s">
        <v>1449</v>
      </c>
      <c r="C257" s="7">
        <v>46114</v>
      </c>
      <c r="D257" s="9" t="s">
        <v>261</v>
      </c>
      <c r="E257" s="8" t="s">
        <v>62</v>
      </c>
      <c r="F257" s="9" t="s">
        <v>242</v>
      </c>
      <c r="G257" s="9">
        <v>5</v>
      </c>
      <c r="H257" s="6" t="s">
        <v>722</v>
      </c>
      <c r="I257" s="9" t="s">
        <v>258</v>
      </c>
      <c r="J257" s="9" t="s">
        <v>145</v>
      </c>
    </row>
    <row r="258" spans="1:10">
      <c r="A258" s="5" t="s">
        <v>668</v>
      </c>
      <c r="B258" s="6" t="s">
        <v>1450</v>
      </c>
      <c r="C258" s="7">
        <v>46114</v>
      </c>
      <c r="D258" s="9" t="s">
        <v>500</v>
      </c>
      <c r="E258" s="8" t="s">
        <v>51</v>
      </c>
      <c r="F258" s="9" t="s">
        <v>242</v>
      </c>
      <c r="G258" s="9">
        <v>1</v>
      </c>
      <c r="H258" s="6" t="s">
        <v>1451</v>
      </c>
      <c r="I258" s="9" t="s">
        <v>258</v>
      </c>
      <c r="J258" s="9" t="s">
        <v>145</v>
      </c>
    </row>
    <row r="259" spans="1:10">
      <c r="A259" s="5" t="s">
        <v>669</v>
      </c>
      <c r="B259" s="6" t="s">
        <v>1450</v>
      </c>
      <c r="C259" s="7">
        <v>46114</v>
      </c>
      <c r="D259" s="9" t="s">
        <v>500</v>
      </c>
      <c r="E259" s="8" t="s">
        <v>52</v>
      </c>
      <c r="F259" s="9" t="s">
        <v>242</v>
      </c>
      <c r="G259" s="9">
        <v>1</v>
      </c>
      <c r="H259" s="6" t="s">
        <v>1451</v>
      </c>
      <c r="I259" s="9" t="s">
        <v>258</v>
      </c>
      <c r="J259" s="9" t="s">
        <v>145</v>
      </c>
    </row>
    <row r="260" spans="1:10">
      <c r="A260" s="5" t="s">
        <v>670</v>
      </c>
      <c r="B260" s="6" t="s">
        <v>1450</v>
      </c>
      <c r="C260" s="7">
        <v>46114</v>
      </c>
      <c r="D260" s="9" t="s">
        <v>261</v>
      </c>
      <c r="E260" s="8" t="s">
        <v>64</v>
      </c>
      <c r="F260" s="9" t="s">
        <v>242</v>
      </c>
      <c r="G260" s="9">
        <v>3</v>
      </c>
      <c r="H260" s="6" t="s">
        <v>1451</v>
      </c>
      <c r="I260" s="9" t="s">
        <v>258</v>
      </c>
      <c r="J260" s="9" t="s">
        <v>145</v>
      </c>
    </row>
    <row r="261" spans="1:10">
      <c r="A261" s="5" t="s">
        <v>674</v>
      </c>
      <c r="B261" s="6" t="s">
        <v>1450</v>
      </c>
      <c r="C261" s="7">
        <v>46114</v>
      </c>
      <c r="D261" s="9" t="s">
        <v>270</v>
      </c>
      <c r="E261" s="8" t="s">
        <v>271</v>
      </c>
      <c r="F261" s="9" t="s">
        <v>242</v>
      </c>
      <c r="G261" s="9">
        <v>3</v>
      </c>
      <c r="H261" s="6" t="s">
        <v>1451</v>
      </c>
      <c r="I261" s="9" t="s">
        <v>258</v>
      </c>
      <c r="J261" s="9" t="s">
        <v>145</v>
      </c>
    </row>
    <row r="262" spans="1:10">
      <c r="A262" s="5" t="s">
        <v>675</v>
      </c>
      <c r="B262" s="6" t="s">
        <v>1450</v>
      </c>
      <c r="C262" s="7">
        <v>46114</v>
      </c>
      <c r="D262" s="9" t="s">
        <v>503</v>
      </c>
      <c r="E262" s="8" t="s">
        <v>162</v>
      </c>
      <c r="F262" s="9" t="s">
        <v>242</v>
      </c>
      <c r="G262" s="9">
        <v>1</v>
      </c>
      <c r="H262" s="6" t="s">
        <v>1451</v>
      </c>
      <c r="I262" s="9" t="s">
        <v>258</v>
      </c>
      <c r="J262" s="9" t="s">
        <v>145</v>
      </c>
    </row>
    <row r="263" spans="1:10">
      <c r="A263" s="5" t="s">
        <v>676</v>
      </c>
      <c r="B263" s="6" t="s">
        <v>1452</v>
      </c>
      <c r="C263" s="7">
        <v>46114</v>
      </c>
      <c r="D263" s="9" t="s">
        <v>500</v>
      </c>
      <c r="E263" s="8" t="s">
        <v>3</v>
      </c>
      <c r="F263" s="9" t="s">
        <v>242</v>
      </c>
      <c r="G263" s="9">
        <v>1</v>
      </c>
      <c r="H263" s="6" t="s">
        <v>1453</v>
      </c>
      <c r="I263" s="9" t="s">
        <v>258</v>
      </c>
      <c r="J263" s="9" t="s">
        <v>145</v>
      </c>
    </row>
    <row r="264" spans="1:10">
      <c r="A264" s="5" t="s">
        <v>677</v>
      </c>
      <c r="B264" s="6" t="s">
        <v>1452</v>
      </c>
      <c r="C264" s="7">
        <v>46114</v>
      </c>
      <c r="D264" s="9" t="s">
        <v>261</v>
      </c>
      <c r="E264" s="8" t="s">
        <v>64</v>
      </c>
      <c r="F264" s="9" t="s">
        <v>242</v>
      </c>
      <c r="G264" s="9">
        <v>3</v>
      </c>
      <c r="H264" s="6" t="s">
        <v>1453</v>
      </c>
      <c r="I264" s="9" t="s">
        <v>258</v>
      </c>
      <c r="J264" s="9" t="s">
        <v>145</v>
      </c>
    </row>
    <row r="265" spans="1:10">
      <c r="A265" s="5" t="s">
        <v>678</v>
      </c>
      <c r="B265" s="6" t="s">
        <v>1452</v>
      </c>
      <c r="C265" s="7">
        <v>46114</v>
      </c>
      <c r="D265" s="9" t="s">
        <v>270</v>
      </c>
      <c r="E265" s="8" t="s">
        <v>271</v>
      </c>
      <c r="F265" s="9" t="s">
        <v>242</v>
      </c>
      <c r="G265" s="9">
        <v>3</v>
      </c>
      <c r="H265" s="6" t="s">
        <v>1453</v>
      </c>
      <c r="I265" s="9" t="s">
        <v>258</v>
      </c>
      <c r="J265" s="9" t="s">
        <v>145</v>
      </c>
    </row>
    <row r="266" spans="1:10">
      <c r="A266" s="5" t="s">
        <v>679</v>
      </c>
      <c r="B266" s="6" t="s">
        <v>1452</v>
      </c>
      <c r="C266" s="7">
        <v>46114</v>
      </c>
      <c r="D266" s="9" t="s">
        <v>503</v>
      </c>
      <c r="E266" s="8" t="s">
        <v>160</v>
      </c>
      <c r="F266" s="9" t="s">
        <v>242</v>
      </c>
      <c r="G266" s="9">
        <v>20</v>
      </c>
      <c r="H266" s="6" t="s">
        <v>1453</v>
      </c>
      <c r="I266" s="9" t="s">
        <v>258</v>
      </c>
      <c r="J266" s="9" t="s">
        <v>145</v>
      </c>
    </row>
    <row r="267" spans="1:10">
      <c r="A267" s="5" t="s">
        <v>680</v>
      </c>
      <c r="B267" s="6" t="s">
        <v>1452</v>
      </c>
      <c r="C267" s="7">
        <v>46114</v>
      </c>
      <c r="D267" s="9" t="s">
        <v>503</v>
      </c>
      <c r="E267" s="4" t="s">
        <v>187</v>
      </c>
      <c r="F267" s="9" t="s">
        <v>242</v>
      </c>
      <c r="G267" s="9">
        <v>1</v>
      </c>
      <c r="H267" s="6" t="s">
        <v>1453</v>
      </c>
      <c r="I267" s="9" t="s">
        <v>258</v>
      </c>
      <c r="J267" s="9" t="s">
        <v>145</v>
      </c>
    </row>
    <row r="268" spans="1:10">
      <c r="A268" s="5" t="s">
        <v>682</v>
      </c>
      <c r="B268" s="6" t="s">
        <v>1452</v>
      </c>
      <c r="C268" s="7">
        <v>46114</v>
      </c>
      <c r="D268" s="9" t="s">
        <v>503</v>
      </c>
      <c r="E268" s="8" t="s">
        <v>74</v>
      </c>
      <c r="F268" s="9" t="s">
        <v>242</v>
      </c>
      <c r="G268" s="9">
        <v>5</v>
      </c>
      <c r="H268" s="6" t="s">
        <v>1453</v>
      </c>
      <c r="I268" s="9" t="s">
        <v>258</v>
      </c>
      <c r="J268" s="9" t="s">
        <v>145</v>
      </c>
    </row>
    <row r="269" spans="1:10">
      <c r="A269" s="5" t="s">
        <v>683</v>
      </c>
      <c r="B269" s="6" t="s">
        <v>1452</v>
      </c>
      <c r="C269" s="7">
        <v>46114</v>
      </c>
      <c r="D269" s="9" t="s">
        <v>503</v>
      </c>
      <c r="E269" s="8" t="s">
        <v>71</v>
      </c>
      <c r="F269" s="9" t="s">
        <v>242</v>
      </c>
      <c r="G269" s="9">
        <v>1</v>
      </c>
      <c r="H269" s="6" t="s">
        <v>1453</v>
      </c>
      <c r="I269" s="9" t="s">
        <v>258</v>
      </c>
      <c r="J269" s="9" t="s">
        <v>145</v>
      </c>
    </row>
    <row r="270" spans="1:10">
      <c r="A270" s="5" t="s">
        <v>684</v>
      </c>
      <c r="B270" s="6" t="s">
        <v>1452</v>
      </c>
      <c r="C270" s="7">
        <v>46114</v>
      </c>
      <c r="D270" s="9" t="s">
        <v>503</v>
      </c>
      <c r="E270" s="8" t="s">
        <v>191</v>
      </c>
      <c r="F270" s="9" t="s">
        <v>242</v>
      </c>
      <c r="G270" s="9">
        <v>3</v>
      </c>
      <c r="H270" s="6" t="s">
        <v>1453</v>
      </c>
      <c r="I270" s="9" t="s">
        <v>258</v>
      </c>
      <c r="J270" s="9" t="s">
        <v>145</v>
      </c>
    </row>
    <row r="271" spans="1:10">
      <c r="A271" s="5" t="s">
        <v>685</v>
      </c>
      <c r="B271" s="6" t="s">
        <v>1452</v>
      </c>
      <c r="C271" s="7">
        <v>46114</v>
      </c>
      <c r="D271" s="9" t="s">
        <v>711</v>
      </c>
      <c r="E271" s="8" t="s">
        <v>111</v>
      </c>
      <c r="F271" s="9" t="s">
        <v>242</v>
      </c>
      <c r="G271" s="9">
        <v>1</v>
      </c>
      <c r="H271" s="6" t="s">
        <v>1453</v>
      </c>
      <c r="I271" s="9" t="s">
        <v>258</v>
      </c>
      <c r="J271" s="9" t="s">
        <v>145</v>
      </c>
    </row>
    <row r="272" spans="1:10">
      <c r="A272" s="5" t="s">
        <v>686</v>
      </c>
      <c r="B272" s="6" t="s">
        <v>1351</v>
      </c>
      <c r="C272" s="7">
        <v>46115</v>
      </c>
      <c r="D272" s="9" t="s">
        <v>500</v>
      </c>
      <c r="E272" s="8" t="s">
        <v>3</v>
      </c>
      <c r="F272" s="9" t="s">
        <v>242</v>
      </c>
      <c r="G272" s="9">
        <v>1</v>
      </c>
      <c r="H272" s="6" t="s">
        <v>1454</v>
      </c>
      <c r="I272" s="9" t="s">
        <v>357</v>
      </c>
      <c r="J272" s="9" t="s">
        <v>145</v>
      </c>
    </row>
    <row r="273" spans="1:10">
      <c r="A273" s="5" t="s">
        <v>689</v>
      </c>
      <c r="B273" s="6" t="s">
        <v>1351</v>
      </c>
      <c r="C273" s="7">
        <v>46115</v>
      </c>
      <c r="D273" s="9" t="s">
        <v>261</v>
      </c>
      <c r="E273" s="8" t="s">
        <v>62</v>
      </c>
      <c r="F273" s="9" t="s">
        <v>242</v>
      </c>
      <c r="G273" s="9">
        <v>3</v>
      </c>
      <c r="H273" s="6" t="s">
        <v>1454</v>
      </c>
      <c r="I273" s="9" t="s">
        <v>357</v>
      </c>
      <c r="J273" s="9" t="s">
        <v>145</v>
      </c>
    </row>
    <row r="274" spans="1:10">
      <c r="A274" s="5" t="s">
        <v>690</v>
      </c>
      <c r="B274" s="6" t="s">
        <v>1351</v>
      </c>
      <c r="C274" s="7">
        <v>46115</v>
      </c>
      <c r="D274" s="9" t="s">
        <v>270</v>
      </c>
      <c r="E274" s="8" t="s">
        <v>68</v>
      </c>
      <c r="F274" s="9" t="s">
        <v>242</v>
      </c>
      <c r="G274" s="9">
        <v>3</v>
      </c>
      <c r="H274" s="6" t="s">
        <v>1454</v>
      </c>
      <c r="I274" s="9" t="s">
        <v>357</v>
      </c>
      <c r="J274" s="9" t="s">
        <v>145</v>
      </c>
    </row>
    <row r="275" spans="1:10">
      <c r="A275" s="5" t="s">
        <v>691</v>
      </c>
      <c r="B275" s="6" t="s">
        <v>1455</v>
      </c>
      <c r="C275" s="7">
        <v>46118</v>
      </c>
      <c r="D275" s="9" t="s">
        <v>261</v>
      </c>
      <c r="E275" s="8" t="s">
        <v>62</v>
      </c>
      <c r="F275" s="9" t="s">
        <v>242</v>
      </c>
      <c r="G275" s="9">
        <v>2</v>
      </c>
      <c r="H275" s="6" t="s">
        <v>722</v>
      </c>
      <c r="I275" s="9" t="s">
        <v>628</v>
      </c>
      <c r="J275" s="9" t="s">
        <v>145</v>
      </c>
    </row>
    <row r="276" spans="1:10">
      <c r="A276" s="5" t="s">
        <v>694</v>
      </c>
      <c r="B276" s="6" t="s">
        <v>1456</v>
      </c>
      <c r="C276" s="7">
        <v>46118</v>
      </c>
      <c r="D276" s="9" t="s">
        <v>500</v>
      </c>
      <c r="E276" s="8" t="s">
        <v>54</v>
      </c>
      <c r="F276" s="9" t="s">
        <v>242</v>
      </c>
      <c r="G276" s="9">
        <v>1</v>
      </c>
      <c r="H276" s="6" t="s">
        <v>1457</v>
      </c>
      <c r="I276" s="9" t="s">
        <v>616</v>
      </c>
      <c r="J276" s="9" t="s">
        <v>145</v>
      </c>
    </row>
    <row r="277" spans="1:10">
      <c r="A277" s="5" t="s">
        <v>698</v>
      </c>
      <c r="B277" s="6" t="s">
        <v>1456</v>
      </c>
      <c r="C277" s="7">
        <v>46118</v>
      </c>
      <c r="D277" s="9" t="s">
        <v>261</v>
      </c>
      <c r="E277" s="8" t="s">
        <v>62</v>
      </c>
      <c r="F277" s="9" t="s">
        <v>242</v>
      </c>
      <c r="G277" s="9">
        <v>2</v>
      </c>
      <c r="H277" s="6" t="s">
        <v>1457</v>
      </c>
      <c r="I277" s="9" t="s">
        <v>616</v>
      </c>
      <c r="J277" s="9" t="s">
        <v>145</v>
      </c>
    </row>
    <row r="278" spans="1:10">
      <c r="A278" s="5" t="s">
        <v>699</v>
      </c>
      <c r="B278" s="6" t="s">
        <v>1458</v>
      </c>
      <c r="C278" s="7">
        <v>46119</v>
      </c>
      <c r="D278" s="9" t="s">
        <v>1322</v>
      </c>
      <c r="E278" s="8" t="s">
        <v>1323</v>
      </c>
      <c r="F278" s="9" t="s">
        <v>242</v>
      </c>
      <c r="G278" s="9">
        <v>3</v>
      </c>
      <c r="H278" s="6" t="s">
        <v>1459</v>
      </c>
      <c r="I278" s="9" t="s">
        <v>311</v>
      </c>
      <c r="J278" s="9" t="s">
        <v>145</v>
      </c>
    </row>
    <row r="279" spans="1:10">
      <c r="A279" s="5" t="s">
        <v>701</v>
      </c>
      <c r="B279" s="6" t="s">
        <v>1460</v>
      </c>
      <c r="C279" s="7">
        <v>46119</v>
      </c>
      <c r="D279" s="9" t="s">
        <v>1322</v>
      </c>
      <c r="E279" s="8" t="s">
        <v>1323</v>
      </c>
      <c r="F279" s="9" t="s">
        <v>242</v>
      </c>
      <c r="G279" s="9">
        <v>3</v>
      </c>
      <c r="H279" s="6" t="s">
        <v>1459</v>
      </c>
      <c r="I279" s="9" t="s">
        <v>311</v>
      </c>
      <c r="J279" s="9" t="s">
        <v>145</v>
      </c>
    </row>
    <row r="280" spans="1:10">
      <c r="A280" s="5" t="s">
        <v>703</v>
      </c>
      <c r="B280" s="6" t="s">
        <v>1461</v>
      </c>
      <c r="C280" s="7">
        <v>46119</v>
      </c>
      <c r="D280" s="9" t="s">
        <v>1322</v>
      </c>
      <c r="E280" s="8" t="s">
        <v>1323</v>
      </c>
      <c r="F280" s="9" t="s">
        <v>242</v>
      </c>
      <c r="G280" s="9">
        <v>4</v>
      </c>
      <c r="H280" s="6" t="s">
        <v>1459</v>
      </c>
      <c r="I280" s="9" t="s">
        <v>311</v>
      </c>
      <c r="J280" s="9" t="s">
        <v>145</v>
      </c>
    </row>
    <row r="281" spans="1:10">
      <c r="A281" s="5" t="s">
        <v>704</v>
      </c>
      <c r="B281" s="6" t="s">
        <v>1462</v>
      </c>
      <c r="C281" s="7">
        <v>46119</v>
      </c>
      <c r="D281" s="9" t="s">
        <v>1322</v>
      </c>
      <c r="E281" s="8" t="s">
        <v>1323</v>
      </c>
      <c r="F281" s="9" t="s">
        <v>242</v>
      </c>
      <c r="G281" s="9">
        <v>5</v>
      </c>
      <c r="H281" s="6" t="s">
        <v>1459</v>
      </c>
      <c r="I281" s="9" t="s">
        <v>918</v>
      </c>
      <c r="J281" s="9" t="s">
        <v>145</v>
      </c>
    </row>
    <row r="282" spans="1:10">
      <c r="A282" s="5" t="s">
        <v>705</v>
      </c>
      <c r="B282" s="6" t="s">
        <v>1463</v>
      </c>
      <c r="C282" s="7">
        <v>46119</v>
      </c>
      <c r="D282" s="9" t="s">
        <v>1322</v>
      </c>
      <c r="E282" s="8" t="s">
        <v>1323</v>
      </c>
      <c r="F282" s="9" t="s">
        <v>242</v>
      </c>
      <c r="G282" s="9">
        <v>4</v>
      </c>
      <c r="H282" s="6" t="s">
        <v>1459</v>
      </c>
      <c r="I282" s="9" t="s">
        <v>918</v>
      </c>
      <c r="J282" s="9" t="s">
        <v>145</v>
      </c>
    </row>
    <row r="283" spans="1:10">
      <c r="A283" s="5" t="s">
        <v>706</v>
      </c>
      <c r="B283" s="6" t="s">
        <v>1464</v>
      </c>
      <c r="C283" s="7">
        <v>46119</v>
      </c>
      <c r="D283" s="9" t="s">
        <v>261</v>
      </c>
      <c r="E283" s="8" t="s">
        <v>62</v>
      </c>
      <c r="F283" s="9" t="s">
        <v>242</v>
      </c>
      <c r="G283" s="9">
        <v>9</v>
      </c>
      <c r="H283" s="6" t="s">
        <v>1465</v>
      </c>
      <c r="I283" s="9" t="s">
        <v>484</v>
      </c>
      <c r="J283" s="9" t="s">
        <v>145</v>
      </c>
    </row>
    <row r="284" spans="1:10">
      <c r="A284" s="5" t="s">
        <v>708</v>
      </c>
      <c r="B284" s="6" t="s">
        <v>1464</v>
      </c>
      <c r="C284" s="7">
        <v>46119</v>
      </c>
      <c r="D284" s="9" t="s">
        <v>261</v>
      </c>
      <c r="E284" s="8" t="s">
        <v>281</v>
      </c>
      <c r="F284" s="9" t="s">
        <v>242</v>
      </c>
      <c r="G284" s="9">
        <v>5</v>
      </c>
      <c r="H284" s="6" t="s">
        <v>1465</v>
      </c>
      <c r="I284" s="9" t="s">
        <v>484</v>
      </c>
      <c r="J284" s="9" t="s">
        <v>145</v>
      </c>
    </row>
    <row r="285" spans="1:10">
      <c r="A285" s="5" t="s">
        <v>709</v>
      </c>
      <c r="B285" s="6" t="s">
        <v>1464</v>
      </c>
      <c r="C285" s="7">
        <v>46119</v>
      </c>
      <c r="D285" s="9" t="s">
        <v>696</v>
      </c>
      <c r="E285" s="8" t="s">
        <v>86</v>
      </c>
      <c r="F285" s="9" t="s">
        <v>242</v>
      </c>
      <c r="G285" s="9">
        <v>80</v>
      </c>
      <c r="H285" s="6" t="s">
        <v>1465</v>
      </c>
      <c r="I285" s="9" t="s">
        <v>484</v>
      </c>
      <c r="J285" s="9" t="s">
        <v>145</v>
      </c>
    </row>
    <row r="286" spans="1:10">
      <c r="A286" s="5" t="s">
        <v>713</v>
      </c>
      <c r="B286" s="6" t="s">
        <v>1466</v>
      </c>
      <c r="C286" s="7">
        <v>46119</v>
      </c>
      <c r="D286" s="9" t="s">
        <v>711</v>
      </c>
      <c r="E286" s="8" t="s">
        <v>111</v>
      </c>
      <c r="F286" s="9" t="s">
        <v>242</v>
      </c>
      <c r="G286" s="9">
        <v>1</v>
      </c>
      <c r="H286" s="6" t="s">
        <v>1467</v>
      </c>
      <c r="I286" s="9" t="s">
        <v>258</v>
      </c>
      <c r="J286" s="9" t="s">
        <v>145</v>
      </c>
    </row>
    <row r="287" spans="1:10">
      <c r="A287" s="5" t="s">
        <v>716</v>
      </c>
      <c r="B287" s="6" t="s">
        <v>1466</v>
      </c>
      <c r="C287" s="7">
        <v>46119</v>
      </c>
      <c r="D287" s="9" t="s">
        <v>714</v>
      </c>
      <c r="E287" s="8" t="s">
        <v>715</v>
      </c>
      <c r="F287" s="9" t="s">
        <v>242</v>
      </c>
      <c r="G287" s="9">
        <v>1</v>
      </c>
      <c r="H287" s="6" t="s">
        <v>1467</v>
      </c>
      <c r="I287" s="9" t="s">
        <v>258</v>
      </c>
      <c r="J287" s="9" t="s">
        <v>145</v>
      </c>
    </row>
    <row r="288" spans="1:10">
      <c r="A288" s="5" t="s">
        <v>718</v>
      </c>
      <c r="B288" s="6" t="s">
        <v>1468</v>
      </c>
      <c r="C288" s="7">
        <v>46119</v>
      </c>
      <c r="D288" s="9" t="s">
        <v>261</v>
      </c>
      <c r="E288" s="8" t="s">
        <v>62</v>
      </c>
      <c r="F288" s="9" t="s">
        <v>242</v>
      </c>
      <c r="G288" s="9">
        <v>5</v>
      </c>
      <c r="H288" s="6" t="s">
        <v>722</v>
      </c>
      <c r="I288" s="9" t="s">
        <v>258</v>
      </c>
      <c r="J288" s="9" t="s">
        <v>145</v>
      </c>
    </row>
    <row r="289" spans="1:10">
      <c r="A289" s="5" t="s">
        <v>719</v>
      </c>
      <c r="B289" s="6" t="s">
        <v>1469</v>
      </c>
      <c r="C289" s="7">
        <v>46119</v>
      </c>
      <c r="D289" s="9" t="s">
        <v>696</v>
      </c>
      <c r="E289" s="8" t="s">
        <v>86</v>
      </c>
      <c r="F289" s="9" t="s">
        <v>242</v>
      </c>
      <c r="G289" s="9">
        <v>180</v>
      </c>
      <c r="H289" s="6" t="s">
        <v>1470</v>
      </c>
      <c r="I289" s="9" t="s">
        <v>1280</v>
      </c>
      <c r="J289" s="9" t="s">
        <v>145</v>
      </c>
    </row>
    <row r="290" spans="1:10">
      <c r="A290" s="5" t="s">
        <v>720</v>
      </c>
      <c r="B290" s="6" t="s">
        <v>1469</v>
      </c>
      <c r="C290" s="7">
        <v>46119</v>
      </c>
      <c r="D290" s="9" t="s">
        <v>261</v>
      </c>
      <c r="E290" s="8" t="s">
        <v>62</v>
      </c>
      <c r="F290" s="9" t="s">
        <v>242</v>
      </c>
      <c r="G290" s="9">
        <v>2</v>
      </c>
      <c r="H290" s="6" t="s">
        <v>1470</v>
      </c>
      <c r="I290" s="9" t="s">
        <v>1280</v>
      </c>
      <c r="J290" s="9" t="s">
        <v>145</v>
      </c>
    </row>
    <row r="291" spans="1:10">
      <c r="A291" s="5" t="s">
        <v>723</v>
      </c>
      <c r="B291" s="6" t="s">
        <v>1471</v>
      </c>
      <c r="C291" s="7">
        <v>46120</v>
      </c>
      <c r="D291" s="9" t="s">
        <v>711</v>
      </c>
      <c r="E291" s="8" t="s">
        <v>111</v>
      </c>
      <c r="F291" s="9" t="s">
        <v>242</v>
      </c>
      <c r="G291" s="9">
        <v>1</v>
      </c>
      <c r="H291" s="6" t="s">
        <v>1467</v>
      </c>
      <c r="I291" s="9" t="s">
        <v>253</v>
      </c>
      <c r="J291" s="9" t="s">
        <v>145</v>
      </c>
    </row>
    <row r="292" spans="1:10">
      <c r="A292" s="5" t="s">
        <v>725</v>
      </c>
      <c r="B292" s="6" t="s">
        <v>1471</v>
      </c>
      <c r="C292" s="7">
        <v>46120</v>
      </c>
      <c r="D292" s="9" t="s">
        <v>714</v>
      </c>
      <c r="E292" s="8" t="s">
        <v>715</v>
      </c>
      <c r="F292" s="9" t="s">
        <v>242</v>
      </c>
      <c r="G292" s="9">
        <v>1</v>
      </c>
      <c r="H292" s="6" t="s">
        <v>1467</v>
      </c>
      <c r="I292" s="9" t="s">
        <v>253</v>
      </c>
      <c r="J292" s="9" t="s">
        <v>145</v>
      </c>
    </row>
    <row r="293" spans="1:10">
      <c r="A293" s="5" t="s">
        <v>727</v>
      </c>
      <c r="B293" s="6" t="s">
        <v>1472</v>
      </c>
      <c r="C293" s="7">
        <v>46120</v>
      </c>
      <c r="D293" s="9" t="s">
        <v>500</v>
      </c>
      <c r="E293" s="8" t="s">
        <v>4</v>
      </c>
      <c r="F293" s="9" t="s">
        <v>242</v>
      </c>
      <c r="G293" s="9">
        <v>1</v>
      </c>
      <c r="H293" s="6" t="s">
        <v>866</v>
      </c>
      <c r="I293" s="9" t="s">
        <v>388</v>
      </c>
      <c r="J293" s="9" t="s">
        <v>145</v>
      </c>
    </row>
    <row r="294" spans="1:10">
      <c r="A294" s="5" t="s">
        <v>728</v>
      </c>
      <c r="B294" s="6" t="s">
        <v>1472</v>
      </c>
      <c r="C294" s="7">
        <v>46120</v>
      </c>
      <c r="D294" s="9" t="s">
        <v>261</v>
      </c>
      <c r="E294" s="4" t="s">
        <v>64</v>
      </c>
      <c r="F294" s="9" t="s">
        <v>242</v>
      </c>
      <c r="G294" s="9">
        <v>3</v>
      </c>
      <c r="H294" s="6" t="s">
        <v>866</v>
      </c>
      <c r="I294" s="9" t="s">
        <v>388</v>
      </c>
      <c r="J294" s="9" t="s">
        <v>145</v>
      </c>
    </row>
    <row r="295" spans="1:10">
      <c r="A295" s="5" t="s">
        <v>730</v>
      </c>
      <c r="B295" s="6" t="s">
        <v>1472</v>
      </c>
      <c r="C295" s="7">
        <v>46120</v>
      </c>
      <c r="D295" s="9" t="s">
        <v>270</v>
      </c>
      <c r="E295" s="8" t="s">
        <v>271</v>
      </c>
      <c r="F295" s="9" t="s">
        <v>242</v>
      </c>
      <c r="G295" s="9">
        <v>3</v>
      </c>
      <c r="H295" s="6" t="s">
        <v>866</v>
      </c>
      <c r="I295" s="9" t="s">
        <v>388</v>
      </c>
      <c r="J295" s="9" t="s">
        <v>145</v>
      </c>
    </row>
    <row r="296" spans="1:10">
      <c r="A296" s="5" t="s">
        <v>733</v>
      </c>
      <c r="B296" s="6" t="s">
        <v>1473</v>
      </c>
      <c r="C296" s="7">
        <v>46120</v>
      </c>
      <c r="D296" s="9" t="s">
        <v>500</v>
      </c>
      <c r="E296" s="8" t="s">
        <v>54</v>
      </c>
      <c r="F296" s="9" t="s">
        <v>242</v>
      </c>
      <c r="G296" s="9">
        <v>1</v>
      </c>
      <c r="H296" s="6" t="s">
        <v>759</v>
      </c>
      <c r="I296" s="9" t="s">
        <v>628</v>
      </c>
      <c r="J296" s="9" t="s">
        <v>145</v>
      </c>
    </row>
    <row r="297" spans="1:10">
      <c r="A297" s="5" t="s">
        <v>736</v>
      </c>
      <c r="B297" s="6" t="s">
        <v>1474</v>
      </c>
      <c r="C297" s="7">
        <v>46120</v>
      </c>
      <c r="D297" s="9" t="s">
        <v>500</v>
      </c>
      <c r="E297" s="8" t="s">
        <v>53</v>
      </c>
      <c r="F297" s="9" t="s">
        <v>242</v>
      </c>
      <c r="G297" s="9">
        <v>1</v>
      </c>
      <c r="H297" s="6" t="s">
        <v>1475</v>
      </c>
      <c r="I297" s="9" t="s">
        <v>616</v>
      </c>
      <c r="J297" s="9" t="s">
        <v>145</v>
      </c>
    </row>
    <row r="298" spans="1:10">
      <c r="A298" s="5" t="s">
        <v>738</v>
      </c>
      <c r="B298" s="6" t="s">
        <v>1474</v>
      </c>
      <c r="C298" s="7">
        <v>46120</v>
      </c>
      <c r="D298" s="9" t="s">
        <v>261</v>
      </c>
      <c r="E298" s="8" t="s">
        <v>64</v>
      </c>
      <c r="F298" s="9" t="s">
        <v>242</v>
      </c>
      <c r="G298" s="9">
        <v>1</v>
      </c>
      <c r="H298" s="6" t="s">
        <v>1475</v>
      </c>
      <c r="I298" s="9" t="s">
        <v>616</v>
      </c>
      <c r="J298" s="9" t="s">
        <v>145</v>
      </c>
    </row>
    <row r="299" spans="1:10">
      <c r="A299" s="5" t="s">
        <v>740</v>
      </c>
      <c r="B299" s="6" t="s">
        <v>1474</v>
      </c>
      <c r="C299" s="7">
        <v>46120</v>
      </c>
      <c r="D299" s="9" t="s">
        <v>270</v>
      </c>
      <c r="E299" s="8" t="s">
        <v>271</v>
      </c>
      <c r="F299" s="9" t="s">
        <v>242</v>
      </c>
      <c r="G299" s="9">
        <v>1</v>
      </c>
      <c r="H299" s="6" t="s">
        <v>1475</v>
      </c>
      <c r="I299" s="9" t="s">
        <v>616</v>
      </c>
      <c r="J299" s="9" t="s">
        <v>145</v>
      </c>
    </row>
    <row r="300" spans="1:10">
      <c r="A300" s="5" t="s">
        <v>743</v>
      </c>
      <c r="B300" s="6" t="s">
        <v>1476</v>
      </c>
      <c r="C300" s="7">
        <v>46120</v>
      </c>
      <c r="D300" s="9" t="s">
        <v>500</v>
      </c>
      <c r="E300" s="8" t="s">
        <v>48</v>
      </c>
      <c r="F300" s="9" t="s">
        <v>242</v>
      </c>
      <c r="G300" s="9">
        <v>1</v>
      </c>
      <c r="H300" s="6" t="s">
        <v>1477</v>
      </c>
      <c r="I300" s="9" t="s">
        <v>484</v>
      </c>
      <c r="J300" s="9" t="s">
        <v>145</v>
      </c>
    </row>
    <row r="301" spans="1:10">
      <c r="A301" s="5" t="s">
        <v>744</v>
      </c>
      <c r="B301" s="6" t="s">
        <v>1476</v>
      </c>
      <c r="C301" s="7">
        <v>46120</v>
      </c>
      <c r="D301" s="9" t="s">
        <v>261</v>
      </c>
      <c r="E301" s="4" t="s">
        <v>64</v>
      </c>
      <c r="F301" s="9" t="s">
        <v>242</v>
      </c>
      <c r="G301" s="9">
        <v>3</v>
      </c>
      <c r="H301" s="6" t="s">
        <v>1477</v>
      </c>
      <c r="I301" s="9" t="s">
        <v>484</v>
      </c>
      <c r="J301" s="9" t="s">
        <v>145</v>
      </c>
    </row>
    <row r="302" spans="1:10">
      <c r="A302" s="5" t="s">
        <v>745</v>
      </c>
      <c r="B302" s="6" t="s">
        <v>1476</v>
      </c>
      <c r="C302" s="7">
        <v>46120</v>
      </c>
      <c r="D302" s="9" t="s">
        <v>270</v>
      </c>
      <c r="E302" s="4" t="s">
        <v>271</v>
      </c>
      <c r="F302" s="9" t="s">
        <v>242</v>
      </c>
      <c r="G302" s="9">
        <v>3</v>
      </c>
      <c r="H302" s="6" t="s">
        <v>1477</v>
      </c>
      <c r="I302" s="9" t="s">
        <v>484</v>
      </c>
      <c r="J302" s="9" t="s">
        <v>145</v>
      </c>
    </row>
    <row r="303" spans="1:10">
      <c r="A303" s="5" t="s">
        <v>746</v>
      </c>
      <c r="B303" s="6" t="s">
        <v>1476</v>
      </c>
      <c r="C303" s="7">
        <v>46120</v>
      </c>
      <c r="D303" s="9" t="s">
        <v>261</v>
      </c>
      <c r="E303" s="8" t="s">
        <v>62</v>
      </c>
      <c r="F303" s="9" t="s">
        <v>242</v>
      </c>
      <c r="G303" s="9">
        <v>2</v>
      </c>
      <c r="H303" s="6" t="s">
        <v>1477</v>
      </c>
      <c r="I303" s="9" t="s">
        <v>484</v>
      </c>
      <c r="J303" s="9" t="s">
        <v>145</v>
      </c>
    </row>
    <row r="304" spans="1:10">
      <c r="A304" s="5" t="s">
        <v>747</v>
      </c>
      <c r="B304" s="6" t="s">
        <v>1478</v>
      </c>
      <c r="C304" s="7">
        <v>46121</v>
      </c>
      <c r="D304" s="9" t="s">
        <v>261</v>
      </c>
      <c r="E304" s="8" t="s">
        <v>62</v>
      </c>
      <c r="F304" s="9" t="s">
        <v>242</v>
      </c>
      <c r="G304" s="9">
        <v>5</v>
      </c>
      <c r="H304" s="6" t="s">
        <v>722</v>
      </c>
      <c r="I304" s="9" t="s">
        <v>1280</v>
      </c>
      <c r="J304" s="9" t="s">
        <v>145</v>
      </c>
    </row>
    <row r="305" spans="1:10">
      <c r="A305" s="5" t="s">
        <v>750</v>
      </c>
      <c r="B305" s="6" t="s">
        <v>1479</v>
      </c>
      <c r="C305" s="7">
        <v>46121</v>
      </c>
      <c r="D305" s="9" t="s">
        <v>261</v>
      </c>
      <c r="E305" s="8" t="s">
        <v>62</v>
      </c>
      <c r="F305" s="9" t="s">
        <v>242</v>
      </c>
      <c r="G305" s="9">
        <v>8</v>
      </c>
      <c r="H305" s="6" t="s">
        <v>722</v>
      </c>
      <c r="I305" s="9" t="s">
        <v>275</v>
      </c>
      <c r="J305" s="9" t="s">
        <v>145</v>
      </c>
    </row>
    <row r="306" spans="1:10">
      <c r="A306" s="5" t="s">
        <v>751</v>
      </c>
      <c r="B306" s="6" t="s">
        <v>1480</v>
      </c>
      <c r="C306" s="7">
        <v>46124</v>
      </c>
      <c r="D306" s="9" t="s">
        <v>500</v>
      </c>
      <c r="E306" s="4" t="s">
        <v>48</v>
      </c>
      <c r="F306" s="9" t="s">
        <v>242</v>
      </c>
      <c r="G306" s="9">
        <v>1</v>
      </c>
      <c r="H306" s="6" t="s">
        <v>1477</v>
      </c>
      <c r="I306" s="9" t="s">
        <v>258</v>
      </c>
      <c r="J306" s="9" t="s">
        <v>145</v>
      </c>
    </row>
    <row r="307" spans="1:10">
      <c r="A307" s="5" t="s">
        <v>752</v>
      </c>
      <c r="B307" s="6" t="s">
        <v>1480</v>
      </c>
      <c r="C307" s="7">
        <v>46124</v>
      </c>
      <c r="D307" s="9" t="s">
        <v>261</v>
      </c>
      <c r="E307" s="8" t="s">
        <v>64</v>
      </c>
      <c r="F307" s="9" t="s">
        <v>242</v>
      </c>
      <c r="G307" s="9">
        <v>2</v>
      </c>
      <c r="H307" s="6" t="s">
        <v>1477</v>
      </c>
      <c r="I307" s="9" t="s">
        <v>258</v>
      </c>
      <c r="J307" s="9" t="s">
        <v>145</v>
      </c>
    </row>
    <row r="308" spans="1:10">
      <c r="A308" s="5" t="s">
        <v>754</v>
      </c>
      <c r="B308" s="6" t="s">
        <v>1480</v>
      </c>
      <c r="C308" s="7">
        <v>46124</v>
      </c>
      <c r="D308" s="9" t="s">
        <v>270</v>
      </c>
      <c r="E308" s="8" t="s">
        <v>271</v>
      </c>
      <c r="F308" s="9" t="s">
        <v>242</v>
      </c>
      <c r="G308" s="9">
        <v>2</v>
      </c>
      <c r="H308" s="6" t="s">
        <v>1477</v>
      </c>
      <c r="I308" s="9" t="s">
        <v>258</v>
      </c>
      <c r="J308" s="9" t="s">
        <v>145</v>
      </c>
    </row>
    <row r="309" spans="1:10">
      <c r="A309" s="5" t="s">
        <v>757</v>
      </c>
      <c r="B309" s="6" t="s">
        <v>1480</v>
      </c>
      <c r="C309" s="7">
        <v>46124</v>
      </c>
      <c r="D309" s="9" t="s">
        <v>503</v>
      </c>
      <c r="E309" s="8" t="s">
        <v>162</v>
      </c>
      <c r="F309" s="9" t="s">
        <v>242</v>
      </c>
      <c r="G309" s="9">
        <v>1</v>
      </c>
      <c r="H309" s="6" t="s">
        <v>1477</v>
      </c>
      <c r="I309" s="9" t="s">
        <v>258</v>
      </c>
      <c r="J309" s="9" t="s">
        <v>145</v>
      </c>
    </row>
    <row r="310" spans="1:10">
      <c r="A310" s="5" t="s">
        <v>760</v>
      </c>
      <c r="B310" s="6" t="s">
        <v>1481</v>
      </c>
      <c r="C310" s="7">
        <v>46119</v>
      </c>
      <c r="D310" s="9" t="s">
        <v>1322</v>
      </c>
      <c r="E310" s="4" t="s">
        <v>1323</v>
      </c>
      <c r="F310" s="9" t="s">
        <v>242</v>
      </c>
      <c r="G310" s="9">
        <v>3</v>
      </c>
      <c r="H310" s="6" t="s">
        <v>1459</v>
      </c>
      <c r="I310" s="9" t="s">
        <v>609</v>
      </c>
      <c r="J310" s="9" t="s">
        <v>145</v>
      </c>
    </row>
    <row r="311" spans="1:10">
      <c r="A311" s="5" t="s">
        <v>761</v>
      </c>
      <c r="B311" s="6" t="s">
        <v>1482</v>
      </c>
      <c r="C311" s="7">
        <v>46126</v>
      </c>
      <c r="D311" s="9" t="s">
        <v>1322</v>
      </c>
      <c r="E311" s="8" t="s">
        <v>1323</v>
      </c>
      <c r="F311" s="9" t="s">
        <v>242</v>
      </c>
      <c r="G311" s="9">
        <v>2</v>
      </c>
      <c r="H311" s="6" t="s">
        <v>1459</v>
      </c>
      <c r="I311" s="9" t="s">
        <v>609</v>
      </c>
      <c r="J311" s="9" t="s">
        <v>145</v>
      </c>
    </row>
    <row r="312" spans="1:10">
      <c r="A312" s="5" t="s">
        <v>763</v>
      </c>
      <c r="B312" s="6" t="s">
        <v>1483</v>
      </c>
      <c r="C312" s="7">
        <v>46126</v>
      </c>
      <c r="D312" s="9" t="s">
        <v>500</v>
      </c>
      <c r="E312" s="4" t="s">
        <v>48</v>
      </c>
      <c r="F312" s="9" t="s">
        <v>242</v>
      </c>
      <c r="G312" s="9">
        <v>1</v>
      </c>
      <c r="H312" s="6" t="s">
        <v>1477</v>
      </c>
      <c r="I312" s="9" t="s">
        <v>258</v>
      </c>
      <c r="J312" s="9" t="s">
        <v>145</v>
      </c>
    </row>
    <row r="313" spans="1:10">
      <c r="A313" s="5" t="s">
        <v>764</v>
      </c>
      <c r="B313" s="6" t="s">
        <v>1483</v>
      </c>
      <c r="C313" s="7">
        <v>46126</v>
      </c>
      <c r="D313" s="9" t="s">
        <v>261</v>
      </c>
      <c r="E313" s="8" t="s">
        <v>64</v>
      </c>
      <c r="F313" s="9" t="s">
        <v>242</v>
      </c>
      <c r="G313" s="9">
        <v>3</v>
      </c>
      <c r="H313" s="6" t="s">
        <v>1477</v>
      </c>
      <c r="I313" s="9" t="s">
        <v>258</v>
      </c>
      <c r="J313" s="9" t="s">
        <v>145</v>
      </c>
    </row>
    <row r="314" spans="1:10">
      <c r="A314" s="5" t="s">
        <v>765</v>
      </c>
      <c r="B314" s="6" t="s">
        <v>1483</v>
      </c>
      <c r="C314" s="7">
        <v>46126</v>
      </c>
      <c r="D314" s="9" t="s">
        <v>270</v>
      </c>
      <c r="E314" s="4" t="s">
        <v>271</v>
      </c>
      <c r="F314" s="9" t="s">
        <v>242</v>
      </c>
      <c r="G314" s="9">
        <v>3</v>
      </c>
      <c r="H314" s="6" t="s">
        <v>1477</v>
      </c>
      <c r="I314" s="9" t="s">
        <v>258</v>
      </c>
      <c r="J314" s="9" t="s">
        <v>145</v>
      </c>
    </row>
    <row r="315" spans="1:10">
      <c r="A315" s="5" t="s">
        <v>767</v>
      </c>
      <c r="B315" s="6" t="s">
        <v>1484</v>
      </c>
      <c r="C315" s="7">
        <v>46126</v>
      </c>
      <c r="D315" s="9" t="s">
        <v>261</v>
      </c>
      <c r="E315" s="8" t="s">
        <v>62</v>
      </c>
      <c r="F315" s="9" t="s">
        <v>242</v>
      </c>
      <c r="G315" s="9">
        <v>3</v>
      </c>
      <c r="H315" s="6" t="s">
        <v>722</v>
      </c>
      <c r="I315" s="9" t="s">
        <v>514</v>
      </c>
      <c r="J315" s="9" t="s">
        <v>145</v>
      </c>
    </row>
    <row r="316" spans="1:10">
      <c r="A316" s="5" t="s">
        <v>768</v>
      </c>
      <c r="B316" s="6" t="s">
        <v>1485</v>
      </c>
      <c r="C316" s="7">
        <v>46127</v>
      </c>
      <c r="D316" s="9" t="s">
        <v>503</v>
      </c>
      <c r="E316" s="8" t="s">
        <v>180</v>
      </c>
      <c r="F316" s="9" t="s">
        <v>242</v>
      </c>
      <c r="G316" s="9">
        <v>1</v>
      </c>
      <c r="H316" s="6" t="s">
        <v>1486</v>
      </c>
      <c r="I316" s="9" t="s">
        <v>253</v>
      </c>
      <c r="J316" s="9" t="s">
        <v>145</v>
      </c>
    </row>
    <row r="317" spans="1:10">
      <c r="A317" s="5" t="s">
        <v>769</v>
      </c>
      <c r="B317" s="6" t="s">
        <v>1485</v>
      </c>
      <c r="C317" s="7">
        <v>46127</v>
      </c>
      <c r="D317" s="9" t="s">
        <v>503</v>
      </c>
      <c r="E317" s="4" t="s">
        <v>71</v>
      </c>
      <c r="F317" s="9" t="s">
        <v>242</v>
      </c>
      <c r="G317" s="9">
        <v>2</v>
      </c>
      <c r="H317" s="6" t="s">
        <v>1486</v>
      </c>
      <c r="I317" s="9" t="s">
        <v>253</v>
      </c>
      <c r="J317" s="9" t="s">
        <v>145</v>
      </c>
    </row>
    <row r="318" spans="1:10">
      <c r="A318" s="5" t="s">
        <v>772</v>
      </c>
      <c r="B318" s="6" t="s">
        <v>1485</v>
      </c>
      <c r="C318" s="7">
        <v>46127</v>
      </c>
      <c r="D318" s="9" t="s">
        <v>503</v>
      </c>
      <c r="E318" s="8" t="s">
        <v>78</v>
      </c>
      <c r="F318" s="9" t="s">
        <v>242</v>
      </c>
      <c r="G318" s="9">
        <v>2</v>
      </c>
      <c r="H318" s="6" t="s">
        <v>1486</v>
      </c>
      <c r="I318" s="9" t="s">
        <v>253</v>
      </c>
      <c r="J318" s="9" t="s">
        <v>145</v>
      </c>
    </row>
    <row r="319" spans="1:10">
      <c r="A319" s="5" t="s">
        <v>773</v>
      </c>
      <c r="B319" s="6" t="s">
        <v>1485</v>
      </c>
      <c r="C319" s="7">
        <v>46127</v>
      </c>
      <c r="D319" s="9" t="s">
        <v>503</v>
      </c>
      <c r="E319" s="4" t="s">
        <v>183</v>
      </c>
      <c r="F319" s="9" t="s">
        <v>242</v>
      </c>
      <c r="G319" s="9">
        <v>2</v>
      </c>
      <c r="H319" s="6" t="s">
        <v>1486</v>
      </c>
      <c r="I319" s="9" t="s">
        <v>253</v>
      </c>
      <c r="J319" s="9" t="s">
        <v>145</v>
      </c>
    </row>
    <row r="320" spans="1:10">
      <c r="A320" s="5" t="s">
        <v>774</v>
      </c>
      <c r="B320" s="6" t="s">
        <v>1485</v>
      </c>
      <c r="C320" s="7">
        <v>46127</v>
      </c>
      <c r="D320" s="9" t="s">
        <v>503</v>
      </c>
      <c r="E320" s="8" t="s">
        <v>190</v>
      </c>
      <c r="F320" s="9" t="s">
        <v>242</v>
      </c>
      <c r="G320" s="9">
        <v>1</v>
      </c>
      <c r="H320" s="6" t="s">
        <v>1486</v>
      </c>
      <c r="I320" s="9" t="s">
        <v>253</v>
      </c>
      <c r="J320" s="9" t="s">
        <v>145</v>
      </c>
    </row>
    <row r="321" spans="1:10">
      <c r="A321" s="5" t="s">
        <v>776</v>
      </c>
      <c r="B321" s="6" t="s">
        <v>1487</v>
      </c>
      <c r="C321" s="7">
        <v>46127</v>
      </c>
      <c r="D321" s="9" t="s">
        <v>261</v>
      </c>
      <c r="E321" s="4" t="s">
        <v>62</v>
      </c>
      <c r="F321" s="9" t="s">
        <v>242</v>
      </c>
      <c r="G321" s="9">
        <v>3</v>
      </c>
      <c r="H321" s="6" t="s">
        <v>1488</v>
      </c>
      <c r="I321" s="9" t="s">
        <v>484</v>
      </c>
      <c r="J321" s="9" t="s">
        <v>145</v>
      </c>
    </row>
    <row r="322" spans="1:10">
      <c r="A322" s="5" t="s">
        <v>779</v>
      </c>
      <c r="B322" s="6" t="s">
        <v>1489</v>
      </c>
      <c r="C322" s="7">
        <v>46127</v>
      </c>
      <c r="D322" s="9" t="s">
        <v>261</v>
      </c>
      <c r="E322" s="8" t="s">
        <v>62</v>
      </c>
      <c r="F322" s="9" t="s">
        <v>242</v>
      </c>
      <c r="G322" s="9">
        <v>5</v>
      </c>
      <c r="H322" s="6" t="s">
        <v>722</v>
      </c>
      <c r="I322" s="9" t="s">
        <v>289</v>
      </c>
      <c r="J322" s="9" t="s">
        <v>145</v>
      </c>
    </row>
    <row r="323" spans="1:10">
      <c r="A323" s="5" t="s">
        <v>780</v>
      </c>
      <c r="B323" s="6" t="s">
        <v>1489</v>
      </c>
      <c r="C323" s="7">
        <v>46127</v>
      </c>
      <c r="D323" s="9" t="s">
        <v>261</v>
      </c>
      <c r="E323" s="8" t="s">
        <v>281</v>
      </c>
      <c r="F323" s="9" t="s">
        <v>242</v>
      </c>
      <c r="G323" s="9">
        <v>3</v>
      </c>
      <c r="H323" s="6" t="s">
        <v>722</v>
      </c>
      <c r="I323" s="9" t="s">
        <v>289</v>
      </c>
      <c r="J323" s="9" t="s">
        <v>145</v>
      </c>
    </row>
    <row r="324" spans="1:10">
      <c r="A324" s="5" t="s">
        <v>782</v>
      </c>
      <c r="B324" s="6" t="s">
        <v>1490</v>
      </c>
      <c r="C324" s="7">
        <v>46128</v>
      </c>
      <c r="D324" s="9" t="s">
        <v>261</v>
      </c>
      <c r="E324" s="8" t="s">
        <v>62</v>
      </c>
      <c r="F324" s="9" t="s">
        <v>242</v>
      </c>
      <c r="G324" s="9">
        <v>5</v>
      </c>
      <c r="H324" s="6" t="s">
        <v>722</v>
      </c>
      <c r="I324" s="9" t="s">
        <v>258</v>
      </c>
      <c r="J324" s="9" t="s">
        <v>145</v>
      </c>
    </row>
    <row r="325" spans="1:10">
      <c r="A325" s="5" t="s">
        <v>785</v>
      </c>
      <c r="B325" s="6" t="s">
        <v>1491</v>
      </c>
      <c r="C325" s="7">
        <v>46128</v>
      </c>
      <c r="D325" s="9" t="s">
        <v>261</v>
      </c>
      <c r="E325" s="8" t="s">
        <v>62</v>
      </c>
      <c r="F325" s="9" t="s">
        <v>242</v>
      </c>
      <c r="G325" s="9">
        <v>2</v>
      </c>
      <c r="H325" s="6" t="s">
        <v>722</v>
      </c>
      <c r="I325" s="9" t="s">
        <v>609</v>
      </c>
      <c r="J325" s="9" t="s">
        <v>145</v>
      </c>
    </row>
    <row r="326" spans="1:10">
      <c r="A326" s="5" t="s">
        <v>786</v>
      </c>
      <c r="B326" s="6" t="s">
        <v>1491</v>
      </c>
      <c r="C326" s="7">
        <v>46128</v>
      </c>
      <c r="D326" s="9" t="s">
        <v>261</v>
      </c>
      <c r="E326" s="8" t="s">
        <v>281</v>
      </c>
      <c r="F326" s="9" t="s">
        <v>242</v>
      </c>
      <c r="G326" s="9">
        <v>3</v>
      </c>
      <c r="H326" s="6" t="s">
        <v>722</v>
      </c>
      <c r="I326" s="9" t="s">
        <v>609</v>
      </c>
      <c r="J326" s="9" t="s">
        <v>145</v>
      </c>
    </row>
    <row r="327" spans="1:10">
      <c r="A327" s="5" t="s">
        <v>788</v>
      </c>
      <c r="B327" s="6" t="s">
        <v>1492</v>
      </c>
      <c r="C327" s="7">
        <v>46128</v>
      </c>
      <c r="D327" s="9" t="s">
        <v>500</v>
      </c>
      <c r="E327" s="8" t="s">
        <v>3</v>
      </c>
      <c r="F327" s="9" t="s">
        <v>242</v>
      </c>
      <c r="G327" s="9">
        <v>1</v>
      </c>
      <c r="H327" s="6" t="s">
        <v>1431</v>
      </c>
      <c r="I327" s="9" t="s">
        <v>918</v>
      </c>
      <c r="J327" s="9" t="s">
        <v>145</v>
      </c>
    </row>
    <row r="328" spans="1:10">
      <c r="A328" s="5" t="s">
        <v>789</v>
      </c>
      <c r="B328" s="6" t="s">
        <v>1492</v>
      </c>
      <c r="C328" s="7">
        <v>46128</v>
      </c>
      <c r="D328" s="9" t="s">
        <v>261</v>
      </c>
      <c r="E328" s="8" t="s">
        <v>64</v>
      </c>
      <c r="F328" s="9" t="s">
        <v>242</v>
      </c>
      <c r="G328" s="9">
        <v>3</v>
      </c>
      <c r="H328" s="6" t="s">
        <v>1431</v>
      </c>
      <c r="I328" s="9" t="s">
        <v>918</v>
      </c>
      <c r="J328" s="9" t="s">
        <v>145</v>
      </c>
    </row>
    <row r="329" spans="1:10">
      <c r="A329" s="5" t="s">
        <v>790</v>
      </c>
      <c r="B329" s="6" t="s">
        <v>1492</v>
      </c>
      <c r="C329" s="7">
        <v>46128</v>
      </c>
      <c r="D329" s="9" t="s">
        <v>270</v>
      </c>
      <c r="E329" s="4" t="s">
        <v>271</v>
      </c>
      <c r="F329" s="9" t="s">
        <v>242</v>
      </c>
      <c r="G329" s="9">
        <v>3</v>
      </c>
      <c r="H329" s="6" t="s">
        <v>1431</v>
      </c>
      <c r="I329" s="9" t="s">
        <v>918</v>
      </c>
      <c r="J329" s="9" t="s">
        <v>145</v>
      </c>
    </row>
    <row r="330" spans="1:10">
      <c r="A330" s="5" t="s">
        <v>792</v>
      </c>
      <c r="B330" s="6" t="s">
        <v>1493</v>
      </c>
      <c r="C330" s="7">
        <v>46128</v>
      </c>
      <c r="D330" s="9" t="s">
        <v>261</v>
      </c>
      <c r="E330" s="8" t="s">
        <v>62</v>
      </c>
      <c r="F330" s="9" t="s">
        <v>242</v>
      </c>
      <c r="G330" s="9">
        <v>6</v>
      </c>
      <c r="H330" s="6" t="s">
        <v>722</v>
      </c>
      <c r="I330" s="9" t="s">
        <v>253</v>
      </c>
      <c r="J330" s="9" t="s">
        <v>145</v>
      </c>
    </row>
    <row r="331" spans="1:10">
      <c r="A331" s="5" t="s">
        <v>793</v>
      </c>
      <c r="B331" s="6" t="s">
        <v>1493</v>
      </c>
      <c r="C331" s="7">
        <v>46128</v>
      </c>
      <c r="D331" s="9" t="s">
        <v>503</v>
      </c>
      <c r="E331" s="8" t="s">
        <v>162</v>
      </c>
      <c r="F331" s="9" t="s">
        <v>242</v>
      </c>
      <c r="G331" s="9">
        <v>1</v>
      </c>
      <c r="H331" s="6" t="s">
        <v>1494</v>
      </c>
      <c r="I331" s="9" t="s">
        <v>253</v>
      </c>
      <c r="J331" s="9" t="s">
        <v>145</v>
      </c>
    </row>
    <row r="332" spans="1:10">
      <c r="A332" s="5" t="s">
        <v>794</v>
      </c>
      <c r="B332" s="6" t="s">
        <v>1495</v>
      </c>
      <c r="C332" s="7">
        <v>46129</v>
      </c>
      <c r="D332" s="9" t="s">
        <v>696</v>
      </c>
      <c r="E332" s="8" t="s">
        <v>86</v>
      </c>
      <c r="F332" s="9" t="s">
        <v>242</v>
      </c>
      <c r="G332" s="9">
        <v>100</v>
      </c>
      <c r="H332" s="6" t="s">
        <v>1496</v>
      </c>
      <c r="I332" s="9" t="s">
        <v>284</v>
      </c>
      <c r="J332" s="9" t="s">
        <v>145</v>
      </c>
    </row>
    <row r="333" spans="1:10">
      <c r="A333" s="5" t="s">
        <v>796</v>
      </c>
      <c r="B333" s="6" t="s">
        <v>1495</v>
      </c>
      <c r="C333" s="7">
        <v>46129</v>
      </c>
      <c r="D333" s="9" t="s">
        <v>261</v>
      </c>
      <c r="E333" s="4" t="s">
        <v>64</v>
      </c>
      <c r="F333" s="9" t="s">
        <v>242</v>
      </c>
      <c r="G333" s="9">
        <v>1</v>
      </c>
      <c r="H333" s="6" t="s">
        <v>1496</v>
      </c>
      <c r="I333" s="9" t="s">
        <v>284</v>
      </c>
      <c r="J333" s="9" t="s">
        <v>145</v>
      </c>
    </row>
    <row r="334" spans="1:10">
      <c r="A334" s="5" t="s">
        <v>797</v>
      </c>
      <c r="B334" s="6" t="s">
        <v>1495</v>
      </c>
      <c r="C334" s="7">
        <v>46129</v>
      </c>
      <c r="D334" s="9" t="s">
        <v>261</v>
      </c>
      <c r="E334" s="8" t="s">
        <v>63</v>
      </c>
      <c r="F334" s="9" t="s">
        <v>242</v>
      </c>
      <c r="G334" s="9">
        <v>2</v>
      </c>
      <c r="H334" s="6" t="s">
        <v>1496</v>
      </c>
      <c r="I334" s="9" t="s">
        <v>284</v>
      </c>
      <c r="J334" s="9" t="s">
        <v>145</v>
      </c>
    </row>
    <row r="335" spans="1:10">
      <c r="A335" s="5" t="s">
        <v>798</v>
      </c>
      <c r="B335" s="6" t="s">
        <v>1495</v>
      </c>
      <c r="C335" s="7">
        <v>46129</v>
      </c>
      <c r="D335" s="9" t="s">
        <v>261</v>
      </c>
      <c r="E335" s="8" t="s">
        <v>753</v>
      </c>
      <c r="F335" s="9" t="s">
        <v>242</v>
      </c>
      <c r="G335" s="9">
        <v>1</v>
      </c>
      <c r="H335" s="6" t="s">
        <v>1496</v>
      </c>
      <c r="I335" s="9" t="s">
        <v>284</v>
      </c>
      <c r="J335" s="9" t="s">
        <v>145</v>
      </c>
    </row>
    <row r="336" spans="1:10">
      <c r="A336" s="5" t="s">
        <v>799</v>
      </c>
      <c r="B336" s="6" t="s">
        <v>1495</v>
      </c>
      <c r="C336" s="7">
        <v>46129</v>
      </c>
      <c r="D336" s="9" t="s">
        <v>270</v>
      </c>
      <c r="E336" s="8" t="s">
        <v>271</v>
      </c>
      <c r="F336" s="9" t="s">
        <v>242</v>
      </c>
      <c r="G336" s="9">
        <v>1</v>
      </c>
      <c r="H336" s="6" t="s">
        <v>1496</v>
      </c>
      <c r="I336" s="9" t="s">
        <v>284</v>
      </c>
      <c r="J336" s="9" t="s">
        <v>145</v>
      </c>
    </row>
    <row r="337" spans="1:10">
      <c r="A337" s="5" t="s">
        <v>800</v>
      </c>
      <c r="B337" s="6" t="s">
        <v>1495</v>
      </c>
      <c r="C337" s="7">
        <v>46129</v>
      </c>
      <c r="D337" s="9" t="s">
        <v>270</v>
      </c>
      <c r="E337" s="8" t="s">
        <v>68</v>
      </c>
      <c r="F337" s="9" t="s">
        <v>242</v>
      </c>
      <c r="G337" s="9">
        <v>2</v>
      </c>
      <c r="H337" s="6" t="s">
        <v>1496</v>
      </c>
      <c r="I337" s="9" t="s">
        <v>284</v>
      </c>
      <c r="J337" s="9" t="s">
        <v>145</v>
      </c>
    </row>
    <row r="338" spans="1:10">
      <c r="A338" s="5" t="s">
        <v>802</v>
      </c>
      <c r="B338" s="6" t="s">
        <v>1495</v>
      </c>
      <c r="C338" s="7">
        <v>46129</v>
      </c>
      <c r="D338" s="9" t="s">
        <v>503</v>
      </c>
      <c r="E338" s="8" t="s">
        <v>1497</v>
      </c>
      <c r="F338" s="9" t="s">
        <v>242</v>
      </c>
      <c r="G338" s="9">
        <v>100</v>
      </c>
      <c r="H338" s="6" t="s">
        <v>1496</v>
      </c>
      <c r="I338" s="9" t="s">
        <v>284</v>
      </c>
      <c r="J338" s="9" t="s">
        <v>145</v>
      </c>
    </row>
    <row r="339" spans="1:10">
      <c r="A339" s="5" t="s">
        <v>803</v>
      </c>
      <c r="B339" s="6" t="s">
        <v>1498</v>
      </c>
      <c r="C339" s="7">
        <v>46129</v>
      </c>
      <c r="D339" s="9" t="s">
        <v>696</v>
      </c>
      <c r="E339" s="8" t="s">
        <v>86</v>
      </c>
      <c r="F339" s="9" t="s">
        <v>242</v>
      </c>
      <c r="G339" s="9">
        <v>45</v>
      </c>
      <c r="H339" s="6" t="s">
        <v>1499</v>
      </c>
      <c r="I339" s="9" t="s">
        <v>244</v>
      </c>
      <c r="J339" s="9" t="s">
        <v>145</v>
      </c>
    </row>
    <row r="340" spans="1:10">
      <c r="A340" s="5" t="s">
        <v>805</v>
      </c>
      <c r="B340" s="6" t="s">
        <v>1498</v>
      </c>
      <c r="C340" s="7">
        <v>46129</v>
      </c>
      <c r="D340" s="9" t="s">
        <v>500</v>
      </c>
      <c r="E340" s="4" t="s">
        <v>54</v>
      </c>
      <c r="F340" s="9" t="s">
        <v>242</v>
      </c>
      <c r="G340" s="9">
        <v>1</v>
      </c>
      <c r="H340" s="6" t="s">
        <v>1499</v>
      </c>
      <c r="I340" s="9" t="s">
        <v>244</v>
      </c>
      <c r="J340" s="9" t="s">
        <v>145</v>
      </c>
    </row>
    <row r="341" spans="1:10">
      <c r="A341" s="5" t="s">
        <v>808</v>
      </c>
      <c r="B341" s="6" t="s">
        <v>1498</v>
      </c>
      <c r="C341" s="7">
        <v>46129</v>
      </c>
      <c r="D341" s="9" t="s">
        <v>261</v>
      </c>
      <c r="E341" s="8" t="s">
        <v>62</v>
      </c>
      <c r="F341" s="9" t="s">
        <v>242</v>
      </c>
      <c r="G341" s="9">
        <v>2</v>
      </c>
      <c r="H341" s="6" t="s">
        <v>1499</v>
      </c>
      <c r="I341" s="9" t="s">
        <v>244</v>
      </c>
      <c r="J341" s="9" t="s">
        <v>145</v>
      </c>
    </row>
    <row r="342" spans="1:10">
      <c r="A342" s="5" t="s">
        <v>809</v>
      </c>
      <c r="B342" s="6" t="s">
        <v>1500</v>
      </c>
      <c r="C342" s="7">
        <v>46129</v>
      </c>
      <c r="D342" s="9" t="s">
        <v>696</v>
      </c>
      <c r="E342" s="4" t="s">
        <v>86</v>
      </c>
      <c r="F342" s="9" t="s">
        <v>242</v>
      </c>
      <c r="G342" s="9">
        <v>45</v>
      </c>
      <c r="H342" s="6" t="s">
        <v>1501</v>
      </c>
      <c r="I342" s="9" t="s">
        <v>514</v>
      </c>
      <c r="J342" s="9" t="s">
        <v>145</v>
      </c>
    </row>
    <row r="343" spans="1:10">
      <c r="A343" s="5" t="s">
        <v>810</v>
      </c>
      <c r="B343" s="6" t="s">
        <v>1500</v>
      </c>
      <c r="C343" s="7">
        <v>46129</v>
      </c>
      <c r="D343" s="9" t="s">
        <v>261</v>
      </c>
      <c r="E343" s="8" t="s">
        <v>62</v>
      </c>
      <c r="F343" s="9" t="s">
        <v>242</v>
      </c>
      <c r="G343" s="9">
        <v>2</v>
      </c>
      <c r="H343" s="6" t="s">
        <v>1501</v>
      </c>
      <c r="I343" s="9" t="s">
        <v>514</v>
      </c>
      <c r="J343" s="9" t="s">
        <v>145</v>
      </c>
    </row>
    <row r="344" spans="1:10">
      <c r="A344" s="5" t="s">
        <v>812</v>
      </c>
      <c r="B344" s="6" t="s">
        <v>1502</v>
      </c>
      <c r="C344" s="7">
        <v>46132</v>
      </c>
      <c r="D344" s="9" t="s">
        <v>261</v>
      </c>
      <c r="E344" s="8" t="s">
        <v>62</v>
      </c>
      <c r="F344" s="9" t="s">
        <v>242</v>
      </c>
      <c r="G344" s="9">
        <v>8</v>
      </c>
      <c r="H344" s="6" t="s">
        <v>722</v>
      </c>
      <c r="I344" s="9" t="s">
        <v>253</v>
      </c>
      <c r="J344" s="9" t="s">
        <v>145</v>
      </c>
    </row>
    <row r="345" spans="1:10">
      <c r="A345" s="5" t="s">
        <v>813</v>
      </c>
      <c r="B345" s="6" t="s">
        <v>1503</v>
      </c>
      <c r="C345" s="7">
        <v>46132</v>
      </c>
      <c r="D345" s="9" t="s">
        <v>714</v>
      </c>
      <c r="E345" s="8" t="s">
        <v>715</v>
      </c>
      <c r="F345" s="9" t="s">
        <v>242</v>
      </c>
      <c r="G345" s="9">
        <v>1</v>
      </c>
      <c r="H345" s="6" t="s">
        <v>1504</v>
      </c>
      <c r="I345" s="9" t="s">
        <v>258</v>
      </c>
      <c r="J345" s="9" t="s">
        <v>145</v>
      </c>
    </row>
    <row r="346" spans="1:10">
      <c r="A346" s="5" t="s">
        <v>815</v>
      </c>
      <c r="B346" s="6" t="s">
        <v>1503</v>
      </c>
      <c r="C346" s="7">
        <v>46132</v>
      </c>
      <c r="D346" s="9" t="s">
        <v>500</v>
      </c>
      <c r="E346" s="8" t="s">
        <v>54</v>
      </c>
      <c r="F346" s="9" t="s">
        <v>242</v>
      </c>
      <c r="G346" s="9">
        <v>1</v>
      </c>
      <c r="H346" s="6" t="s">
        <v>876</v>
      </c>
      <c r="I346" s="9" t="s">
        <v>258</v>
      </c>
      <c r="J346" s="9" t="s">
        <v>145</v>
      </c>
    </row>
    <row r="347" spans="1:10">
      <c r="A347" s="5" t="s">
        <v>816</v>
      </c>
      <c r="B347" s="6" t="s">
        <v>1505</v>
      </c>
      <c r="C347" s="7">
        <v>46132</v>
      </c>
      <c r="D347" s="9" t="s">
        <v>905</v>
      </c>
      <c r="E347" s="8" t="s">
        <v>207</v>
      </c>
      <c r="F347" s="9" t="s">
        <v>242</v>
      </c>
      <c r="G347" s="9">
        <v>5</v>
      </c>
      <c r="H347" s="6" t="s">
        <v>906</v>
      </c>
      <c r="I347" s="9" t="s">
        <v>311</v>
      </c>
      <c r="J347" s="9" t="s">
        <v>145</v>
      </c>
    </row>
    <row r="348" spans="1:10">
      <c r="A348" s="5" t="s">
        <v>817</v>
      </c>
      <c r="B348" s="6" t="s">
        <v>1506</v>
      </c>
      <c r="C348" s="7">
        <v>46132</v>
      </c>
      <c r="D348" s="9" t="s">
        <v>905</v>
      </c>
      <c r="E348" s="8" t="s">
        <v>208</v>
      </c>
      <c r="F348" s="9" t="s">
        <v>242</v>
      </c>
      <c r="G348" s="9">
        <v>15</v>
      </c>
      <c r="H348" s="6" t="s">
        <v>906</v>
      </c>
      <c r="I348" s="9" t="s">
        <v>532</v>
      </c>
      <c r="J348" s="9" t="s">
        <v>145</v>
      </c>
    </row>
    <row r="349" spans="1:10">
      <c r="A349" s="5" t="s">
        <v>818</v>
      </c>
      <c r="B349" s="6" t="s">
        <v>908</v>
      </c>
      <c r="C349" s="7">
        <v>46132</v>
      </c>
      <c r="D349" s="9" t="s">
        <v>905</v>
      </c>
      <c r="E349" s="8" t="s">
        <v>216</v>
      </c>
      <c r="F349" s="9" t="s">
        <v>242</v>
      </c>
      <c r="G349" s="9">
        <v>12</v>
      </c>
      <c r="H349" s="6" t="s">
        <v>906</v>
      </c>
      <c r="I349" s="9" t="s">
        <v>918</v>
      </c>
      <c r="J349" s="9" t="s">
        <v>145</v>
      </c>
    </row>
    <row r="350" spans="1:10">
      <c r="A350" s="5" t="s">
        <v>820</v>
      </c>
      <c r="B350" s="6" t="s">
        <v>1507</v>
      </c>
      <c r="C350" s="7">
        <v>46132</v>
      </c>
      <c r="D350" s="9" t="s">
        <v>905</v>
      </c>
      <c r="E350" s="8" t="s">
        <v>66</v>
      </c>
      <c r="F350" s="9" t="s">
        <v>242</v>
      </c>
      <c r="G350" s="9">
        <v>15</v>
      </c>
      <c r="H350" s="6" t="s">
        <v>1508</v>
      </c>
      <c r="I350" s="9" t="s">
        <v>311</v>
      </c>
      <c r="J350" s="9" t="s">
        <v>145</v>
      </c>
    </row>
    <row r="351" spans="1:10">
      <c r="A351" s="5" t="s">
        <v>821</v>
      </c>
      <c r="B351" s="6" t="s">
        <v>1509</v>
      </c>
      <c r="C351" s="7">
        <v>46132</v>
      </c>
      <c r="D351" s="9" t="s">
        <v>905</v>
      </c>
      <c r="E351" s="4" t="s">
        <v>66</v>
      </c>
      <c r="F351" s="9" t="s">
        <v>242</v>
      </c>
      <c r="G351" s="9">
        <v>20</v>
      </c>
      <c r="H351" s="6" t="s">
        <v>1508</v>
      </c>
      <c r="I351" s="9" t="s">
        <v>830</v>
      </c>
      <c r="J351" s="9" t="s">
        <v>145</v>
      </c>
    </row>
    <row r="352" spans="1:10">
      <c r="A352" s="5" t="s">
        <v>822</v>
      </c>
      <c r="B352" s="6" t="s">
        <v>1510</v>
      </c>
      <c r="C352" s="7">
        <v>46133</v>
      </c>
      <c r="D352" s="9" t="s">
        <v>261</v>
      </c>
      <c r="E352" s="8" t="s">
        <v>62</v>
      </c>
      <c r="F352" s="9" t="s">
        <v>242</v>
      </c>
      <c r="G352" s="9">
        <v>5</v>
      </c>
      <c r="H352" s="6" t="s">
        <v>722</v>
      </c>
      <c r="I352" s="9" t="s">
        <v>628</v>
      </c>
      <c r="J352" s="9" t="s">
        <v>145</v>
      </c>
    </row>
    <row r="353" spans="1:10">
      <c r="A353" s="5" t="s">
        <v>824</v>
      </c>
      <c r="B353" s="6" t="s">
        <v>1511</v>
      </c>
      <c r="C353" s="7">
        <v>46133</v>
      </c>
      <c r="D353" s="9" t="s">
        <v>261</v>
      </c>
      <c r="E353" s="8" t="s">
        <v>62</v>
      </c>
      <c r="F353" s="9" t="s">
        <v>242</v>
      </c>
      <c r="G353" s="9">
        <v>4</v>
      </c>
      <c r="H353" s="6" t="s">
        <v>722</v>
      </c>
      <c r="I353" s="9" t="s">
        <v>363</v>
      </c>
      <c r="J353" s="9" t="s">
        <v>145</v>
      </c>
    </row>
    <row r="354" spans="1:10">
      <c r="A354" s="5" t="s">
        <v>828</v>
      </c>
      <c r="B354" s="6" t="s">
        <v>1512</v>
      </c>
      <c r="C354" s="7">
        <v>46133</v>
      </c>
      <c r="D354" s="9" t="s">
        <v>261</v>
      </c>
      <c r="E354" s="8" t="s">
        <v>62</v>
      </c>
      <c r="F354" s="9" t="s">
        <v>242</v>
      </c>
      <c r="G354" s="9">
        <v>5</v>
      </c>
      <c r="H354" s="6" t="s">
        <v>722</v>
      </c>
      <c r="I354" s="9" t="s">
        <v>289</v>
      </c>
      <c r="J354" s="9" t="s">
        <v>145</v>
      </c>
    </row>
    <row r="355" spans="1:10">
      <c r="A355" s="5" t="s">
        <v>831</v>
      </c>
      <c r="B355" s="6" t="s">
        <v>1512</v>
      </c>
      <c r="C355" s="7">
        <v>46133</v>
      </c>
      <c r="D355" s="9" t="s">
        <v>261</v>
      </c>
      <c r="E355" s="8" t="s">
        <v>281</v>
      </c>
      <c r="F355" s="9" t="s">
        <v>242</v>
      </c>
      <c r="G355" s="9">
        <v>4</v>
      </c>
      <c r="H355" s="6" t="s">
        <v>722</v>
      </c>
      <c r="I355" s="9" t="s">
        <v>289</v>
      </c>
      <c r="J355" s="9" t="s">
        <v>145</v>
      </c>
    </row>
    <row r="356" spans="1:10">
      <c r="A356" s="5" t="s">
        <v>833</v>
      </c>
      <c r="B356" s="6" t="s">
        <v>1513</v>
      </c>
      <c r="C356" s="7">
        <v>46133</v>
      </c>
      <c r="D356" s="9" t="s">
        <v>500</v>
      </c>
      <c r="E356" s="8" t="s">
        <v>52</v>
      </c>
      <c r="F356" s="9" t="s">
        <v>242</v>
      </c>
      <c r="G356" s="9">
        <v>1</v>
      </c>
      <c r="H356" s="6" t="s">
        <v>1240</v>
      </c>
      <c r="I356" s="9" t="s">
        <v>514</v>
      </c>
      <c r="J356" s="9" t="s">
        <v>145</v>
      </c>
    </row>
    <row r="357" spans="1:10">
      <c r="A357" s="5" t="s">
        <v>836</v>
      </c>
      <c r="B357" s="6" t="s">
        <v>1513</v>
      </c>
      <c r="C357" s="7">
        <v>46133</v>
      </c>
      <c r="D357" s="9" t="s">
        <v>500</v>
      </c>
      <c r="E357" s="4" t="s">
        <v>53</v>
      </c>
      <c r="F357" s="9" t="s">
        <v>242</v>
      </c>
      <c r="G357" s="9">
        <v>1</v>
      </c>
      <c r="H357" s="6" t="s">
        <v>1240</v>
      </c>
      <c r="I357" s="9" t="s">
        <v>514</v>
      </c>
      <c r="J357" s="9" t="s">
        <v>145</v>
      </c>
    </row>
    <row r="358" spans="1:10">
      <c r="A358" s="5" t="s">
        <v>839</v>
      </c>
      <c r="B358" s="6" t="s">
        <v>1513</v>
      </c>
      <c r="C358" s="7">
        <v>46133</v>
      </c>
      <c r="D358" s="9" t="s">
        <v>261</v>
      </c>
      <c r="E358" s="8" t="s">
        <v>64</v>
      </c>
      <c r="F358" s="9" t="s">
        <v>242</v>
      </c>
      <c r="G358" s="9">
        <v>3</v>
      </c>
      <c r="H358" s="6" t="s">
        <v>1240</v>
      </c>
      <c r="I358" s="9" t="s">
        <v>514</v>
      </c>
      <c r="J358" s="9" t="s">
        <v>145</v>
      </c>
    </row>
    <row r="359" spans="1:10">
      <c r="A359" s="5" t="s">
        <v>840</v>
      </c>
      <c r="B359" s="6" t="s">
        <v>1513</v>
      </c>
      <c r="C359" s="7">
        <v>46133</v>
      </c>
      <c r="D359" s="9" t="s">
        <v>270</v>
      </c>
      <c r="E359" s="8" t="s">
        <v>271</v>
      </c>
      <c r="F359" s="9" t="s">
        <v>242</v>
      </c>
      <c r="G359" s="9">
        <v>3</v>
      </c>
      <c r="H359" s="6" t="s">
        <v>1240</v>
      </c>
      <c r="I359" s="9" t="s">
        <v>514</v>
      </c>
      <c r="J359" s="9" t="s">
        <v>145</v>
      </c>
    </row>
    <row r="360" spans="1:10">
      <c r="A360" s="5" t="s">
        <v>841</v>
      </c>
      <c r="B360" s="6" t="s">
        <v>1514</v>
      </c>
      <c r="C360" s="7">
        <v>46133</v>
      </c>
      <c r="D360" s="9" t="s">
        <v>261</v>
      </c>
      <c r="E360" s="8" t="s">
        <v>62</v>
      </c>
      <c r="F360" s="9" t="s">
        <v>242</v>
      </c>
      <c r="G360" s="9">
        <v>2</v>
      </c>
      <c r="H360" s="6" t="s">
        <v>722</v>
      </c>
      <c r="I360" s="9" t="s">
        <v>484</v>
      </c>
      <c r="J360" s="9" t="s">
        <v>145</v>
      </c>
    </row>
    <row r="361" spans="1:10">
      <c r="A361" s="5" t="s">
        <v>842</v>
      </c>
      <c r="B361" s="6" t="s">
        <v>1515</v>
      </c>
      <c r="C361" s="7">
        <v>46134</v>
      </c>
      <c r="D361" s="9" t="s">
        <v>261</v>
      </c>
      <c r="E361" s="8" t="s">
        <v>62</v>
      </c>
      <c r="F361" s="9" t="s">
        <v>242</v>
      </c>
      <c r="G361" s="9">
        <v>3</v>
      </c>
      <c r="H361" s="6" t="s">
        <v>722</v>
      </c>
      <c r="I361" s="9" t="s">
        <v>484</v>
      </c>
      <c r="J361" s="9" t="s">
        <v>145</v>
      </c>
    </row>
    <row r="362" spans="1:10">
      <c r="A362" s="5" t="s">
        <v>844</v>
      </c>
      <c r="B362" s="6" t="s">
        <v>1516</v>
      </c>
      <c r="C362" s="7">
        <v>46134</v>
      </c>
      <c r="D362" s="9" t="s">
        <v>261</v>
      </c>
      <c r="E362" s="4" t="s">
        <v>62</v>
      </c>
      <c r="F362" s="9" t="s">
        <v>242</v>
      </c>
      <c r="G362" s="9">
        <v>4</v>
      </c>
      <c r="H362" s="6" t="s">
        <v>722</v>
      </c>
      <c r="I362" s="9" t="s">
        <v>514</v>
      </c>
      <c r="J362" s="9" t="s">
        <v>145</v>
      </c>
    </row>
    <row r="363" spans="1:10">
      <c r="A363" s="5" t="s">
        <v>847</v>
      </c>
      <c r="B363" s="6" t="s">
        <v>1517</v>
      </c>
      <c r="C363" s="7">
        <v>46134</v>
      </c>
      <c r="D363" s="9" t="s">
        <v>261</v>
      </c>
      <c r="E363" s="8" t="s">
        <v>62</v>
      </c>
      <c r="F363" s="9" t="s">
        <v>242</v>
      </c>
      <c r="G363" s="9">
        <v>2</v>
      </c>
      <c r="H363" s="6" t="s">
        <v>722</v>
      </c>
      <c r="I363" s="9" t="s">
        <v>514</v>
      </c>
      <c r="J363" s="9" t="s">
        <v>145</v>
      </c>
    </row>
    <row r="364" spans="1:10">
      <c r="A364" s="5" t="s">
        <v>849</v>
      </c>
      <c r="B364" s="6" t="s">
        <v>1517</v>
      </c>
      <c r="C364" s="7">
        <v>46134</v>
      </c>
      <c r="D364" s="9" t="s">
        <v>261</v>
      </c>
      <c r="E364" s="8" t="s">
        <v>281</v>
      </c>
      <c r="F364" s="9" t="s">
        <v>242</v>
      </c>
      <c r="G364" s="9">
        <v>2</v>
      </c>
      <c r="H364" s="6" t="s">
        <v>722</v>
      </c>
      <c r="I364" s="9" t="s">
        <v>514</v>
      </c>
      <c r="J364" s="9" t="s">
        <v>145</v>
      </c>
    </row>
    <row r="365" spans="1:10">
      <c r="A365" s="5" t="s">
        <v>852</v>
      </c>
      <c r="B365" s="6" t="s">
        <v>1518</v>
      </c>
      <c r="C365" s="7">
        <v>46134</v>
      </c>
      <c r="D365" s="9" t="s">
        <v>500</v>
      </c>
      <c r="E365" s="8" t="s">
        <v>50</v>
      </c>
      <c r="F365" s="9" t="s">
        <v>242</v>
      </c>
      <c r="G365" s="9">
        <v>1</v>
      </c>
      <c r="H365" s="6" t="s">
        <v>1240</v>
      </c>
      <c r="I365" s="9" t="s">
        <v>415</v>
      </c>
      <c r="J365" s="9" t="s">
        <v>145</v>
      </c>
    </row>
    <row r="366" spans="1:10">
      <c r="A366" s="5" t="s">
        <v>853</v>
      </c>
      <c r="B366" s="6" t="s">
        <v>1518</v>
      </c>
      <c r="C366" s="7">
        <v>46134</v>
      </c>
      <c r="D366" s="9" t="s">
        <v>500</v>
      </c>
      <c r="E366" s="8" t="s">
        <v>53</v>
      </c>
      <c r="F366" s="9" t="s">
        <v>242</v>
      </c>
      <c r="G366" s="9">
        <v>1</v>
      </c>
      <c r="H366" s="6" t="s">
        <v>1240</v>
      </c>
      <c r="I366" s="9" t="s">
        <v>415</v>
      </c>
      <c r="J366" s="9" t="s">
        <v>145</v>
      </c>
    </row>
    <row r="367" spans="1:10">
      <c r="A367" s="5" t="s">
        <v>856</v>
      </c>
      <c r="B367" s="6" t="s">
        <v>1518</v>
      </c>
      <c r="C367" s="7">
        <v>46134</v>
      </c>
      <c r="D367" s="9" t="s">
        <v>261</v>
      </c>
      <c r="E367" s="8" t="s">
        <v>65</v>
      </c>
      <c r="F367" s="9" t="s">
        <v>242</v>
      </c>
      <c r="G367" s="9">
        <v>2</v>
      </c>
      <c r="H367" s="6" t="s">
        <v>1240</v>
      </c>
      <c r="I367" s="9" t="s">
        <v>415</v>
      </c>
      <c r="J367" s="9" t="s">
        <v>145</v>
      </c>
    </row>
    <row r="368" spans="1:10">
      <c r="A368" s="5" t="s">
        <v>857</v>
      </c>
      <c r="B368" s="6" t="s">
        <v>1518</v>
      </c>
      <c r="C368" s="7">
        <v>46134</v>
      </c>
      <c r="D368" s="9" t="s">
        <v>261</v>
      </c>
      <c r="E368" s="8" t="s">
        <v>125</v>
      </c>
      <c r="F368" s="9" t="s">
        <v>242</v>
      </c>
      <c r="G368" s="9">
        <v>1</v>
      </c>
      <c r="H368" s="6" t="s">
        <v>1240</v>
      </c>
      <c r="I368" s="9" t="s">
        <v>415</v>
      </c>
      <c r="J368" s="9" t="s">
        <v>145</v>
      </c>
    </row>
    <row r="369" spans="1:10">
      <c r="A369" s="5" t="s">
        <v>858</v>
      </c>
      <c r="B369" s="6" t="s">
        <v>1518</v>
      </c>
      <c r="C369" s="7">
        <v>46134</v>
      </c>
      <c r="D369" s="9" t="s">
        <v>261</v>
      </c>
      <c r="E369" s="8" t="s">
        <v>753</v>
      </c>
      <c r="F369" s="9" t="s">
        <v>242</v>
      </c>
      <c r="G369" s="9">
        <v>1</v>
      </c>
      <c r="H369" s="6" t="s">
        <v>1240</v>
      </c>
      <c r="I369" s="9" t="s">
        <v>415</v>
      </c>
      <c r="J369" s="9" t="s">
        <v>145</v>
      </c>
    </row>
    <row r="370" spans="1:10">
      <c r="A370" s="5" t="s">
        <v>860</v>
      </c>
      <c r="B370" s="6" t="s">
        <v>1518</v>
      </c>
      <c r="C370" s="7">
        <v>46134</v>
      </c>
      <c r="D370" s="9" t="s">
        <v>270</v>
      </c>
      <c r="E370" s="8" t="s">
        <v>271</v>
      </c>
      <c r="F370" s="9" t="s">
        <v>242</v>
      </c>
      <c r="G370" s="9">
        <v>5</v>
      </c>
      <c r="H370" s="6" t="s">
        <v>1240</v>
      </c>
      <c r="I370" s="9" t="s">
        <v>415</v>
      </c>
      <c r="J370" s="9" t="s">
        <v>145</v>
      </c>
    </row>
    <row r="371" spans="1:10">
      <c r="A371" s="5" t="s">
        <v>862</v>
      </c>
      <c r="B371" s="6" t="s">
        <v>1519</v>
      </c>
      <c r="C371" s="7">
        <v>46135</v>
      </c>
      <c r="D371" s="9" t="s">
        <v>696</v>
      </c>
      <c r="E371" s="8" t="s">
        <v>86</v>
      </c>
      <c r="F371" s="9" t="s">
        <v>242</v>
      </c>
      <c r="G371" s="9">
        <v>55</v>
      </c>
      <c r="H371" s="6" t="s">
        <v>1020</v>
      </c>
      <c r="I371" s="9" t="s">
        <v>514</v>
      </c>
      <c r="J371" s="9" t="s">
        <v>145</v>
      </c>
    </row>
    <row r="372" spans="1:10">
      <c r="A372" s="5" t="s">
        <v>863</v>
      </c>
      <c r="B372" s="6" t="s">
        <v>1519</v>
      </c>
      <c r="C372" s="7">
        <v>46135</v>
      </c>
      <c r="D372" s="9" t="s">
        <v>261</v>
      </c>
      <c r="E372" s="8" t="s">
        <v>62</v>
      </c>
      <c r="F372" s="9" t="s">
        <v>242</v>
      </c>
      <c r="G372" s="9">
        <v>2</v>
      </c>
      <c r="H372" s="6" t="s">
        <v>1020</v>
      </c>
      <c r="I372" s="9" t="s">
        <v>514</v>
      </c>
      <c r="J372" s="9" t="s">
        <v>145</v>
      </c>
    </row>
    <row r="373" spans="1:10">
      <c r="A373" s="5" t="s">
        <v>864</v>
      </c>
      <c r="B373" s="6" t="s">
        <v>1520</v>
      </c>
      <c r="C373" s="7">
        <v>46135</v>
      </c>
      <c r="D373" s="9" t="s">
        <v>696</v>
      </c>
      <c r="E373" s="8" t="s">
        <v>86</v>
      </c>
      <c r="F373" s="9" t="s">
        <v>242</v>
      </c>
      <c r="G373" s="9">
        <v>45</v>
      </c>
      <c r="H373" s="6" t="s">
        <v>1020</v>
      </c>
      <c r="I373" s="9" t="s">
        <v>514</v>
      </c>
      <c r="J373" s="9" t="s">
        <v>145</v>
      </c>
    </row>
    <row r="374" spans="1:10">
      <c r="A374" s="5" t="s">
        <v>867</v>
      </c>
      <c r="B374" s="6" t="s">
        <v>1520</v>
      </c>
      <c r="C374" s="7">
        <v>46135</v>
      </c>
      <c r="D374" s="9" t="s">
        <v>261</v>
      </c>
      <c r="E374" s="8" t="s">
        <v>62</v>
      </c>
      <c r="F374" s="9" t="s">
        <v>242</v>
      </c>
      <c r="G374" s="9">
        <v>2</v>
      </c>
      <c r="H374" s="6" t="s">
        <v>1020</v>
      </c>
      <c r="I374" s="9" t="s">
        <v>514</v>
      </c>
      <c r="J374" s="9" t="s">
        <v>145</v>
      </c>
    </row>
    <row r="375" spans="1:10">
      <c r="A375" s="5" t="s">
        <v>868</v>
      </c>
      <c r="B375" s="6" t="s">
        <v>1521</v>
      </c>
      <c r="C375" s="7">
        <v>46135</v>
      </c>
      <c r="D375" s="9" t="s">
        <v>500</v>
      </c>
      <c r="E375" s="8" t="s">
        <v>52</v>
      </c>
      <c r="F375" s="9" t="s">
        <v>242</v>
      </c>
      <c r="G375" s="9">
        <v>1</v>
      </c>
      <c r="H375" s="6" t="s">
        <v>1240</v>
      </c>
      <c r="I375" s="9" t="s">
        <v>329</v>
      </c>
      <c r="J375" s="9" t="s">
        <v>145</v>
      </c>
    </row>
    <row r="376" spans="1:10">
      <c r="A376" s="5" t="s">
        <v>869</v>
      </c>
      <c r="B376" s="6" t="s">
        <v>1521</v>
      </c>
      <c r="C376" s="7">
        <v>46135</v>
      </c>
      <c r="D376" s="9" t="s">
        <v>261</v>
      </c>
      <c r="E376" s="8" t="s">
        <v>62</v>
      </c>
      <c r="F376" s="9" t="s">
        <v>242</v>
      </c>
      <c r="G376" s="9">
        <v>8</v>
      </c>
      <c r="H376" s="6" t="s">
        <v>1240</v>
      </c>
      <c r="I376" s="9" t="s">
        <v>329</v>
      </c>
      <c r="J376" s="9" t="s">
        <v>145</v>
      </c>
    </row>
    <row r="377" spans="1:10">
      <c r="A377" s="5" t="s">
        <v>872</v>
      </c>
      <c r="B377" s="6" t="s">
        <v>1522</v>
      </c>
      <c r="C377" s="7">
        <v>46135</v>
      </c>
      <c r="D377" s="9" t="s">
        <v>261</v>
      </c>
      <c r="E377" s="8" t="s">
        <v>62</v>
      </c>
      <c r="F377" s="9" t="s">
        <v>242</v>
      </c>
      <c r="G377" s="9">
        <v>1</v>
      </c>
      <c r="H377" s="6" t="s">
        <v>722</v>
      </c>
      <c r="I377" s="9" t="s">
        <v>289</v>
      </c>
      <c r="J377" s="9" t="s">
        <v>145</v>
      </c>
    </row>
    <row r="378" spans="1:10">
      <c r="A378" s="5" t="s">
        <v>874</v>
      </c>
      <c r="B378" s="6" t="s">
        <v>1522</v>
      </c>
      <c r="C378" s="7">
        <v>46135</v>
      </c>
      <c r="D378" s="9" t="s">
        <v>261</v>
      </c>
      <c r="E378" s="8" t="s">
        <v>281</v>
      </c>
      <c r="F378" s="9" t="s">
        <v>242</v>
      </c>
      <c r="G378" s="9">
        <v>2</v>
      </c>
      <c r="H378" s="6" t="s">
        <v>722</v>
      </c>
      <c r="I378" s="9" t="s">
        <v>289</v>
      </c>
      <c r="J378" s="9" t="s">
        <v>145</v>
      </c>
    </row>
    <row r="379" spans="1:10">
      <c r="A379" s="5" t="s">
        <v>877</v>
      </c>
      <c r="B379" s="6" t="s">
        <v>1523</v>
      </c>
      <c r="C379" s="7">
        <v>46135</v>
      </c>
      <c r="D379" s="9" t="s">
        <v>261</v>
      </c>
      <c r="E379" s="8" t="s">
        <v>62</v>
      </c>
      <c r="F379" s="9" t="s">
        <v>242</v>
      </c>
      <c r="G379" s="9">
        <v>2</v>
      </c>
      <c r="H379" s="6" t="s">
        <v>722</v>
      </c>
      <c r="I379" s="9" t="s">
        <v>289</v>
      </c>
      <c r="J379" s="9" t="s">
        <v>145</v>
      </c>
    </row>
    <row r="380" spans="1:10">
      <c r="A380" s="5" t="s">
        <v>878</v>
      </c>
      <c r="B380" s="6" t="s">
        <v>1524</v>
      </c>
      <c r="C380" s="7">
        <v>46136</v>
      </c>
      <c r="D380" s="9" t="s">
        <v>696</v>
      </c>
      <c r="E380" s="8" t="s">
        <v>86</v>
      </c>
      <c r="F380" s="9" t="s">
        <v>242</v>
      </c>
      <c r="G380" s="9">
        <v>150</v>
      </c>
      <c r="H380" s="6" t="s">
        <v>1525</v>
      </c>
      <c r="I380" s="9" t="s">
        <v>1280</v>
      </c>
      <c r="J380" s="9" t="s">
        <v>145</v>
      </c>
    </row>
    <row r="381" spans="1:10">
      <c r="A381" s="5" t="s">
        <v>880</v>
      </c>
      <c r="B381" s="6" t="s">
        <v>1524</v>
      </c>
      <c r="C381" s="7">
        <v>46136</v>
      </c>
      <c r="D381" s="9" t="s">
        <v>261</v>
      </c>
      <c r="E381" s="8" t="s">
        <v>753</v>
      </c>
      <c r="F381" s="9" t="s">
        <v>242</v>
      </c>
      <c r="G381" s="9">
        <v>2</v>
      </c>
      <c r="H381" s="6" t="s">
        <v>1525</v>
      </c>
      <c r="I381" s="9" t="s">
        <v>1280</v>
      </c>
      <c r="J381" s="9" t="s">
        <v>145</v>
      </c>
    </row>
    <row r="382" spans="1:10">
      <c r="A382" s="5" t="s">
        <v>882</v>
      </c>
      <c r="B382" s="6" t="s">
        <v>1524</v>
      </c>
      <c r="C382" s="7">
        <v>46136</v>
      </c>
      <c r="D382" s="9" t="s">
        <v>261</v>
      </c>
      <c r="E382" s="8" t="s">
        <v>62</v>
      </c>
      <c r="F382" s="9" t="s">
        <v>242</v>
      </c>
      <c r="G382" s="9">
        <v>1</v>
      </c>
      <c r="H382" s="6" t="s">
        <v>1525</v>
      </c>
      <c r="I382" s="9" t="s">
        <v>1280</v>
      </c>
      <c r="J382" s="9" t="s">
        <v>145</v>
      </c>
    </row>
    <row r="383" spans="1:10">
      <c r="A383" s="5" t="s">
        <v>884</v>
      </c>
      <c r="B383" s="6" t="s">
        <v>1526</v>
      </c>
      <c r="C383" s="7">
        <v>46136</v>
      </c>
      <c r="D383" s="9" t="s">
        <v>500</v>
      </c>
      <c r="E383" s="4" t="s">
        <v>4</v>
      </c>
      <c r="F383" s="9" t="s">
        <v>242</v>
      </c>
      <c r="G383" s="9">
        <v>1</v>
      </c>
      <c r="H383" s="6" t="s">
        <v>1527</v>
      </c>
      <c r="I383" s="9" t="s">
        <v>415</v>
      </c>
      <c r="J383" s="9" t="s">
        <v>145</v>
      </c>
    </row>
    <row r="384" spans="1:10">
      <c r="A384" s="5" t="s">
        <v>886</v>
      </c>
      <c r="B384" s="6" t="s">
        <v>1526</v>
      </c>
      <c r="C384" s="7">
        <v>46136</v>
      </c>
      <c r="D384" s="9" t="s">
        <v>500</v>
      </c>
      <c r="E384" s="8" t="s">
        <v>48</v>
      </c>
      <c r="F384" s="9" t="s">
        <v>242</v>
      </c>
      <c r="G384" s="9">
        <v>1</v>
      </c>
      <c r="H384" s="6" t="s">
        <v>1527</v>
      </c>
      <c r="I384" s="9" t="s">
        <v>415</v>
      </c>
      <c r="J384" s="9" t="s">
        <v>145</v>
      </c>
    </row>
    <row r="385" spans="1:10">
      <c r="A385" s="5" t="s">
        <v>887</v>
      </c>
      <c r="B385" s="6" t="s">
        <v>1526</v>
      </c>
      <c r="C385" s="7">
        <v>46136</v>
      </c>
      <c r="D385" s="9" t="s">
        <v>261</v>
      </c>
      <c r="E385" s="8" t="s">
        <v>64</v>
      </c>
      <c r="F385" s="9" t="s">
        <v>242</v>
      </c>
      <c r="G385" s="9">
        <v>5</v>
      </c>
      <c r="H385" s="6" t="s">
        <v>1527</v>
      </c>
      <c r="I385" s="9" t="s">
        <v>415</v>
      </c>
      <c r="J385" s="9" t="s">
        <v>145</v>
      </c>
    </row>
    <row r="386" spans="1:10">
      <c r="A386" s="5" t="s">
        <v>889</v>
      </c>
      <c r="B386" s="6" t="s">
        <v>1526</v>
      </c>
      <c r="C386" s="7">
        <v>46136</v>
      </c>
      <c r="D386" s="9" t="s">
        <v>270</v>
      </c>
      <c r="E386" s="8" t="s">
        <v>271</v>
      </c>
      <c r="F386" s="9" t="s">
        <v>242</v>
      </c>
      <c r="G386" s="9">
        <v>5</v>
      </c>
      <c r="H386" s="6" t="s">
        <v>1527</v>
      </c>
      <c r="I386" s="9" t="s">
        <v>415</v>
      </c>
      <c r="J386" s="9" t="s">
        <v>145</v>
      </c>
    </row>
    <row r="387" spans="1:10">
      <c r="A387" s="5" t="s">
        <v>891</v>
      </c>
      <c r="B387" s="6" t="s">
        <v>1526</v>
      </c>
      <c r="C387" s="7">
        <v>46136</v>
      </c>
      <c r="D387" s="9" t="s">
        <v>503</v>
      </c>
      <c r="E387" s="4" t="s">
        <v>162</v>
      </c>
      <c r="F387" s="9" t="s">
        <v>242</v>
      </c>
      <c r="G387" s="9">
        <v>1</v>
      </c>
      <c r="H387" s="6" t="s">
        <v>1527</v>
      </c>
      <c r="I387" s="9" t="s">
        <v>415</v>
      </c>
      <c r="J387" s="9" t="s">
        <v>145</v>
      </c>
    </row>
    <row r="388" spans="1:10">
      <c r="A388" s="5" t="s">
        <v>893</v>
      </c>
      <c r="B388" s="6" t="s">
        <v>1528</v>
      </c>
      <c r="C388" s="7">
        <v>46136</v>
      </c>
      <c r="D388" s="9" t="s">
        <v>500</v>
      </c>
      <c r="E388" s="8" t="s">
        <v>53</v>
      </c>
      <c r="F388" s="9" t="s">
        <v>242</v>
      </c>
      <c r="G388" s="9">
        <v>1</v>
      </c>
      <c r="H388" s="6" t="s">
        <v>1240</v>
      </c>
      <c r="I388" s="9" t="s">
        <v>609</v>
      </c>
      <c r="J388" s="9" t="s">
        <v>145</v>
      </c>
    </row>
    <row r="389" spans="1:10">
      <c r="A389" s="5" t="s">
        <v>895</v>
      </c>
      <c r="B389" s="6" t="s">
        <v>1528</v>
      </c>
      <c r="C389" s="7">
        <v>46136</v>
      </c>
      <c r="D389" s="9" t="s">
        <v>261</v>
      </c>
      <c r="E389" s="4" t="s">
        <v>64</v>
      </c>
      <c r="F389" s="9" t="s">
        <v>242</v>
      </c>
      <c r="G389" s="9">
        <v>1</v>
      </c>
      <c r="H389" s="6" t="s">
        <v>1240</v>
      </c>
      <c r="I389" s="9" t="s">
        <v>609</v>
      </c>
      <c r="J389" s="9" t="s">
        <v>145</v>
      </c>
    </row>
    <row r="390" spans="1:10">
      <c r="A390" s="5" t="s">
        <v>897</v>
      </c>
      <c r="B390" s="6" t="s">
        <v>1528</v>
      </c>
      <c r="C390" s="7">
        <v>46136</v>
      </c>
      <c r="D390" s="9" t="s">
        <v>270</v>
      </c>
      <c r="E390" s="8" t="s">
        <v>271</v>
      </c>
      <c r="F390" s="9" t="s">
        <v>242</v>
      </c>
      <c r="G390" s="9">
        <v>1</v>
      </c>
      <c r="H390" s="6" t="s">
        <v>1240</v>
      </c>
      <c r="I390" s="9" t="s">
        <v>609</v>
      </c>
      <c r="J390" s="9" t="s">
        <v>145</v>
      </c>
    </row>
    <row r="391" spans="1:10">
      <c r="A391" s="5" t="s">
        <v>899</v>
      </c>
      <c r="B391" s="6" t="s">
        <v>1529</v>
      </c>
      <c r="C391" s="7">
        <v>46136</v>
      </c>
      <c r="D391" s="9" t="s">
        <v>500</v>
      </c>
      <c r="E391" s="4" t="s">
        <v>51</v>
      </c>
      <c r="F391" s="9" t="s">
        <v>242</v>
      </c>
      <c r="G391" s="9">
        <v>1</v>
      </c>
      <c r="H391" s="6" t="s">
        <v>1240</v>
      </c>
      <c r="I391" s="9" t="s">
        <v>609</v>
      </c>
      <c r="J391" s="9" t="s">
        <v>145</v>
      </c>
    </row>
    <row r="392" spans="1:10">
      <c r="A392" s="5" t="s">
        <v>900</v>
      </c>
      <c r="B392" s="6" t="s">
        <v>1529</v>
      </c>
      <c r="C392" s="7">
        <v>46136</v>
      </c>
      <c r="D392" s="9" t="s">
        <v>500</v>
      </c>
      <c r="E392" s="8" t="s">
        <v>52</v>
      </c>
      <c r="F392" s="9" t="s">
        <v>242</v>
      </c>
      <c r="G392" s="9">
        <v>1</v>
      </c>
      <c r="H392" s="6" t="s">
        <v>1240</v>
      </c>
      <c r="I392" s="9" t="s">
        <v>609</v>
      </c>
      <c r="J392" s="9" t="s">
        <v>145</v>
      </c>
    </row>
    <row r="393" spans="1:10">
      <c r="A393" s="5" t="s">
        <v>901</v>
      </c>
      <c r="B393" s="6" t="s">
        <v>1529</v>
      </c>
      <c r="C393" s="7">
        <v>46136</v>
      </c>
      <c r="D393" s="9" t="s">
        <v>261</v>
      </c>
      <c r="E393" s="8" t="s">
        <v>64</v>
      </c>
      <c r="F393" s="9" t="s">
        <v>242</v>
      </c>
      <c r="G393" s="9">
        <v>3</v>
      </c>
      <c r="H393" s="6" t="s">
        <v>1240</v>
      </c>
      <c r="I393" s="9" t="s">
        <v>609</v>
      </c>
      <c r="J393" s="9" t="s">
        <v>145</v>
      </c>
    </row>
    <row r="394" spans="1:10">
      <c r="A394" s="5" t="s">
        <v>903</v>
      </c>
      <c r="B394" s="6" t="s">
        <v>1529</v>
      </c>
      <c r="C394" s="7">
        <v>46136</v>
      </c>
      <c r="D394" s="9" t="s">
        <v>270</v>
      </c>
      <c r="E394" s="8" t="s">
        <v>271</v>
      </c>
      <c r="F394" s="9" t="s">
        <v>242</v>
      </c>
      <c r="G394" s="9">
        <v>3</v>
      </c>
      <c r="H394" s="6" t="s">
        <v>1240</v>
      </c>
      <c r="I394" s="9" t="s">
        <v>609</v>
      </c>
      <c r="J394" s="9" t="s">
        <v>145</v>
      </c>
    </row>
    <row r="395" spans="1:10">
      <c r="A395" s="5" t="s">
        <v>907</v>
      </c>
      <c r="B395" s="6" t="s">
        <v>1529</v>
      </c>
      <c r="C395" s="7">
        <v>46136</v>
      </c>
      <c r="D395" s="9" t="s">
        <v>503</v>
      </c>
      <c r="E395" s="4" t="s">
        <v>162</v>
      </c>
      <c r="F395" s="9" t="s">
        <v>242</v>
      </c>
      <c r="G395" s="9">
        <v>1</v>
      </c>
      <c r="H395" s="6" t="s">
        <v>1240</v>
      </c>
      <c r="I395" s="9" t="s">
        <v>609</v>
      </c>
      <c r="J395" s="9" t="s">
        <v>145</v>
      </c>
    </row>
    <row r="396" spans="1:10">
      <c r="A396" s="5" t="s">
        <v>1530</v>
      </c>
      <c r="B396" s="6" t="s">
        <v>1531</v>
      </c>
      <c r="C396" s="7">
        <v>46136</v>
      </c>
      <c r="D396" s="9" t="s">
        <v>500</v>
      </c>
      <c r="E396" s="8" t="s">
        <v>53</v>
      </c>
      <c r="F396" s="9" t="s">
        <v>242</v>
      </c>
      <c r="G396" s="9">
        <v>1</v>
      </c>
      <c r="H396" s="6" t="s">
        <v>1240</v>
      </c>
      <c r="I396" s="9" t="s">
        <v>609</v>
      </c>
      <c r="J396" s="9" t="s">
        <v>145</v>
      </c>
    </row>
    <row r="397" spans="1:10">
      <c r="A397" s="5" t="s">
        <v>1532</v>
      </c>
      <c r="B397" s="6" t="s">
        <v>1531</v>
      </c>
      <c r="C397" s="7">
        <v>46136</v>
      </c>
      <c r="D397" s="9" t="s">
        <v>261</v>
      </c>
      <c r="E397" s="8" t="s">
        <v>64</v>
      </c>
      <c r="F397" s="9" t="s">
        <v>242</v>
      </c>
      <c r="G397" s="9">
        <v>1</v>
      </c>
      <c r="H397" s="6" t="s">
        <v>1240</v>
      </c>
      <c r="I397" s="9" t="s">
        <v>609</v>
      </c>
      <c r="J397" s="9" t="s">
        <v>145</v>
      </c>
    </row>
    <row r="398" spans="1:10">
      <c r="A398" s="5" t="s">
        <v>1533</v>
      </c>
      <c r="B398" s="6" t="s">
        <v>1531</v>
      </c>
      <c r="C398" s="7">
        <v>46136</v>
      </c>
      <c r="D398" s="9" t="s">
        <v>270</v>
      </c>
      <c r="E398" s="8" t="s">
        <v>271</v>
      </c>
      <c r="F398" s="9" t="s">
        <v>242</v>
      </c>
      <c r="G398" s="9">
        <v>1</v>
      </c>
      <c r="H398" s="6" t="s">
        <v>1240</v>
      </c>
      <c r="I398" s="9" t="s">
        <v>609</v>
      </c>
      <c r="J398" s="9" t="s">
        <v>145</v>
      </c>
    </row>
    <row r="399" spans="1:10">
      <c r="A399" s="5" t="s">
        <v>1534</v>
      </c>
      <c r="B399" s="6" t="s">
        <v>1535</v>
      </c>
      <c r="C399" s="7">
        <v>46136</v>
      </c>
      <c r="D399" s="9" t="s">
        <v>696</v>
      </c>
      <c r="E399" s="8" t="s">
        <v>86</v>
      </c>
      <c r="F399" s="9" t="s">
        <v>242</v>
      </c>
      <c r="G399" s="9">
        <v>55</v>
      </c>
      <c r="H399" s="6" t="s">
        <v>1536</v>
      </c>
      <c r="I399" s="9" t="s">
        <v>514</v>
      </c>
      <c r="J399" s="9" t="s">
        <v>145</v>
      </c>
    </row>
    <row r="400" spans="1:10">
      <c r="A400" s="5" t="s">
        <v>1537</v>
      </c>
      <c r="B400" s="6" t="s">
        <v>1535</v>
      </c>
      <c r="C400" s="7">
        <v>46136</v>
      </c>
      <c r="D400" s="9" t="s">
        <v>261</v>
      </c>
      <c r="E400" s="4" t="s">
        <v>62</v>
      </c>
      <c r="F400" s="9" t="s">
        <v>242</v>
      </c>
      <c r="G400" s="9">
        <v>4</v>
      </c>
      <c r="H400" s="6" t="s">
        <v>1536</v>
      </c>
      <c r="I400" s="9" t="s">
        <v>514</v>
      </c>
      <c r="J400" s="9" t="s">
        <v>145</v>
      </c>
    </row>
    <row r="401" spans="1:10">
      <c r="A401" s="5"/>
      <c r="B401" s="6"/>
      <c r="C401" s="7"/>
      <c r="D401" s="9"/>
      <c r="E401" s="4"/>
      <c r="F401" s="9"/>
      <c r="G401" s="9"/>
      <c r="H401" s="6"/>
      <c r="I401" s="9"/>
      <c r="J401" s="9" t="s">
        <v>145</v>
      </c>
    </row>
    <row r="402" spans="1:10">
      <c r="A402" s="5"/>
      <c r="B402" s="6"/>
      <c r="C402" s="7"/>
      <c r="D402" s="9"/>
      <c r="E402" s="8"/>
      <c r="F402" s="9"/>
      <c r="G402" s="9"/>
      <c r="H402" s="6"/>
      <c r="I402" s="9"/>
      <c r="J402" s="9" t="s">
        <v>145</v>
      </c>
    </row>
    <row r="403" spans="1:10">
      <c r="A403" s="5"/>
      <c r="B403" s="6"/>
      <c r="C403" s="7"/>
      <c r="D403" s="9"/>
      <c r="E403" s="8"/>
      <c r="F403" s="9"/>
      <c r="G403" s="9"/>
      <c r="H403" s="6"/>
      <c r="I403" s="9"/>
      <c r="J403" s="9" t="s">
        <v>145</v>
      </c>
    </row>
    <row r="404" spans="1:10">
      <c r="A404" s="5"/>
      <c r="B404" s="6"/>
      <c r="C404" s="7"/>
      <c r="D404" s="9"/>
      <c r="E404" s="4"/>
      <c r="F404" s="9"/>
      <c r="G404" s="9"/>
      <c r="H404" s="6"/>
      <c r="I404" s="9"/>
      <c r="J404" s="9" t="s">
        <v>145</v>
      </c>
    </row>
    <row r="405" spans="1:10">
      <c r="A405" s="5"/>
      <c r="B405" s="6"/>
      <c r="C405" s="7"/>
      <c r="D405" s="9"/>
      <c r="E405" s="8"/>
      <c r="F405" s="9"/>
      <c r="G405" s="9"/>
      <c r="H405" s="6"/>
      <c r="I405" s="9"/>
      <c r="J405" s="9" t="s">
        <v>145</v>
      </c>
    </row>
    <row r="406" spans="1:10">
      <c r="A406" s="5"/>
      <c r="B406" s="6"/>
      <c r="C406" s="7"/>
      <c r="D406" s="9"/>
      <c r="E406" s="8"/>
      <c r="F406" s="9"/>
      <c r="G406" s="9"/>
      <c r="H406" s="6"/>
      <c r="I406" s="9"/>
      <c r="J406" s="9" t="s">
        <v>145</v>
      </c>
    </row>
    <row r="407" spans="1:10">
      <c r="A407" s="5"/>
      <c r="B407" s="6"/>
      <c r="C407" s="7"/>
      <c r="D407" s="9"/>
      <c r="E407" s="8"/>
      <c r="F407" s="9"/>
      <c r="G407" s="9"/>
      <c r="H407" s="6"/>
      <c r="I407" s="9"/>
      <c r="J407" s="9" t="s">
        <v>145</v>
      </c>
    </row>
    <row r="408" spans="1:10">
      <c r="A408" s="5"/>
      <c r="B408" s="6"/>
      <c r="C408" s="7"/>
      <c r="D408" s="9"/>
      <c r="E408" s="8"/>
      <c r="F408" s="9"/>
      <c r="G408" s="9"/>
      <c r="H408" s="6"/>
      <c r="I408" s="9"/>
      <c r="J408" s="9" t="s">
        <v>145</v>
      </c>
    </row>
    <row r="409" spans="1:10">
      <c r="A409" s="5"/>
      <c r="B409" s="6"/>
      <c r="C409" s="7"/>
      <c r="D409" s="9"/>
      <c r="E409" s="4"/>
      <c r="F409" s="9"/>
      <c r="G409" s="9"/>
      <c r="H409" s="6"/>
      <c r="I409" s="9"/>
      <c r="J409" s="9" t="s">
        <v>145</v>
      </c>
    </row>
    <row r="410" spans="1:10">
      <c r="A410" s="5"/>
      <c r="B410" s="6"/>
      <c r="C410" s="7"/>
      <c r="D410" s="9"/>
      <c r="E410" s="8"/>
      <c r="F410" s="9"/>
      <c r="G410" s="9"/>
      <c r="H410" s="6"/>
      <c r="I410" s="9"/>
      <c r="J410" s="9" t="s">
        <v>145</v>
      </c>
    </row>
    <row r="411" spans="1:10">
      <c r="A411" s="5"/>
      <c r="B411" s="6"/>
      <c r="C411" s="7"/>
      <c r="D411" s="9"/>
      <c r="E411" s="8"/>
      <c r="F411" s="9"/>
      <c r="G411" s="9"/>
      <c r="H411" s="6"/>
      <c r="I411" s="9"/>
      <c r="J411" s="9" t="s">
        <v>145</v>
      </c>
    </row>
    <row r="412" spans="1:10">
      <c r="A412" s="5"/>
      <c r="B412" s="6"/>
      <c r="C412" s="7"/>
      <c r="D412" s="9"/>
      <c r="E412" s="8"/>
      <c r="F412" s="9"/>
      <c r="G412" s="9"/>
      <c r="H412" s="6"/>
      <c r="I412" s="9"/>
      <c r="J412" s="9" t="s">
        <v>145</v>
      </c>
    </row>
    <row r="413" spans="1:10">
      <c r="A413" s="5"/>
      <c r="B413" s="6"/>
      <c r="C413" s="7"/>
      <c r="D413" s="9"/>
      <c r="E413" s="8"/>
      <c r="F413" s="9"/>
      <c r="G413" s="9"/>
      <c r="H413" s="6"/>
      <c r="I413" s="9"/>
      <c r="J413" s="9" t="s">
        <v>145</v>
      </c>
    </row>
    <row r="414" spans="1:10">
      <c r="A414" s="5"/>
      <c r="B414" s="6"/>
      <c r="C414" s="7"/>
      <c r="D414" s="9"/>
      <c r="E414" s="8"/>
      <c r="F414" s="9"/>
      <c r="G414" s="9"/>
      <c r="H414" s="6"/>
      <c r="I414" s="9"/>
      <c r="J414" s="9" t="s">
        <v>145</v>
      </c>
    </row>
    <row r="415" spans="1:10">
      <c r="A415" s="5"/>
      <c r="B415" s="6"/>
      <c r="C415" s="7"/>
      <c r="D415" s="9"/>
      <c r="E415" s="8"/>
      <c r="F415" s="9"/>
      <c r="G415" s="9"/>
      <c r="H415" s="6"/>
      <c r="I415" s="9"/>
      <c r="J415" s="9" t="s">
        <v>145</v>
      </c>
    </row>
    <row r="416" spans="1:10">
      <c r="A416" s="5"/>
      <c r="B416" s="6"/>
      <c r="C416" s="7"/>
      <c r="D416" s="9"/>
      <c r="E416" s="8"/>
      <c r="F416" s="9"/>
      <c r="G416" s="9"/>
      <c r="H416" s="6"/>
      <c r="I416" s="9"/>
      <c r="J416" s="9" t="s">
        <v>145</v>
      </c>
    </row>
    <row r="417" spans="1:10">
      <c r="A417" s="5"/>
      <c r="B417" s="6"/>
      <c r="C417" s="7"/>
      <c r="D417" s="9"/>
      <c r="E417" s="8"/>
      <c r="F417" s="9"/>
      <c r="G417" s="9"/>
      <c r="H417" s="6"/>
      <c r="I417" s="9"/>
      <c r="J417" s="9" t="s">
        <v>145</v>
      </c>
    </row>
    <row r="418" spans="1:10">
      <c r="A418" s="5"/>
      <c r="B418" s="6"/>
      <c r="C418" s="7"/>
      <c r="D418" s="9"/>
      <c r="E418" s="8"/>
      <c r="F418" s="9"/>
      <c r="G418" s="9"/>
      <c r="H418" s="6"/>
      <c r="I418" s="9"/>
      <c r="J418" s="9" t="s">
        <v>145</v>
      </c>
    </row>
    <row r="419" spans="1:10">
      <c r="A419" s="5"/>
      <c r="B419" s="6"/>
      <c r="C419" s="7"/>
      <c r="D419" s="9"/>
      <c r="E419" s="8"/>
      <c r="F419" s="9"/>
      <c r="G419" s="9"/>
      <c r="H419" s="6"/>
      <c r="I419" s="9"/>
      <c r="J419" s="9" t="s">
        <v>145</v>
      </c>
    </row>
    <row r="420" spans="1:10">
      <c r="A420" s="5"/>
      <c r="B420" s="6"/>
      <c r="C420" s="7"/>
      <c r="D420" s="9"/>
      <c r="E420" s="8"/>
      <c r="F420" s="9"/>
      <c r="G420" s="9"/>
      <c r="H420" s="6"/>
      <c r="I420" s="9"/>
      <c r="J420" s="9" t="s">
        <v>145</v>
      </c>
    </row>
    <row r="421" spans="1:10">
      <c r="A421" s="5"/>
      <c r="B421" s="6"/>
      <c r="C421" s="7"/>
      <c r="D421" s="9"/>
      <c r="E421" s="8"/>
      <c r="F421" s="9"/>
      <c r="G421" s="9"/>
      <c r="H421" s="6"/>
      <c r="I421" s="9"/>
      <c r="J421" s="9" t="s">
        <v>145</v>
      </c>
    </row>
    <row r="422" spans="1:10">
      <c r="A422" s="5"/>
      <c r="B422" s="6"/>
      <c r="C422" s="7"/>
      <c r="D422" s="9"/>
      <c r="E422" s="8"/>
      <c r="F422" s="9"/>
      <c r="G422" s="9"/>
      <c r="H422" s="6"/>
      <c r="I422" s="9"/>
      <c r="J422" s="9" t="s">
        <v>145</v>
      </c>
    </row>
    <row r="423" spans="1:10">
      <c r="A423" s="5"/>
      <c r="B423" s="6"/>
      <c r="C423" s="7"/>
      <c r="D423" s="9"/>
      <c r="E423" s="8"/>
      <c r="F423" s="9"/>
      <c r="G423" s="9"/>
      <c r="H423" s="6"/>
      <c r="I423" s="9"/>
      <c r="J423" s="9" t="s">
        <v>145</v>
      </c>
    </row>
    <row r="424" spans="1:10">
      <c r="A424" s="5"/>
      <c r="B424" s="6"/>
      <c r="C424" s="7"/>
      <c r="D424" s="9"/>
      <c r="E424" s="8"/>
      <c r="F424" s="9"/>
      <c r="G424" s="9"/>
      <c r="H424" s="6"/>
      <c r="I424" s="9"/>
      <c r="J424" s="9" t="s">
        <v>145</v>
      </c>
    </row>
    <row r="425" spans="1:10">
      <c r="A425" s="5"/>
      <c r="B425" s="6"/>
      <c r="C425" s="7"/>
      <c r="D425" s="9"/>
      <c r="E425" s="8"/>
      <c r="F425" s="9"/>
      <c r="G425" s="9"/>
      <c r="H425" s="6"/>
      <c r="I425" s="9"/>
      <c r="J425" s="9" t="s">
        <v>145</v>
      </c>
    </row>
    <row r="426" spans="1:10">
      <c r="A426" s="5"/>
      <c r="B426" s="6"/>
      <c r="C426" s="7"/>
      <c r="D426" s="9"/>
      <c r="E426" s="4"/>
      <c r="F426" s="9"/>
      <c r="G426" s="9"/>
      <c r="H426" s="6"/>
      <c r="I426" s="9"/>
      <c r="J426" s="9" t="s">
        <v>145</v>
      </c>
    </row>
    <row r="427" spans="1:10">
      <c r="A427" s="5"/>
      <c r="B427" s="6"/>
      <c r="C427" s="7"/>
      <c r="D427" s="9"/>
      <c r="E427" s="8"/>
      <c r="F427" s="9"/>
      <c r="G427" s="9"/>
      <c r="H427" s="6"/>
      <c r="I427" s="9"/>
      <c r="J427" s="9" t="s">
        <v>145</v>
      </c>
    </row>
    <row r="428" spans="1:10">
      <c r="A428" s="5"/>
      <c r="B428" s="6"/>
      <c r="C428" s="7"/>
      <c r="D428" s="9"/>
      <c r="E428" s="8"/>
      <c r="F428" s="9"/>
      <c r="G428" s="9"/>
      <c r="H428" s="6"/>
      <c r="I428" s="9"/>
      <c r="J428" s="9" t="s">
        <v>145</v>
      </c>
    </row>
    <row r="429" spans="1:10">
      <c r="A429" s="5"/>
      <c r="B429" s="6"/>
      <c r="C429" s="7"/>
      <c r="D429" s="9"/>
      <c r="E429" s="8"/>
      <c r="F429" s="9"/>
      <c r="G429" s="9"/>
      <c r="H429" s="6"/>
      <c r="I429" s="9"/>
      <c r="J429" s="9" t="s">
        <v>145</v>
      </c>
    </row>
    <row r="430" spans="1:10">
      <c r="A430" s="5"/>
      <c r="B430" s="6"/>
      <c r="C430" s="7"/>
      <c r="D430" s="9"/>
      <c r="E430" s="8"/>
      <c r="F430" s="9"/>
      <c r="G430" s="9"/>
      <c r="H430" s="6"/>
      <c r="I430" s="9"/>
      <c r="J430" s="9" t="s">
        <v>145</v>
      </c>
    </row>
    <row r="431" spans="1:10">
      <c r="A431" s="5"/>
      <c r="B431" s="6"/>
      <c r="C431" s="7"/>
      <c r="D431" s="9"/>
      <c r="E431" s="8"/>
      <c r="F431" s="9"/>
      <c r="G431" s="9"/>
      <c r="H431" s="6"/>
      <c r="I431" s="9"/>
      <c r="J431" s="9" t="s">
        <v>145</v>
      </c>
    </row>
    <row r="432" spans="1:10">
      <c r="A432" s="5"/>
      <c r="B432" s="6"/>
      <c r="C432" s="7"/>
      <c r="D432" s="9"/>
      <c r="E432" s="8"/>
      <c r="F432" s="9"/>
      <c r="G432" s="9"/>
      <c r="H432" s="6"/>
      <c r="I432" s="9"/>
      <c r="J432" s="9" t="s">
        <v>145</v>
      </c>
    </row>
    <row r="433" spans="1:10">
      <c r="A433" s="5"/>
      <c r="B433" s="6"/>
      <c r="C433" s="7"/>
      <c r="D433" s="9"/>
      <c r="E433" s="8"/>
      <c r="F433" s="9"/>
      <c r="G433" s="9"/>
      <c r="H433" s="6"/>
      <c r="I433" s="9"/>
      <c r="J433" s="9" t="s">
        <v>145</v>
      </c>
    </row>
    <row r="434" spans="1:10">
      <c r="A434" s="5"/>
      <c r="B434" s="6"/>
      <c r="C434" s="7"/>
      <c r="D434" s="9"/>
      <c r="E434" s="8"/>
      <c r="F434" s="9"/>
      <c r="G434" s="9"/>
      <c r="H434" s="6"/>
      <c r="I434" s="9"/>
      <c r="J434" s="9" t="s">
        <v>145</v>
      </c>
    </row>
    <row r="435" spans="1:10">
      <c r="A435" s="5"/>
      <c r="B435" s="6"/>
      <c r="C435" s="7"/>
      <c r="D435" s="9"/>
      <c r="E435" s="8"/>
      <c r="F435" s="9"/>
      <c r="G435" s="9"/>
      <c r="H435" s="6"/>
      <c r="I435" s="9"/>
      <c r="J435" s="9" t="s">
        <v>145</v>
      </c>
    </row>
    <row r="436" spans="1:10">
      <c r="A436" s="5"/>
      <c r="B436" s="6"/>
      <c r="C436" s="7"/>
      <c r="D436" s="9"/>
      <c r="E436" s="8"/>
      <c r="F436" s="9"/>
      <c r="G436" s="9"/>
      <c r="H436" s="6"/>
      <c r="I436" s="9"/>
      <c r="J436" s="9" t="s">
        <v>145</v>
      </c>
    </row>
    <row r="437" spans="1:10">
      <c r="A437" s="5"/>
      <c r="B437" s="6"/>
      <c r="C437" s="7"/>
      <c r="D437" s="9"/>
      <c r="E437" s="8"/>
      <c r="F437" s="9"/>
      <c r="G437" s="9"/>
      <c r="H437" s="6"/>
      <c r="I437" s="9"/>
      <c r="J437" s="9" t="s">
        <v>145</v>
      </c>
    </row>
    <row r="438" spans="1:10">
      <c r="A438" s="5"/>
      <c r="B438" s="6"/>
      <c r="C438" s="7"/>
      <c r="D438" s="9"/>
      <c r="E438" s="8"/>
      <c r="F438" s="9"/>
      <c r="G438" s="9"/>
      <c r="H438" s="6"/>
      <c r="I438" s="9"/>
      <c r="J438" s="9" t="s">
        <v>145</v>
      </c>
    </row>
    <row r="439" spans="1:10">
      <c r="A439" s="5"/>
      <c r="B439" s="6"/>
      <c r="C439" s="7"/>
      <c r="D439" s="9"/>
      <c r="E439" s="8"/>
      <c r="F439" s="9"/>
      <c r="G439" s="9"/>
      <c r="H439" s="6"/>
      <c r="I439" s="9"/>
      <c r="J439" s="9" t="s">
        <v>145</v>
      </c>
    </row>
    <row r="440" spans="1:10">
      <c r="A440" s="5"/>
      <c r="B440" s="6"/>
      <c r="C440" s="7"/>
      <c r="D440" s="9"/>
      <c r="E440" s="8"/>
      <c r="F440" s="9"/>
      <c r="G440" s="9"/>
      <c r="H440" s="6"/>
      <c r="I440" s="9"/>
      <c r="J440" s="9" t="s">
        <v>145</v>
      </c>
    </row>
    <row r="441" spans="1:10">
      <c r="A441" s="5"/>
      <c r="B441" s="6"/>
      <c r="C441" s="7"/>
      <c r="D441" s="9"/>
      <c r="E441" s="8"/>
      <c r="F441" s="9"/>
      <c r="G441" s="9"/>
      <c r="H441" s="6"/>
      <c r="I441" s="9"/>
      <c r="J441" s="9" t="s">
        <v>145</v>
      </c>
    </row>
    <row r="442" spans="1:10">
      <c r="A442" s="5"/>
      <c r="B442" s="6"/>
      <c r="C442" s="7"/>
      <c r="D442" s="9"/>
      <c r="E442" s="8"/>
      <c r="F442" s="9"/>
      <c r="G442" s="9"/>
      <c r="H442" s="6"/>
      <c r="I442" s="9"/>
      <c r="J442" s="9" t="s">
        <v>145</v>
      </c>
    </row>
    <row r="443" spans="1:10">
      <c r="A443" s="5"/>
      <c r="B443" s="6"/>
      <c r="C443" s="7"/>
      <c r="D443" s="9"/>
      <c r="E443" s="8"/>
      <c r="F443" s="9"/>
      <c r="G443" s="9"/>
      <c r="H443" s="6"/>
      <c r="I443" s="9"/>
      <c r="J443" s="9" t="s">
        <v>145</v>
      </c>
    </row>
    <row r="444" spans="1:10">
      <c r="A444" s="5"/>
      <c r="B444" s="6"/>
      <c r="C444" s="7"/>
      <c r="D444" s="9"/>
      <c r="E444" s="8"/>
      <c r="F444" s="9"/>
      <c r="G444" s="9"/>
      <c r="H444" s="6"/>
      <c r="I444" s="9"/>
      <c r="J444" s="9" t="s">
        <v>145</v>
      </c>
    </row>
    <row r="445" spans="1:10">
      <c r="A445" s="5"/>
      <c r="B445" s="6"/>
      <c r="C445" s="7"/>
      <c r="D445" s="9"/>
      <c r="E445" s="8"/>
      <c r="F445" s="9"/>
      <c r="G445" s="9"/>
      <c r="H445" s="6"/>
      <c r="I445" s="9"/>
      <c r="J445" s="9" t="s">
        <v>145</v>
      </c>
    </row>
    <row r="446" spans="1:10">
      <c r="A446" s="5"/>
      <c r="B446" s="6"/>
      <c r="C446" s="7"/>
      <c r="D446" s="9"/>
      <c r="E446" s="8"/>
      <c r="F446" s="9"/>
      <c r="G446" s="9"/>
      <c r="H446" s="6"/>
      <c r="I446" s="9"/>
      <c r="J446" s="9" t="s">
        <v>145</v>
      </c>
    </row>
    <row r="447" spans="1:10">
      <c r="A447" s="5"/>
      <c r="B447" s="6"/>
      <c r="C447" s="7"/>
      <c r="D447" s="9"/>
      <c r="E447" s="8"/>
      <c r="F447" s="9"/>
      <c r="G447" s="9"/>
      <c r="H447" s="6"/>
      <c r="I447" s="9"/>
      <c r="J447" s="9" t="s">
        <v>145</v>
      </c>
    </row>
    <row r="448" spans="1:10">
      <c r="A448" s="5"/>
      <c r="B448" s="6"/>
      <c r="C448" s="7"/>
      <c r="D448" s="9"/>
      <c r="E448" s="8"/>
      <c r="F448" s="9"/>
      <c r="G448" s="9"/>
      <c r="H448" s="6"/>
      <c r="I448" s="9"/>
      <c r="J448" s="9" t="s">
        <v>145</v>
      </c>
    </row>
    <row r="449" spans="1:10">
      <c r="A449" s="5"/>
      <c r="B449" s="6"/>
      <c r="C449" s="7"/>
      <c r="D449" s="9"/>
      <c r="E449" s="8"/>
      <c r="F449" s="9"/>
      <c r="G449" s="9"/>
      <c r="H449" s="6"/>
      <c r="I449" s="9"/>
      <c r="J449" s="9" t="s">
        <v>145</v>
      </c>
    </row>
    <row r="450" spans="1:10">
      <c r="A450" s="5"/>
      <c r="B450" s="6"/>
      <c r="C450" s="7"/>
      <c r="D450" s="9"/>
      <c r="E450" s="8"/>
      <c r="F450" s="9"/>
      <c r="G450" s="9"/>
      <c r="H450" s="6"/>
      <c r="I450" s="9"/>
      <c r="J450" s="9" t="s">
        <v>145</v>
      </c>
    </row>
    <row r="451" spans="1:10">
      <c r="A451" s="5"/>
      <c r="B451" s="6"/>
      <c r="C451" s="7"/>
      <c r="D451" s="9"/>
      <c r="E451" s="8"/>
      <c r="F451" s="9"/>
      <c r="G451" s="9"/>
      <c r="H451" s="6"/>
      <c r="I451" s="9"/>
      <c r="J451" s="9" t="s">
        <v>145</v>
      </c>
    </row>
    <row r="452" spans="1:10">
      <c r="A452" s="5"/>
      <c r="B452" s="6"/>
      <c r="C452" s="7"/>
      <c r="D452" s="9"/>
      <c r="E452" s="8"/>
      <c r="F452" s="9"/>
      <c r="G452" s="9"/>
      <c r="H452" s="6"/>
      <c r="I452" s="9"/>
      <c r="J452" s="9" t="s">
        <v>145</v>
      </c>
    </row>
    <row r="453" spans="1:10">
      <c r="A453" s="5"/>
      <c r="B453" s="6"/>
      <c r="C453" s="7"/>
      <c r="D453" s="9"/>
      <c r="E453" s="4"/>
      <c r="F453" s="9"/>
      <c r="G453" s="9"/>
      <c r="H453" s="6"/>
      <c r="I453" s="9"/>
      <c r="J453" s="9" t="s">
        <v>145</v>
      </c>
    </row>
    <row r="454" spans="1:10">
      <c r="A454" s="5"/>
      <c r="B454" s="6"/>
      <c r="C454" s="7"/>
      <c r="D454" s="9"/>
      <c r="E454" s="8"/>
      <c r="F454" s="9"/>
      <c r="G454" s="9"/>
      <c r="H454" s="6"/>
      <c r="I454" s="9"/>
      <c r="J454" s="9" t="s">
        <v>145</v>
      </c>
    </row>
    <row r="455" spans="1:10">
      <c r="A455" s="5"/>
      <c r="B455" s="6"/>
      <c r="C455" s="7"/>
      <c r="D455" s="9"/>
      <c r="E455" s="8"/>
      <c r="F455" s="9"/>
      <c r="G455" s="9"/>
      <c r="H455" s="6"/>
      <c r="I455" s="9"/>
      <c r="J455" s="9" t="s">
        <v>145</v>
      </c>
    </row>
    <row r="456" spans="1:10">
      <c r="A456" s="5"/>
      <c r="B456" s="6"/>
      <c r="C456" s="7"/>
      <c r="D456" s="9"/>
      <c r="E456" s="8"/>
      <c r="F456" s="9"/>
      <c r="G456" s="9"/>
      <c r="H456" s="6"/>
      <c r="I456" s="9"/>
      <c r="J456" s="9" t="s">
        <v>145</v>
      </c>
    </row>
    <row r="457" spans="1:10">
      <c r="A457" s="5"/>
      <c r="B457" s="6"/>
      <c r="C457" s="7"/>
      <c r="D457" s="9"/>
      <c r="E457" s="8"/>
      <c r="F457" s="9"/>
      <c r="G457" s="9"/>
      <c r="H457" s="6"/>
      <c r="I457" s="9"/>
      <c r="J457" s="9" t="s">
        <v>145</v>
      </c>
    </row>
    <row r="458" spans="1:10">
      <c r="A458" s="5"/>
      <c r="B458" s="6"/>
      <c r="C458" s="7"/>
      <c r="D458" s="9"/>
      <c r="E458" s="8"/>
      <c r="F458" s="9"/>
      <c r="G458" s="9"/>
      <c r="H458" s="6"/>
      <c r="I458" s="9"/>
      <c r="J458" s="9" t="s">
        <v>145</v>
      </c>
    </row>
    <row r="459" spans="1:10">
      <c r="A459" s="5"/>
      <c r="B459" s="6"/>
      <c r="C459" s="7"/>
      <c r="D459" s="9"/>
      <c r="E459" s="8"/>
      <c r="F459" s="9"/>
      <c r="G459" s="9"/>
      <c r="H459" s="6"/>
      <c r="I459" s="9"/>
      <c r="J459" s="9" t="s">
        <v>145</v>
      </c>
    </row>
    <row r="460" spans="1:10">
      <c r="A460" s="5"/>
      <c r="B460" s="6"/>
      <c r="C460" s="7"/>
      <c r="D460" s="9"/>
      <c r="E460" s="4"/>
      <c r="F460" s="9"/>
      <c r="G460" s="9"/>
      <c r="H460" s="6"/>
      <c r="I460" s="9"/>
      <c r="J460" s="9" t="s">
        <v>145</v>
      </c>
    </row>
    <row r="461" spans="1:10">
      <c r="A461" s="5"/>
      <c r="B461" s="6"/>
      <c r="C461" s="7"/>
      <c r="D461" s="9"/>
      <c r="E461" s="4"/>
      <c r="F461" s="9"/>
      <c r="G461" s="9"/>
      <c r="H461" s="6"/>
      <c r="I461" s="9"/>
      <c r="J461" s="9" t="s">
        <v>145</v>
      </c>
    </row>
    <row r="462" spans="1:10">
      <c r="A462" s="5"/>
      <c r="B462" s="6"/>
      <c r="C462" s="7"/>
      <c r="D462" s="9"/>
      <c r="E462" s="8"/>
      <c r="F462" s="9"/>
      <c r="G462" s="9"/>
      <c r="H462" s="6"/>
      <c r="I462" s="9"/>
      <c r="J462" s="9" t="s">
        <v>145</v>
      </c>
    </row>
    <row r="463" spans="1:10">
      <c r="A463" s="5"/>
      <c r="B463" s="6"/>
      <c r="C463" s="7"/>
      <c r="D463" s="9"/>
      <c r="E463" s="8"/>
      <c r="F463" s="9"/>
      <c r="G463" s="9"/>
      <c r="H463" s="6"/>
      <c r="I463" s="9"/>
      <c r="J463" s="9" t="s">
        <v>145</v>
      </c>
    </row>
    <row r="464" spans="1:10">
      <c r="A464" s="5"/>
      <c r="B464" s="6"/>
      <c r="C464" s="7"/>
      <c r="D464" s="9"/>
      <c r="E464" s="8"/>
      <c r="F464" s="9"/>
      <c r="G464" s="9"/>
      <c r="H464" s="6"/>
      <c r="I464" s="9"/>
      <c r="J464" s="9" t="s">
        <v>145</v>
      </c>
    </row>
    <row r="465" spans="1:10">
      <c r="A465" s="5"/>
      <c r="B465" s="6"/>
      <c r="C465" s="7"/>
      <c r="D465" s="9"/>
      <c r="E465" s="4"/>
      <c r="F465" s="9"/>
      <c r="G465" s="9"/>
      <c r="H465" s="6"/>
      <c r="I465" s="9"/>
      <c r="J465" s="9" t="s">
        <v>145</v>
      </c>
    </row>
    <row r="466" spans="1:10">
      <c r="A466" s="5"/>
      <c r="B466" s="6"/>
      <c r="C466" s="7"/>
      <c r="D466" s="9"/>
      <c r="E466" s="8"/>
      <c r="F466" s="9"/>
      <c r="G466" s="9"/>
      <c r="H466" s="6"/>
      <c r="I466" s="9"/>
      <c r="J466" s="9" t="s">
        <v>145</v>
      </c>
    </row>
    <row r="467" spans="1:10">
      <c r="A467" s="5"/>
      <c r="B467" s="6"/>
      <c r="C467" s="7"/>
      <c r="D467" s="9"/>
      <c r="E467" s="8"/>
      <c r="F467" s="9"/>
      <c r="G467" s="9"/>
      <c r="H467" s="6"/>
      <c r="I467" s="9"/>
      <c r="J467" s="9" t="s">
        <v>145</v>
      </c>
    </row>
    <row r="468" spans="1:10">
      <c r="A468" s="5"/>
      <c r="B468" s="6"/>
      <c r="C468" s="7"/>
      <c r="D468" s="9"/>
      <c r="E468" s="8"/>
      <c r="F468" s="9"/>
      <c r="G468" s="9"/>
      <c r="H468" s="6"/>
      <c r="I468" s="9"/>
      <c r="J468" s="9" t="s">
        <v>145</v>
      </c>
    </row>
    <row r="469" spans="1:10">
      <c r="A469" s="5"/>
      <c r="B469" s="6"/>
      <c r="C469" s="7"/>
      <c r="D469" s="9"/>
      <c r="E469" s="4"/>
      <c r="F469" s="9"/>
      <c r="G469" s="9"/>
      <c r="H469" s="6"/>
      <c r="I469" s="9"/>
      <c r="J469" s="9" t="s">
        <v>145</v>
      </c>
    </row>
    <row r="470" spans="1:10">
      <c r="A470" s="5"/>
      <c r="B470" s="6"/>
      <c r="C470" s="7"/>
      <c r="D470" s="9"/>
      <c r="E470" s="8"/>
      <c r="F470" s="9"/>
      <c r="G470" s="9"/>
      <c r="H470" s="6"/>
      <c r="I470" s="9"/>
      <c r="J470" s="9" t="s">
        <v>145</v>
      </c>
    </row>
    <row r="471" spans="1:10">
      <c r="A471" s="5"/>
      <c r="B471" s="6"/>
      <c r="C471" s="7"/>
      <c r="D471" s="9"/>
      <c r="E471" s="4"/>
      <c r="F471" s="9"/>
      <c r="G471" s="9"/>
      <c r="H471" s="6"/>
      <c r="I471" s="9"/>
      <c r="J471" s="9" t="s">
        <v>145</v>
      </c>
    </row>
    <row r="472" spans="1:10">
      <c r="A472" s="5"/>
      <c r="B472" s="6"/>
      <c r="C472" s="7"/>
      <c r="D472" s="9"/>
      <c r="E472" s="8"/>
      <c r="F472" s="9"/>
      <c r="G472" s="9"/>
      <c r="H472" s="6"/>
      <c r="I472" s="9"/>
      <c r="J472" s="9" t="s">
        <v>145</v>
      </c>
    </row>
    <row r="473" spans="1:10">
      <c r="A473" s="5"/>
      <c r="B473" s="6"/>
      <c r="C473" s="7"/>
      <c r="D473" s="9"/>
      <c r="E473" s="4"/>
      <c r="F473" s="9"/>
      <c r="G473" s="9"/>
      <c r="H473" s="6"/>
      <c r="I473" s="9"/>
      <c r="J473" s="9" t="s">
        <v>145</v>
      </c>
    </row>
    <row r="474" spans="1:10">
      <c r="A474" s="5"/>
      <c r="B474" s="6"/>
      <c r="C474" s="7"/>
      <c r="D474" s="9"/>
      <c r="E474" s="8"/>
      <c r="F474" s="9"/>
      <c r="G474" s="9"/>
      <c r="H474" s="6"/>
      <c r="I474" s="9"/>
      <c r="J474" s="9" t="s">
        <v>145</v>
      </c>
    </row>
    <row r="475" spans="1:10">
      <c r="A475" s="5"/>
      <c r="B475" s="6"/>
      <c r="C475" s="7"/>
      <c r="D475" s="9"/>
      <c r="E475" s="8"/>
      <c r="F475" s="9"/>
      <c r="G475" s="9"/>
      <c r="H475" s="6"/>
      <c r="I475" s="9"/>
      <c r="J475" s="9" t="s">
        <v>145</v>
      </c>
    </row>
    <row r="476" spans="1:10">
      <c r="A476" s="5"/>
      <c r="B476" s="6"/>
      <c r="C476" s="7"/>
      <c r="D476" s="9"/>
      <c r="E476" s="4"/>
      <c r="F476" s="9"/>
      <c r="G476" s="9"/>
      <c r="H476" s="6"/>
      <c r="I476" s="9"/>
      <c r="J476" s="9" t="s">
        <v>145</v>
      </c>
    </row>
    <row r="477" spans="1:10">
      <c r="A477" s="5"/>
      <c r="B477" s="6"/>
      <c r="C477" s="7"/>
      <c r="D477" s="9"/>
      <c r="E477" s="8"/>
      <c r="F477" s="9"/>
      <c r="G477" s="9"/>
      <c r="H477" s="6"/>
      <c r="I477" s="9"/>
      <c r="J477" s="9" t="s">
        <v>145</v>
      </c>
    </row>
    <row r="478" spans="1:10">
      <c r="A478" s="5"/>
      <c r="B478" s="6"/>
      <c r="C478" s="7"/>
      <c r="D478" s="9"/>
      <c r="E478" s="4"/>
      <c r="F478" s="9"/>
      <c r="G478" s="9"/>
      <c r="H478" s="6"/>
      <c r="I478" s="9"/>
      <c r="J478" s="9" t="s">
        <v>145</v>
      </c>
    </row>
    <row r="479" spans="1:10">
      <c r="A479" s="5"/>
      <c r="B479" s="6"/>
      <c r="C479" s="7"/>
      <c r="D479" s="9"/>
      <c r="E479" s="8"/>
      <c r="F479" s="9"/>
      <c r="G479" s="9"/>
      <c r="H479" s="6"/>
      <c r="I479" s="9"/>
      <c r="J479" s="9" t="s">
        <v>145</v>
      </c>
    </row>
    <row r="480" spans="1:10">
      <c r="A480" s="5"/>
      <c r="B480" s="6"/>
      <c r="C480" s="7"/>
      <c r="D480" s="9"/>
      <c r="E480" s="4"/>
      <c r="F480" s="9"/>
      <c r="G480" s="9"/>
      <c r="H480" s="6"/>
      <c r="I480" s="9"/>
      <c r="J480" s="9" t="s">
        <v>145</v>
      </c>
    </row>
    <row r="481" spans="1:10">
      <c r="A481" s="5"/>
      <c r="B481" s="6"/>
      <c r="C481" s="7"/>
      <c r="D481" s="9"/>
      <c r="E481" s="8"/>
      <c r="F481" s="9"/>
      <c r="G481" s="9"/>
      <c r="H481" s="6"/>
      <c r="I481" s="9"/>
      <c r="J481" s="9" t="s">
        <v>145</v>
      </c>
    </row>
    <row r="482" spans="1:10">
      <c r="A482" s="5"/>
      <c r="B482" s="6"/>
      <c r="C482" s="7"/>
      <c r="D482" s="9"/>
      <c r="E482" s="8"/>
      <c r="F482" s="9"/>
      <c r="G482" s="9"/>
      <c r="H482" s="6"/>
      <c r="I482" s="9"/>
      <c r="J482" s="9" t="s">
        <v>145</v>
      </c>
    </row>
    <row r="483" spans="1:10">
      <c r="A483" s="5"/>
      <c r="B483" s="6"/>
      <c r="C483" s="7"/>
      <c r="D483" s="9"/>
      <c r="E483" s="8"/>
      <c r="F483" s="9"/>
      <c r="G483" s="9"/>
      <c r="H483" s="6"/>
      <c r="I483" s="9"/>
      <c r="J483" s="9" t="s">
        <v>145</v>
      </c>
    </row>
    <row r="484" spans="1:10">
      <c r="A484" s="5"/>
      <c r="B484" s="6"/>
      <c r="C484" s="7"/>
      <c r="D484" s="9"/>
      <c r="E484" s="8"/>
      <c r="F484" s="9"/>
      <c r="G484" s="9"/>
      <c r="H484" s="6"/>
      <c r="I484" s="9"/>
      <c r="J484" s="9" t="s">
        <v>145</v>
      </c>
    </row>
    <row r="485" spans="1:10">
      <c r="A485" s="5"/>
      <c r="B485" s="6"/>
      <c r="C485" s="7"/>
      <c r="D485" s="9"/>
      <c r="E485" s="8"/>
      <c r="F485" s="9"/>
      <c r="G485" s="9"/>
      <c r="H485" s="6"/>
      <c r="I485" s="9"/>
      <c r="J485" s="9" t="s">
        <v>145</v>
      </c>
    </row>
    <row r="486" spans="1:10">
      <c r="A486" s="5"/>
      <c r="B486" s="6"/>
      <c r="C486" s="7"/>
      <c r="D486" s="9"/>
      <c r="E486" s="8"/>
      <c r="F486" s="9"/>
      <c r="G486" s="9"/>
      <c r="H486" s="6"/>
      <c r="I486" s="9"/>
      <c r="J486" s="9" t="s">
        <v>145</v>
      </c>
    </row>
    <row r="487" spans="1:10">
      <c r="A487" s="5"/>
      <c r="B487" s="6"/>
      <c r="C487" s="7"/>
      <c r="D487" s="9"/>
      <c r="E487" s="8"/>
      <c r="F487" s="9"/>
      <c r="G487" s="9"/>
      <c r="H487" s="6"/>
      <c r="I487" s="9"/>
      <c r="J487" s="9" t="s">
        <v>145</v>
      </c>
    </row>
    <row r="488" spans="1:10">
      <c r="A488" s="5"/>
      <c r="B488" s="6"/>
      <c r="C488" s="7"/>
      <c r="D488" s="9"/>
      <c r="E488" s="4"/>
      <c r="F488" s="9"/>
      <c r="G488" s="9"/>
      <c r="H488" s="6"/>
      <c r="I488" s="9"/>
      <c r="J488" s="9" t="s">
        <v>145</v>
      </c>
    </row>
    <row r="489" spans="1:10">
      <c r="A489" s="5"/>
      <c r="B489" s="6"/>
      <c r="C489" s="7"/>
      <c r="D489" s="9"/>
      <c r="E489" s="8"/>
      <c r="F489" s="9"/>
      <c r="G489" s="9"/>
      <c r="H489" s="6"/>
      <c r="I489" s="9"/>
      <c r="J489" s="9" t="s">
        <v>145</v>
      </c>
    </row>
    <row r="490" spans="1:10">
      <c r="A490" s="5"/>
      <c r="B490" s="6"/>
      <c r="C490" s="7"/>
      <c r="D490" s="9"/>
      <c r="E490" s="8"/>
      <c r="F490" s="9"/>
      <c r="G490" s="9"/>
      <c r="H490" s="6"/>
      <c r="I490" s="9"/>
      <c r="J490" s="9" t="s">
        <v>145</v>
      </c>
    </row>
    <row r="491" spans="1:10">
      <c r="A491" s="5"/>
      <c r="B491" s="6"/>
      <c r="C491" s="7"/>
      <c r="D491" s="9"/>
      <c r="E491" s="8"/>
      <c r="F491" s="9"/>
      <c r="G491" s="9"/>
      <c r="H491" s="6"/>
      <c r="I491" s="9"/>
      <c r="J491" s="9" t="s">
        <v>145</v>
      </c>
    </row>
    <row r="492" spans="1:10">
      <c r="A492" s="5"/>
      <c r="B492" s="6"/>
      <c r="C492" s="7"/>
      <c r="D492" s="9"/>
      <c r="E492" s="4"/>
      <c r="F492" s="9"/>
      <c r="G492" s="9"/>
      <c r="H492" s="6"/>
      <c r="I492" s="9"/>
      <c r="J492" s="9" t="s">
        <v>145</v>
      </c>
    </row>
    <row r="493" spans="1:10">
      <c r="A493" s="5"/>
      <c r="B493" s="6"/>
      <c r="C493" s="7"/>
      <c r="D493" s="9"/>
      <c r="E493" s="8"/>
      <c r="F493" s="9"/>
      <c r="G493" s="9"/>
      <c r="H493" s="6"/>
      <c r="I493" s="9"/>
      <c r="J493" s="9" t="s">
        <v>145</v>
      </c>
    </row>
    <row r="494" spans="1:10">
      <c r="A494" s="5"/>
      <c r="B494" s="6"/>
      <c r="C494" s="7"/>
      <c r="D494" s="9"/>
      <c r="E494" s="8"/>
      <c r="F494" s="9"/>
      <c r="G494" s="9"/>
      <c r="H494" s="6"/>
      <c r="I494" s="9"/>
      <c r="J494" s="9" t="s">
        <v>145</v>
      </c>
    </row>
    <row r="495" spans="1:10">
      <c r="A495" s="5"/>
      <c r="B495" s="6"/>
      <c r="C495" s="7"/>
      <c r="D495" s="9"/>
      <c r="E495" s="8"/>
      <c r="F495" s="9"/>
      <c r="G495" s="9"/>
      <c r="H495" s="6"/>
      <c r="I495" s="9"/>
      <c r="J495" s="9" t="s">
        <v>145</v>
      </c>
    </row>
    <row r="496" spans="1:10">
      <c r="A496" s="5"/>
      <c r="B496" s="6"/>
      <c r="C496" s="7"/>
      <c r="D496" s="9"/>
      <c r="E496" s="8"/>
      <c r="F496" s="9"/>
      <c r="G496" s="9"/>
      <c r="H496" s="6"/>
      <c r="I496" s="9"/>
      <c r="J496" s="9" t="s">
        <v>145</v>
      </c>
    </row>
    <row r="497" spans="1:10">
      <c r="A497" s="5"/>
      <c r="B497" s="6"/>
      <c r="C497" s="7"/>
      <c r="D497" s="9"/>
      <c r="E497" s="8"/>
      <c r="F497" s="9"/>
      <c r="G497" s="9"/>
      <c r="H497" s="6"/>
      <c r="I497" s="9"/>
      <c r="J497" s="9" t="s">
        <v>145</v>
      </c>
    </row>
    <row r="498" spans="1:10">
      <c r="A498" s="5"/>
      <c r="B498" s="6"/>
      <c r="C498" s="7"/>
      <c r="D498" s="9"/>
      <c r="E498" s="8"/>
      <c r="F498" s="9"/>
      <c r="G498" s="9"/>
      <c r="H498" s="6"/>
      <c r="I498" s="9"/>
      <c r="J498" s="9" t="s">
        <v>145</v>
      </c>
    </row>
    <row r="499" spans="1:10">
      <c r="A499" s="5"/>
      <c r="B499" s="6"/>
      <c r="C499" s="7"/>
      <c r="D499" s="9"/>
      <c r="E499" s="4"/>
      <c r="F499" s="9"/>
      <c r="G499" s="9"/>
      <c r="H499" s="6"/>
      <c r="I499" s="9"/>
      <c r="J499" s="9" t="s">
        <v>145</v>
      </c>
    </row>
    <row r="500" spans="1:10">
      <c r="A500" s="5"/>
      <c r="B500" s="6"/>
      <c r="C500" s="7"/>
      <c r="D500" s="9"/>
      <c r="E500" s="8"/>
      <c r="F500" s="9"/>
      <c r="G500" s="9"/>
      <c r="H500" s="6"/>
      <c r="I500" s="9"/>
      <c r="J500" s="9" t="s">
        <v>145</v>
      </c>
    </row>
    <row r="501" spans="1:10">
      <c r="A501" s="5"/>
      <c r="B501" s="6"/>
      <c r="C501" s="7"/>
      <c r="D501" s="9"/>
      <c r="E501" s="4"/>
      <c r="F501" s="9"/>
      <c r="G501" s="9"/>
      <c r="H501" s="6"/>
      <c r="I501" s="9"/>
      <c r="J501" s="9" t="s">
        <v>145</v>
      </c>
    </row>
    <row r="502" spans="1:10">
      <c r="A502" s="5"/>
      <c r="B502" s="6"/>
      <c r="C502" s="7"/>
      <c r="D502" s="9"/>
      <c r="E502" s="8"/>
      <c r="F502" s="9"/>
      <c r="G502" s="9"/>
      <c r="H502" s="6"/>
      <c r="I502" s="9"/>
      <c r="J502" s="9" t="s">
        <v>145</v>
      </c>
    </row>
    <row r="503" spans="1:10">
      <c r="A503" s="5"/>
      <c r="B503" s="6"/>
      <c r="C503" s="7"/>
      <c r="D503" s="9"/>
      <c r="E503" s="8"/>
      <c r="F503" s="9"/>
      <c r="G503" s="9"/>
      <c r="H503" s="6"/>
      <c r="I503" s="9"/>
      <c r="J503" s="9" t="s">
        <v>145</v>
      </c>
    </row>
    <row r="504" spans="1:10">
      <c r="A504" s="5"/>
      <c r="B504" s="6"/>
      <c r="C504" s="7"/>
      <c r="D504" s="9"/>
      <c r="E504" s="8"/>
      <c r="F504" s="9"/>
      <c r="G504" s="9"/>
      <c r="H504" s="6"/>
      <c r="I504" s="9"/>
      <c r="J504" s="9" t="s">
        <v>145</v>
      </c>
    </row>
    <row r="505" spans="1:10">
      <c r="A505" s="5"/>
      <c r="B505" s="6"/>
      <c r="C505" s="7"/>
      <c r="D505" s="9"/>
      <c r="E505" s="8"/>
      <c r="F505" s="9"/>
      <c r="G505" s="9"/>
      <c r="H505" s="6"/>
      <c r="I505" s="9"/>
      <c r="J505" s="9" t="s">
        <v>145</v>
      </c>
    </row>
    <row r="506" spans="1:10">
      <c r="A506" s="5"/>
      <c r="B506" s="6"/>
      <c r="C506" s="7"/>
      <c r="D506" s="9"/>
      <c r="E506" s="8"/>
      <c r="F506" s="9"/>
      <c r="G506" s="9"/>
      <c r="H506" s="6"/>
      <c r="I506" s="9"/>
      <c r="J506" s="9" t="s">
        <v>145</v>
      </c>
    </row>
    <row r="507" spans="1:10">
      <c r="A507" s="5"/>
      <c r="B507" s="6"/>
      <c r="C507" s="7"/>
      <c r="D507" s="9"/>
      <c r="E507" s="8"/>
      <c r="F507" s="9"/>
      <c r="G507" s="9"/>
      <c r="H507" s="6"/>
      <c r="I507" s="9"/>
      <c r="J507" s="9" t="s">
        <v>145</v>
      </c>
    </row>
    <row r="508" spans="1:10">
      <c r="A508" s="5"/>
      <c r="B508" s="6"/>
      <c r="C508" s="7"/>
      <c r="D508" s="9"/>
      <c r="E508" s="8"/>
      <c r="F508" s="9"/>
      <c r="G508" s="9"/>
      <c r="H508" s="6"/>
      <c r="I508" s="9"/>
      <c r="J508" s="9" t="s">
        <v>145</v>
      </c>
    </row>
    <row r="509" spans="1:10">
      <c r="A509" s="5"/>
      <c r="B509" s="6"/>
      <c r="C509" s="7"/>
      <c r="D509" s="9"/>
      <c r="E509" s="8"/>
      <c r="F509" s="9"/>
      <c r="G509" s="9"/>
      <c r="H509" s="6"/>
      <c r="I509" s="9"/>
      <c r="J509" s="9" t="s">
        <v>145</v>
      </c>
    </row>
    <row r="510" spans="1:10">
      <c r="A510" s="5"/>
      <c r="B510" s="6"/>
      <c r="C510" s="7"/>
      <c r="D510" s="9"/>
      <c r="E510" s="4"/>
      <c r="F510" s="9"/>
      <c r="G510" s="9"/>
      <c r="H510" s="6"/>
      <c r="I510" s="9"/>
      <c r="J510" s="9" t="s">
        <v>145</v>
      </c>
    </row>
    <row r="511" spans="1:10">
      <c r="A511" s="5"/>
      <c r="B511" s="6"/>
      <c r="C511" s="7"/>
      <c r="D511" s="9"/>
      <c r="E511" s="8"/>
      <c r="F511" s="9"/>
      <c r="G511" s="9"/>
      <c r="H511" s="6"/>
      <c r="I511" s="9"/>
      <c r="J511" s="9" t="s">
        <v>145</v>
      </c>
    </row>
    <row r="512" spans="1:10">
      <c r="A512" s="5"/>
      <c r="B512" s="6"/>
      <c r="C512" s="7"/>
      <c r="D512" s="9"/>
      <c r="E512" s="8"/>
      <c r="F512" s="9"/>
      <c r="G512" s="9"/>
      <c r="H512" s="6"/>
      <c r="I512" s="9"/>
      <c r="J512" s="9" t="s">
        <v>145</v>
      </c>
    </row>
    <row r="513" spans="1:10">
      <c r="A513" s="5"/>
      <c r="B513" s="6"/>
      <c r="C513" s="7"/>
      <c r="D513" s="9"/>
      <c r="E513" s="8"/>
      <c r="F513" s="9"/>
      <c r="G513" s="9"/>
      <c r="H513" s="6"/>
      <c r="I513" s="9"/>
      <c r="J513" s="9" t="s">
        <v>145</v>
      </c>
    </row>
    <row r="514" spans="1:10">
      <c r="A514" s="5"/>
      <c r="B514" s="6"/>
      <c r="C514" s="7"/>
      <c r="D514" s="9"/>
      <c r="E514" s="8"/>
      <c r="F514" s="9"/>
      <c r="G514" s="9"/>
      <c r="H514" s="6"/>
      <c r="I514" s="9"/>
      <c r="J514" s="9" t="s">
        <v>145</v>
      </c>
    </row>
    <row r="515" spans="1:10">
      <c r="A515" s="5"/>
      <c r="B515" s="6"/>
      <c r="C515" s="7"/>
      <c r="D515" s="9"/>
      <c r="E515" s="8"/>
      <c r="F515" s="9"/>
      <c r="G515" s="9"/>
      <c r="H515" s="6"/>
      <c r="I515" s="9"/>
      <c r="J515" s="9" t="s">
        <v>145</v>
      </c>
    </row>
    <row r="516" spans="1:10">
      <c r="A516" s="5"/>
      <c r="B516" s="6"/>
      <c r="C516" s="7"/>
      <c r="D516" s="9"/>
      <c r="E516" s="4"/>
      <c r="F516" s="9"/>
      <c r="G516" s="9"/>
      <c r="H516" s="6"/>
      <c r="I516" s="9"/>
      <c r="J516" s="9" t="s">
        <v>145</v>
      </c>
    </row>
    <row r="517" spans="1:10">
      <c r="A517" s="5"/>
      <c r="B517" s="6"/>
      <c r="C517" s="7"/>
      <c r="D517" s="9"/>
      <c r="E517" s="8"/>
      <c r="F517" s="9"/>
      <c r="G517" s="9"/>
      <c r="H517" s="6"/>
      <c r="I517" s="9"/>
      <c r="J517" s="9" t="s">
        <v>145</v>
      </c>
    </row>
    <row r="518" spans="1:10">
      <c r="A518" s="5"/>
      <c r="B518" s="6"/>
      <c r="C518" s="7"/>
      <c r="D518" s="9"/>
      <c r="E518" s="8"/>
      <c r="F518" s="9"/>
      <c r="G518" s="9"/>
      <c r="H518" s="6"/>
      <c r="I518" s="9"/>
      <c r="J518" s="9" t="s">
        <v>145</v>
      </c>
    </row>
    <row r="519" spans="1:10">
      <c r="A519" s="5"/>
      <c r="B519" s="6"/>
      <c r="C519" s="7"/>
      <c r="D519" s="9"/>
      <c r="E519" s="8"/>
      <c r="F519" s="9"/>
      <c r="G519" s="9"/>
      <c r="H519" s="6"/>
      <c r="I519" s="9"/>
      <c r="J519" s="9" t="s">
        <v>145</v>
      </c>
    </row>
    <row r="520" spans="1:10">
      <c r="A520" s="5"/>
      <c r="B520" s="6"/>
      <c r="C520" s="7"/>
      <c r="D520" s="9"/>
      <c r="E520" s="8"/>
      <c r="F520" s="9"/>
      <c r="G520" s="9"/>
      <c r="H520" s="6"/>
      <c r="I520" s="9"/>
      <c r="J520" s="9" t="s">
        <v>145</v>
      </c>
    </row>
    <row r="521" spans="1:10">
      <c r="A521" s="5"/>
      <c r="B521" s="6"/>
      <c r="C521" s="7"/>
      <c r="D521" s="9"/>
      <c r="E521" s="4"/>
      <c r="F521" s="9"/>
      <c r="G521" s="9"/>
      <c r="H521" s="6"/>
      <c r="I521" s="9"/>
      <c r="J521" s="9" t="s">
        <v>145</v>
      </c>
    </row>
    <row r="522" spans="1:10">
      <c r="A522" s="5"/>
      <c r="B522" s="6"/>
      <c r="C522" s="7"/>
      <c r="D522" s="9"/>
      <c r="E522" s="8"/>
      <c r="F522" s="9"/>
      <c r="G522" s="9"/>
      <c r="H522" s="6"/>
      <c r="I522" s="9"/>
      <c r="J522" s="9" t="s">
        <v>145</v>
      </c>
    </row>
    <row r="523" spans="1:10">
      <c r="A523" s="5"/>
      <c r="B523" s="6"/>
      <c r="C523" s="7"/>
      <c r="D523" s="9"/>
      <c r="E523" s="8"/>
      <c r="F523" s="9"/>
      <c r="G523" s="9"/>
      <c r="H523" s="6"/>
      <c r="I523" s="9"/>
      <c r="J523" s="9" t="s">
        <v>145</v>
      </c>
    </row>
    <row r="524" spans="1:10">
      <c r="A524" s="5"/>
      <c r="B524" s="6"/>
      <c r="C524" s="7"/>
      <c r="D524" s="9"/>
      <c r="E524" s="8"/>
      <c r="F524" s="9"/>
      <c r="G524" s="9"/>
      <c r="H524" s="6"/>
      <c r="I524" s="9"/>
      <c r="J524" s="9" t="s">
        <v>145</v>
      </c>
    </row>
    <row r="525" spans="1:10">
      <c r="A525" s="5"/>
      <c r="B525" s="6"/>
      <c r="C525" s="7"/>
      <c r="D525" s="9"/>
      <c r="E525" s="8"/>
      <c r="F525" s="9"/>
      <c r="G525" s="9"/>
      <c r="H525" s="6"/>
      <c r="I525" s="9"/>
      <c r="J525" s="9" t="s">
        <v>145</v>
      </c>
    </row>
    <row r="526" spans="1:10">
      <c r="A526" s="5"/>
      <c r="B526" s="6"/>
      <c r="C526" s="7"/>
      <c r="D526" s="9"/>
      <c r="E526" s="8"/>
      <c r="F526" s="9"/>
      <c r="G526" s="9"/>
      <c r="H526" s="6"/>
      <c r="I526" s="9"/>
      <c r="J526" s="9" t="s">
        <v>145</v>
      </c>
    </row>
    <row r="527" spans="1:10">
      <c r="A527" s="5"/>
      <c r="B527" s="6"/>
      <c r="C527" s="7"/>
      <c r="D527" s="9"/>
      <c r="E527" s="8"/>
      <c r="F527" s="9"/>
      <c r="G527" s="9"/>
      <c r="H527" s="6"/>
      <c r="I527" s="9"/>
      <c r="J527" s="9" t="s">
        <v>145</v>
      </c>
    </row>
    <row r="528" spans="1:10">
      <c r="A528" s="5"/>
      <c r="B528" s="6"/>
      <c r="C528" s="7"/>
      <c r="D528" s="9"/>
      <c r="E528" s="8"/>
      <c r="F528" s="9"/>
      <c r="G528" s="9"/>
      <c r="H528" s="6"/>
      <c r="I528" s="9"/>
      <c r="J528" s="9" t="s">
        <v>145</v>
      </c>
    </row>
    <row r="529" spans="1:10">
      <c r="A529" s="5"/>
      <c r="B529" s="6"/>
      <c r="C529" s="7"/>
      <c r="D529" s="9"/>
      <c r="E529" s="8"/>
      <c r="F529" s="9"/>
      <c r="G529" s="9"/>
      <c r="H529" s="6"/>
      <c r="I529" s="9"/>
      <c r="J529" s="9" t="s">
        <v>145</v>
      </c>
    </row>
    <row r="530" spans="1:10">
      <c r="A530" s="5"/>
      <c r="B530" s="6"/>
      <c r="C530" s="7"/>
      <c r="D530" s="9"/>
      <c r="E530" s="8"/>
      <c r="F530" s="9"/>
      <c r="G530" s="9"/>
      <c r="H530" s="6"/>
      <c r="I530" s="9"/>
      <c r="J530" s="9" t="s">
        <v>145</v>
      </c>
    </row>
    <row r="531" spans="1:10">
      <c r="A531" s="5"/>
      <c r="B531" s="6"/>
      <c r="C531" s="7"/>
      <c r="D531" s="9"/>
      <c r="E531" s="8"/>
      <c r="F531" s="9"/>
      <c r="G531" s="9"/>
      <c r="H531" s="6"/>
      <c r="I531" s="9"/>
      <c r="J531" s="9" t="s">
        <v>145</v>
      </c>
    </row>
    <row r="532" spans="1:10">
      <c r="A532" s="5"/>
      <c r="B532" s="6"/>
      <c r="C532" s="7"/>
      <c r="D532" s="9"/>
      <c r="E532" s="8"/>
      <c r="F532" s="9"/>
      <c r="G532" s="9"/>
      <c r="H532" s="6"/>
      <c r="I532" s="9"/>
      <c r="J532" s="9" t="s">
        <v>145</v>
      </c>
    </row>
    <row r="533" spans="1:10">
      <c r="A533" s="5"/>
      <c r="B533" s="6"/>
      <c r="C533" s="7"/>
      <c r="D533" s="9"/>
      <c r="E533" s="8"/>
      <c r="F533" s="9"/>
      <c r="G533" s="9"/>
      <c r="H533" s="6"/>
      <c r="I533" s="9"/>
      <c r="J533" s="9" t="s">
        <v>145</v>
      </c>
    </row>
    <row r="534" spans="1:10">
      <c r="A534" s="5"/>
      <c r="B534" s="6"/>
      <c r="C534" s="7"/>
      <c r="D534" s="9"/>
      <c r="E534" s="8"/>
      <c r="F534" s="9"/>
      <c r="G534" s="9"/>
      <c r="H534" s="6"/>
      <c r="I534" s="9"/>
      <c r="J534" s="9" t="s">
        <v>145</v>
      </c>
    </row>
    <row r="535" spans="1:10">
      <c r="A535" s="5"/>
      <c r="B535" s="6"/>
      <c r="C535" s="7"/>
      <c r="D535" s="9"/>
      <c r="E535" s="8"/>
      <c r="F535" s="9"/>
      <c r="G535" s="9"/>
      <c r="H535" s="6"/>
      <c r="I535" s="9"/>
      <c r="J535" s="9" t="s">
        <v>145</v>
      </c>
    </row>
    <row r="536" spans="1:10">
      <c r="A536" s="5"/>
      <c r="B536" s="6"/>
      <c r="C536" s="7"/>
      <c r="D536" s="9"/>
      <c r="E536" s="8"/>
      <c r="F536" s="9"/>
      <c r="G536" s="9"/>
      <c r="H536" s="6"/>
      <c r="I536" s="9"/>
      <c r="J536" s="9" t="s">
        <v>145</v>
      </c>
    </row>
    <row r="537" spans="1:10">
      <c r="A537" s="5"/>
      <c r="B537" s="6"/>
      <c r="C537" s="7"/>
      <c r="D537" s="9"/>
      <c r="E537" s="8"/>
      <c r="F537" s="9"/>
      <c r="G537" s="9"/>
      <c r="H537" s="6"/>
      <c r="I537" s="9"/>
      <c r="J537" s="9" t="s">
        <v>145</v>
      </c>
    </row>
    <row r="538" spans="1:10">
      <c r="A538" s="5"/>
      <c r="B538" s="6"/>
      <c r="C538" s="7"/>
      <c r="D538" s="9"/>
      <c r="E538" s="8"/>
      <c r="F538" s="9"/>
      <c r="G538" s="9"/>
      <c r="H538" s="6"/>
      <c r="I538" s="9"/>
      <c r="J538" s="9" t="s">
        <v>145</v>
      </c>
    </row>
    <row r="539" spans="1:10">
      <c r="A539" s="5"/>
      <c r="B539" s="6"/>
      <c r="C539" s="7"/>
      <c r="D539" s="9"/>
      <c r="E539" s="8"/>
      <c r="F539" s="9"/>
      <c r="G539" s="9"/>
      <c r="H539" s="6"/>
      <c r="I539" s="9"/>
      <c r="J539" s="9" t="s">
        <v>145</v>
      </c>
    </row>
    <row r="540" spans="1:10">
      <c r="A540" s="5"/>
      <c r="B540" s="6"/>
      <c r="C540" s="7"/>
      <c r="D540" s="9"/>
      <c r="E540" s="8"/>
      <c r="F540" s="9"/>
      <c r="G540" s="9"/>
      <c r="H540" s="6"/>
      <c r="I540" s="9"/>
      <c r="J540" s="9" t="s">
        <v>145</v>
      </c>
    </row>
    <row r="541" spans="1:10">
      <c r="A541" s="5"/>
      <c r="B541" s="6"/>
      <c r="C541" s="7"/>
      <c r="D541" s="9"/>
      <c r="E541" s="8"/>
      <c r="F541" s="9"/>
      <c r="G541" s="9"/>
      <c r="H541" s="6"/>
      <c r="I541" s="9"/>
      <c r="J541" s="9" t="s">
        <v>145</v>
      </c>
    </row>
    <row r="542" spans="1:10">
      <c r="A542" s="5"/>
      <c r="B542" s="6"/>
      <c r="C542" s="7"/>
      <c r="D542" s="9"/>
      <c r="E542" s="4"/>
      <c r="F542" s="9"/>
      <c r="G542" s="9"/>
      <c r="H542" s="6"/>
      <c r="I542" s="9"/>
      <c r="J542" s="9" t="s">
        <v>145</v>
      </c>
    </row>
    <row r="543" spans="1:10">
      <c r="A543" s="5"/>
      <c r="B543" s="6"/>
      <c r="C543" s="7"/>
      <c r="D543" s="9"/>
      <c r="E543" s="8"/>
      <c r="F543" s="9"/>
      <c r="G543" s="9"/>
      <c r="H543" s="6"/>
      <c r="I543" s="9"/>
      <c r="J543" s="9" t="s">
        <v>145</v>
      </c>
    </row>
    <row r="544" spans="1:10">
      <c r="A544" s="5"/>
      <c r="B544" s="6"/>
      <c r="C544" s="7"/>
      <c r="D544" s="9"/>
      <c r="E544" s="8"/>
      <c r="F544" s="9"/>
      <c r="G544" s="9"/>
      <c r="H544" s="6"/>
      <c r="I544" s="9"/>
      <c r="J544" s="9" t="s">
        <v>145</v>
      </c>
    </row>
    <row r="545" spans="1:10">
      <c r="A545" s="5"/>
      <c r="B545" s="6"/>
      <c r="C545" s="7"/>
      <c r="D545" s="9"/>
      <c r="E545" s="8"/>
      <c r="F545" s="9"/>
      <c r="G545" s="9"/>
      <c r="H545" s="6"/>
      <c r="I545" s="9"/>
      <c r="J545" s="9" t="s">
        <v>145</v>
      </c>
    </row>
    <row r="546" spans="1:10">
      <c r="A546" s="5"/>
      <c r="B546" s="6"/>
      <c r="C546" s="7"/>
      <c r="D546" s="9"/>
      <c r="E546" s="4"/>
      <c r="F546" s="9"/>
      <c r="G546" s="9"/>
      <c r="H546" s="6"/>
      <c r="I546" s="9"/>
      <c r="J546" s="9" t="s">
        <v>145</v>
      </c>
    </row>
    <row r="547" spans="1:10">
      <c r="A547" s="5"/>
      <c r="B547" s="6"/>
      <c r="C547" s="7"/>
      <c r="D547" s="9"/>
      <c r="E547" s="8"/>
      <c r="F547" s="9"/>
      <c r="G547" s="9"/>
      <c r="H547" s="6"/>
      <c r="I547" s="9"/>
      <c r="J547" s="9" t="s">
        <v>145</v>
      </c>
    </row>
    <row r="548" spans="1:10">
      <c r="A548" s="5"/>
      <c r="B548" s="6"/>
      <c r="C548" s="7"/>
      <c r="D548" s="9"/>
      <c r="E548" s="4"/>
      <c r="F548" s="9"/>
      <c r="G548" s="9"/>
      <c r="H548" s="6"/>
      <c r="I548" s="9"/>
      <c r="J548" s="9" t="s">
        <v>145</v>
      </c>
    </row>
    <row r="549" spans="1:10">
      <c r="A549" s="5"/>
      <c r="B549" s="6"/>
      <c r="C549" s="7"/>
      <c r="D549" s="9"/>
      <c r="E549" s="8"/>
      <c r="F549" s="9"/>
      <c r="G549" s="9"/>
      <c r="H549" s="6"/>
      <c r="I549" s="9"/>
      <c r="J549" s="9" t="s">
        <v>145</v>
      </c>
    </row>
    <row r="550" spans="1:10">
      <c r="A550" s="5"/>
      <c r="B550" s="6"/>
      <c r="C550" s="7"/>
      <c r="D550" s="9"/>
      <c r="E550" s="4"/>
      <c r="F550" s="9"/>
      <c r="G550" s="9"/>
      <c r="H550" s="6"/>
      <c r="I550" s="9"/>
      <c r="J550" s="9" t="s">
        <v>145</v>
      </c>
    </row>
    <row r="551" spans="1:10">
      <c r="A551" s="5"/>
      <c r="B551" s="6"/>
      <c r="C551" s="7"/>
      <c r="D551" s="9"/>
      <c r="E551" s="8"/>
      <c r="F551" s="9"/>
      <c r="G551" s="9"/>
      <c r="H551" s="6"/>
      <c r="I551" s="9"/>
      <c r="J551" s="9" t="s">
        <v>145</v>
      </c>
    </row>
    <row r="552" spans="1:10">
      <c r="A552" s="5"/>
      <c r="B552" s="6"/>
      <c r="C552" s="7"/>
      <c r="D552" s="9"/>
      <c r="E552" s="8"/>
      <c r="F552" s="9"/>
      <c r="G552" s="9"/>
      <c r="H552" s="6"/>
      <c r="I552" s="9"/>
      <c r="J552" s="9" t="s">
        <v>145</v>
      </c>
    </row>
    <row r="553" spans="1:10">
      <c r="A553" s="5"/>
      <c r="B553" s="6"/>
      <c r="C553" s="7"/>
      <c r="D553" s="9"/>
      <c r="E553" s="8"/>
      <c r="F553" s="9"/>
      <c r="G553" s="9"/>
      <c r="H553" s="6"/>
      <c r="I553" s="9"/>
      <c r="J553" s="9" t="s">
        <v>145</v>
      </c>
    </row>
    <row r="554" spans="1:10">
      <c r="A554" s="5"/>
      <c r="B554" s="6"/>
      <c r="C554" s="7"/>
      <c r="D554" s="9"/>
      <c r="E554" s="4"/>
      <c r="F554" s="9"/>
      <c r="G554" s="9"/>
      <c r="H554" s="6"/>
      <c r="I554" s="9"/>
      <c r="J554" s="9" t="s">
        <v>145</v>
      </c>
    </row>
    <row r="555" spans="1:10">
      <c r="A555" s="5"/>
      <c r="B555" s="6"/>
      <c r="C555" s="7"/>
      <c r="D555" s="9"/>
      <c r="E555" s="8"/>
      <c r="F555" s="9"/>
      <c r="G555" s="9"/>
      <c r="H555" s="6"/>
      <c r="I555" s="9"/>
      <c r="J555" s="9" t="s">
        <v>145</v>
      </c>
    </row>
    <row r="556" spans="1:10">
      <c r="A556" s="5"/>
      <c r="B556" s="6"/>
      <c r="C556" s="7"/>
      <c r="D556" s="9"/>
      <c r="E556" s="8"/>
      <c r="F556" s="9"/>
      <c r="G556" s="9"/>
      <c r="H556" s="6"/>
      <c r="I556" s="9"/>
      <c r="J556" s="9" t="s">
        <v>145</v>
      </c>
    </row>
    <row r="557" spans="1:10">
      <c r="A557" s="5"/>
      <c r="B557" s="6"/>
      <c r="C557" s="7"/>
      <c r="D557" s="9"/>
      <c r="E557" s="8"/>
      <c r="F557" s="9"/>
      <c r="G557" s="9"/>
      <c r="H557" s="6"/>
      <c r="I557" s="9"/>
      <c r="J557" s="9" t="s">
        <v>145</v>
      </c>
    </row>
    <row r="558" spans="1:10">
      <c r="A558" s="5"/>
      <c r="B558" s="6"/>
      <c r="C558" s="7"/>
      <c r="D558" s="9"/>
      <c r="E558" s="8"/>
      <c r="F558" s="9"/>
      <c r="G558" s="9"/>
      <c r="H558" s="6"/>
      <c r="I558" s="9"/>
      <c r="J558" s="9" t="s">
        <v>145</v>
      </c>
    </row>
    <row r="559" spans="1:10">
      <c r="A559" s="5"/>
      <c r="B559" s="6"/>
      <c r="C559" s="7"/>
      <c r="D559" s="9"/>
      <c r="E559" s="4"/>
      <c r="F559" s="9"/>
      <c r="G559" s="9"/>
      <c r="H559" s="6"/>
      <c r="I559" s="9"/>
      <c r="J559" s="9" t="s">
        <v>145</v>
      </c>
    </row>
    <row r="560" spans="1:10">
      <c r="A560" s="5"/>
      <c r="B560" s="6"/>
      <c r="C560" s="7"/>
      <c r="D560" s="9"/>
      <c r="E560" s="4"/>
      <c r="F560" s="9"/>
      <c r="G560" s="9"/>
      <c r="H560" s="6"/>
      <c r="I560" s="9"/>
      <c r="J560" s="9" t="s">
        <v>145</v>
      </c>
    </row>
    <row r="561" spans="1:10">
      <c r="A561" s="5"/>
      <c r="B561" s="6"/>
      <c r="C561" s="7"/>
      <c r="D561" s="9"/>
      <c r="E561" s="8"/>
      <c r="F561" s="9"/>
      <c r="G561" s="9"/>
      <c r="H561" s="6"/>
      <c r="I561" s="9"/>
      <c r="J561" s="9" t="s">
        <v>145</v>
      </c>
    </row>
    <row r="562" spans="1:10">
      <c r="A562" s="5"/>
      <c r="B562" s="6"/>
      <c r="C562" s="7"/>
      <c r="D562" s="9"/>
      <c r="E562" s="8"/>
      <c r="F562" s="9"/>
      <c r="G562" s="9"/>
      <c r="H562" s="6"/>
      <c r="I562" s="9"/>
      <c r="J562" s="9" t="s">
        <v>145</v>
      </c>
    </row>
    <row r="563" spans="1:10">
      <c r="A563" s="5"/>
      <c r="B563" s="6"/>
      <c r="C563" s="7"/>
      <c r="D563" s="9"/>
      <c r="E563" s="4"/>
      <c r="F563" s="9"/>
      <c r="G563" s="9"/>
      <c r="H563" s="6"/>
      <c r="I563" s="9"/>
      <c r="J563" s="9" t="s">
        <v>145</v>
      </c>
    </row>
    <row r="564" spans="1:10">
      <c r="A564" s="5"/>
      <c r="B564" s="6"/>
      <c r="C564" s="7"/>
      <c r="D564" s="9"/>
      <c r="E564" s="8"/>
      <c r="F564" s="9"/>
      <c r="G564" s="9"/>
      <c r="H564" s="6"/>
      <c r="I564" s="9"/>
      <c r="J564" s="9" t="s">
        <v>145</v>
      </c>
    </row>
    <row r="565" spans="1:10">
      <c r="A565" s="5"/>
      <c r="B565" s="6"/>
      <c r="C565" s="7"/>
      <c r="D565" s="9"/>
      <c r="E565" s="8"/>
      <c r="F565" s="9"/>
      <c r="G565" s="9"/>
      <c r="H565" s="6"/>
      <c r="I565" s="9"/>
      <c r="J565" s="9" t="s">
        <v>145</v>
      </c>
    </row>
    <row r="566" spans="1:10">
      <c r="A566" s="5"/>
      <c r="B566" s="6"/>
      <c r="C566" s="7"/>
      <c r="D566" s="9"/>
      <c r="E566" s="8"/>
      <c r="F566" s="9"/>
      <c r="G566" s="9"/>
      <c r="H566" s="6"/>
      <c r="I566" s="9"/>
      <c r="J566" s="9" t="s">
        <v>145</v>
      </c>
    </row>
    <row r="567" spans="1:10">
      <c r="A567" s="5"/>
      <c r="B567" s="6"/>
      <c r="C567" s="7"/>
      <c r="D567" s="9"/>
      <c r="E567" s="8"/>
      <c r="F567" s="9"/>
      <c r="G567" s="9"/>
      <c r="H567" s="6"/>
      <c r="I567" s="9"/>
      <c r="J567" s="9" t="s">
        <v>145</v>
      </c>
    </row>
    <row r="568" spans="1:10">
      <c r="A568" s="5"/>
      <c r="B568" s="6"/>
      <c r="C568" s="7"/>
      <c r="D568" s="9"/>
      <c r="E568" s="4"/>
      <c r="F568" s="9"/>
      <c r="G568" s="9"/>
      <c r="H568" s="6"/>
      <c r="I568" s="9"/>
      <c r="J568" s="9" t="s">
        <v>145</v>
      </c>
    </row>
    <row r="569" spans="1:10">
      <c r="A569" s="5"/>
      <c r="B569" s="6"/>
      <c r="C569" s="7"/>
      <c r="D569" s="9"/>
      <c r="E569" s="8"/>
      <c r="F569" s="9"/>
      <c r="G569" s="9"/>
      <c r="H569" s="6"/>
      <c r="I569" s="9"/>
      <c r="J569" s="9" t="s">
        <v>145</v>
      </c>
    </row>
    <row r="570" spans="1:10">
      <c r="A570" s="5"/>
      <c r="B570" s="6"/>
      <c r="C570" s="7"/>
      <c r="D570" s="9"/>
      <c r="E570" s="8"/>
      <c r="F570" s="9"/>
      <c r="G570" s="9"/>
      <c r="H570" s="6"/>
      <c r="I570" s="9"/>
      <c r="J570" s="9" t="s">
        <v>145</v>
      </c>
    </row>
    <row r="571" spans="1:10">
      <c r="A571" s="5"/>
      <c r="B571" s="6"/>
      <c r="C571" s="7"/>
      <c r="D571" s="9"/>
      <c r="E571" s="8"/>
      <c r="F571" s="9"/>
      <c r="G571" s="9"/>
      <c r="H571" s="6"/>
      <c r="I571" s="9"/>
      <c r="J571" s="9" t="s">
        <v>145</v>
      </c>
    </row>
    <row r="572" spans="1:10">
      <c r="A572" s="5"/>
      <c r="B572" s="6"/>
      <c r="C572" s="7"/>
      <c r="D572" s="9"/>
      <c r="E572" s="8"/>
      <c r="F572" s="9"/>
      <c r="G572" s="9"/>
      <c r="H572" s="6"/>
      <c r="I572" s="9"/>
      <c r="J572" s="9" t="s">
        <v>145</v>
      </c>
    </row>
    <row r="573" spans="1:10">
      <c r="A573" s="5"/>
      <c r="B573" s="6"/>
      <c r="C573" s="7"/>
      <c r="D573" s="9"/>
      <c r="E573" s="8"/>
      <c r="F573" s="9"/>
      <c r="G573" s="9"/>
      <c r="H573" s="6"/>
      <c r="I573" s="9"/>
      <c r="J573" s="9" t="s">
        <v>145</v>
      </c>
    </row>
    <row r="574" spans="1:10">
      <c r="A574" s="5"/>
      <c r="B574" s="6"/>
      <c r="C574" s="7"/>
      <c r="D574" s="9"/>
      <c r="E574" s="8"/>
      <c r="F574" s="9"/>
      <c r="G574" s="9"/>
      <c r="H574" s="6"/>
      <c r="I574" s="9"/>
      <c r="J574" s="9" t="s">
        <v>145</v>
      </c>
    </row>
    <row r="575" spans="1:10">
      <c r="A575" s="5"/>
      <c r="B575" s="6"/>
      <c r="C575" s="7"/>
      <c r="D575" s="9"/>
      <c r="E575" s="8"/>
      <c r="F575" s="9"/>
      <c r="G575" s="9"/>
      <c r="H575" s="6"/>
      <c r="I575" s="9"/>
      <c r="J575" s="9" t="s">
        <v>145</v>
      </c>
    </row>
    <row r="576" spans="1:10">
      <c r="A576" s="5"/>
      <c r="B576" s="6"/>
      <c r="C576" s="7"/>
      <c r="D576" s="9"/>
      <c r="E576" s="8"/>
      <c r="F576" s="9"/>
      <c r="G576" s="9"/>
      <c r="H576" s="6"/>
      <c r="I576" s="9"/>
      <c r="J576" s="9" t="s">
        <v>145</v>
      </c>
    </row>
    <row r="577" spans="1:10">
      <c r="A577" s="5"/>
      <c r="B577" s="6"/>
      <c r="C577" s="7"/>
      <c r="D577" s="9"/>
      <c r="E577" s="8"/>
      <c r="F577" s="9"/>
      <c r="G577" s="9"/>
      <c r="H577" s="6"/>
      <c r="I577" s="9"/>
      <c r="J577" s="9" t="s">
        <v>145</v>
      </c>
    </row>
    <row r="578" spans="1:10">
      <c r="A578" s="5"/>
      <c r="B578" s="6"/>
      <c r="C578" s="7"/>
      <c r="D578" s="9"/>
      <c r="E578" s="8"/>
      <c r="F578" s="9"/>
      <c r="G578" s="9"/>
      <c r="H578" s="6"/>
      <c r="I578" s="9"/>
      <c r="J578" s="9" t="s">
        <v>145</v>
      </c>
    </row>
    <row r="579" spans="1:10">
      <c r="A579" s="5"/>
      <c r="B579" s="6"/>
      <c r="C579" s="7"/>
      <c r="D579" s="9"/>
      <c r="E579" s="8"/>
      <c r="F579" s="9"/>
      <c r="G579" s="9"/>
      <c r="H579" s="6"/>
      <c r="I579" s="9"/>
      <c r="J579" s="9" t="s">
        <v>145</v>
      </c>
    </row>
    <row r="580" spans="1:10">
      <c r="A580" s="5"/>
      <c r="B580" s="6"/>
      <c r="C580" s="7"/>
      <c r="D580" s="9"/>
      <c r="E580" s="8"/>
      <c r="F580" s="9"/>
      <c r="G580" s="9"/>
      <c r="H580" s="6"/>
      <c r="I580" s="9"/>
      <c r="J580" s="9" t="s">
        <v>145</v>
      </c>
    </row>
    <row r="581" spans="1:10">
      <c r="A581" s="5"/>
      <c r="B581" s="6"/>
      <c r="C581" s="7"/>
      <c r="D581" s="9"/>
      <c r="E581" s="8"/>
      <c r="F581" s="9"/>
      <c r="G581" s="9"/>
      <c r="H581" s="6"/>
      <c r="I581" s="9"/>
      <c r="J581" s="9" t="s">
        <v>145</v>
      </c>
    </row>
    <row r="582" spans="1:10">
      <c r="A582" s="5"/>
      <c r="B582" s="6"/>
      <c r="C582" s="7"/>
      <c r="D582" s="9"/>
      <c r="E582" s="8"/>
      <c r="F582" s="9"/>
      <c r="G582" s="9"/>
      <c r="H582" s="6"/>
      <c r="I582" s="9"/>
      <c r="J582" s="9" t="s">
        <v>145</v>
      </c>
    </row>
    <row r="583" spans="1:10">
      <c r="A583" s="5"/>
      <c r="B583" s="6"/>
      <c r="C583" s="7"/>
      <c r="D583" s="9"/>
      <c r="E583" s="8"/>
      <c r="F583" s="9"/>
      <c r="G583" s="9"/>
      <c r="H583" s="6"/>
      <c r="I583" s="9"/>
      <c r="J583" s="9" t="s">
        <v>145</v>
      </c>
    </row>
    <row r="584" spans="1:10">
      <c r="A584" s="5"/>
      <c r="B584" s="6"/>
      <c r="C584" s="7"/>
      <c r="D584" s="9"/>
      <c r="E584" s="8"/>
      <c r="F584" s="9"/>
      <c r="G584" s="9"/>
      <c r="H584" s="6"/>
      <c r="I584" s="9"/>
      <c r="J584" s="9" t="s">
        <v>145</v>
      </c>
    </row>
    <row r="585" spans="1:10">
      <c r="A585" s="5"/>
      <c r="B585" s="6"/>
      <c r="C585" s="7"/>
      <c r="D585" s="9"/>
      <c r="E585" s="4"/>
      <c r="F585" s="9"/>
      <c r="G585" s="9"/>
      <c r="H585" s="6"/>
      <c r="I585" s="9"/>
      <c r="J585" s="9" t="s">
        <v>145</v>
      </c>
    </row>
    <row r="586" spans="1:10">
      <c r="A586" s="5"/>
      <c r="B586" s="6"/>
      <c r="C586" s="7"/>
      <c r="D586" s="9"/>
      <c r="E586" s="8"/>
      <c r="F586" s="9"/>
      <c r="G586" s="9"/>
      <c r="H586" s="6"/>
      <c r="I586" s="9"/>
      <c r="J586" s="9" t="s">
        <v>145</v>
      </c>
    </row>
    <row r="587" spans="1:10">
      <c r="A587" s="5"/>
      <c r="B587" s="6"/>
      <c r="C587" s="7"/>
      <c r="D587" s="9"/>
      <c r="E587" s="8"/>
      <c r="F587" s="9"/>
      <c r="G587" s="9"/>
      <c r="H587" s="6"/>
      <c r="I587" s="9"/>
      <c r="J587" s="9" t="s">
        <v>145</v>
      </c>
    </row>
    <row r="588" spans="1:10">
      <c r="A588" s="5"/>
      <c r="B588" s="6"/>
      <c r="C588" s="7"/>
      <c r="D588" s="9"/>
      <c r="E588" s="8"/>
      <c r="F588" s="9"/>
      <c r="G588" s="9"/>
      <c r="H588" s="6"/>
      <c r="I588" s="9"/>
      <c r="J588" s="9" t="s">
        <v>145</v>
      </c>
    </row>
    <row r="589" spans="1:10">
      <c r="A589" s="5"/>
      <c r="B589" s="6"/>
      <c r="C589" s="7"/>
      <c r="D589" s="9"/>
      <c r="E589" s="8"/>
      <c r="F589" s="9"/>
      <c r="G589" s="9"/>
      <c r="H589" s="6"/>
      <c r="I589" s="9"/>
      <c r="J589" s="9" t="s">
        <v>145</v>
      </c>
    </row>
    <row r="590" spans="1:10">
      <c r="A590" s="5"/>
      <c r="B590" s="6"/>
      <c r="C590" s="7"/>
      <c r="D590" s="9"/>
      <c r="E590" s="8"/>
      <c r="F590" s="9"/>
      <c r="G590" s="9"/>
      <c r="H590" s="6"/>
      <c r="I590" s="9"/>
      <c r="J590" s="9" t="s">
        <v>145</v>
      </c>
    </row>
    <row r="591" spans="1:10">
      <c r="A591" s="5"/>
      <c r="B591" s="6"/>
      <c r="C591" s="7"/>
      <c r="D591" s="9"/>
      <c r="E591" s="8"/>
      <c r="F591" s="9"/>
      <c r="G591" s="9"/>
      <c r="H591" s="6"/>
      <c r="I591" s="9"/>
      <c r="J591" s="9" t="s">
        <v>145</v>
      </c>
    </row>
    <row r="592" spans="1:10">
      <c r="A592" s="5"/>
      <c r="B592" s="6"/>
      <c r="C592" s="7"/>
      <c r="D592" s="9"/>
      <c r="E592" s="8"/>
      <c r="F592" s="9"/>
      <c r="G592" s="9"/>
      <c r="H592" s="6"/>
      <c r="I592" s="9"/>
      <c r="J592" s="9" t="s">
        <v>145</v>
      </c>
    </row>
    <row r="593" spans="1:10">
      <c r="A593" s="5"/>
      <c r="B593" s="6"/>
      <c r="C593" s="7"/>
      <c r="D593" s="9"/>
      <c r="E593" s="8"/>
      <c r="F593" s="9"/>
      <c r="G593" s="9"/>
      <c r="H593" s="6"/>
      <c r="I593" s="9"/>
      <c r="J593" s="9" t="s">
        <v>145</v>
      </c>
    </row>
    <row r="594" spans="1:10">
      <c r="A594" s="5"/>
      <c r="B594" s="6"/>
      <c r="C594" s="7"/>
      <c r="D594" s="9"/>
      <c r="E594" s="8"/>
      <c r="F594" s="9"/>
      <c r="G594" s="9"/>
      <c r="H594" s="6"/>
      <c r="I594" s="9"/>
      <c r="J594" s="9" t="s">
        <v>145</v>
      </c>
    </row>
    <row r="595" spans="1:10">
      <c r="A595" s="5"/>
      <c r="B595" s="6"/>
      <c r="C595" s="7"/>
      <c r="D595" s="9"/>
      <c r="E595" s="8"/>
      <c r="F595" s="9"/>
      <c r="G595" s="9"/>
      <c r="H595" s="6"/>
      <c r="I595" s="9"/>
      <c r="J595" s="9" t="s">
        <v>145</v>
      </c>
    </row>
    <row r="596" spans="1:10">
      <c r="A596" s="5"/>
      <c r="B596" s="6"/>
      <c r="C596" s="7"/>
      <c r="D596" s="9"/>
      <c r="E596" s="8"/>
      <c r="F596" s="9"/>
      <c r="G596" s="9"/>
      <c r="H596" s="6"/>
      <c r="I596" s="9"/>
      <c r="J596" s="9" t="s">
        <v>145</v>
      </c>
    </row>
    <row r="597" spans="1:10">
      <c r="A597" s="5"/>
      <c r="B597" s="6"/>
      <c r="C597" s="7"/>
      <c r="D597" s="9"/>
      <c r="E597" s="8"/>
      <c r="F597" s="9"/>
      <c r="G597" s="9"/>
      <c r="H597" s="6"/>
      <c r="I597" s="9"/>
      <c r="J597" s="9" t="s">
        <v>145</v>
      </c>
    </row>
    <row r="598" spans="1:10">
      <c r="A598" s="5"/>
      <c r="B598" s="6"/>
      <c r="C598" s="7"/>
      <c r="D598" s="9"/>
      <c r="E598" s="8"/>
      <c r="F598" s="9"/>
      <c r="G598" s="9"/>
      <c r="H598" s="6"/>
      <c r="I598" s="9"/>
      <c r="J598" s="9" t="s">
        <v>145</v>
      </c>
    </row>
    <row r="599" spans="1:10">
      <c r="A599" s="5"/>
      <c r="B599" s="6"/>
      <c r="C599" s="7"/>
      <c r="D599" s="9"/>
      <c r="E599" s="8"/>
      <c r="F599" s="9"/>
      <c r="G599" s="9"/>
      <c r="H599" s="6"/>
      <c r="I599" s="9"/>
      <c r="J599" s="9" t="s">
        <v>145</v>
      </c>
    </row>
    <row r="600" spans="1:10">
      <c r="A600" s="5"/>
      <c r="B600" s="6"/>
      <c r="C600" s="7"/>
      <c r="D600" s="9"/>
      <c r="E600" s="8"/>
      <c r="F600" s="9"/>
      <c r="G600" s="9"/>
      <c r="H600" s="6"/>
      <c r="I600" s="9"/>
      <c r="J600" s="9" t="s">
        <v>145</v>
      </c>
    </row>
    <row r="601" spans="1:10">
      <c r="A601" s="5"/>
      <c r="B601" s="6"/>
      <c r="C601" s="7"/>
      <c r="D601" s="9"/>
      <c r="E601" s="8"/>
      <c r="F601" s="9"/>
      <c r="G601" s="9"/>
      <c r="H601" s="6"/>
      <c r="I601" s="9"/>
      <c r="J601" s="9" t="s">
        <v>145</v>
      </c>
    </row>
    <row r="602" spans="1:10">
      <c r="A602" s="5"/>
      <c r="B602" s="6"/>
      <c r="C602" s="7"/>
      <c r="D602" s="9"/>
      <c r="E602" s="8"/>
      <c r="F602" s="9"/>
      <c r="G602" s="9"/>
      <c r="H602" s="6"/>
      <c r="I602" s="9"/>
      <c r="J602" s="9" t="s">
        <v>145</v>
      </c>
    </row>
    <row r="603" spans="1:10">
      <c r="A603" s="5"/>
      <c r="B603" s="6"/>
      <c r="C603" s="7"/>
      <c r="D603" s="9"/>
      <c r="E603" s="4"/>
      <c r="F603" s="9"/>
      <c r="G603" s="9"/>
      <c r="H603" s="6"/>
      <c r="I603" s="9"/>
      <c r="J603" s="9" t="s">
        <v>145</v>
      </c>
    </row>
    <row r="604" spans="1:10">
      <c r="A604" s="5"/>
      <c r="B604" s="6"/>
      <c r="C604" s="7"/>
      <c r="D604" s="9"/>
      <c r="E604" s="8"/>
      <c r="F604" s="9"/>
      <c r="G604" s="9"/>
      <c r="H604" s="6"/>
      <c r="I604" s="9"/>
      <c r="J604" s="9" t="s">
        <v>145</v>
      </c>
    </row>
    <row r="605" spans="1:10">
      <c r="A605" s="5"/>
      <c r="B605" s="6"/>
      <c r="C605" s="7"/>
      <c r="D605" s="9"/>
      <c r="E605" s="8"/>
      <c r="F605" s="9"/>
      <c r="G605" s="9"/>
      <c r="H605" s="6"/>
      <c r="I605" s="9"/>
      <c r="J605" s="9" t="s">
        <v>145</v>
      </c>
    </row>
    <row r="606" spans="1:10">
      <c r="A606" s="5"/>
      <c r="B606" s="6"/>
      <c r="C606" s="7"/>
      <c r="D606" s="9"/>
      <c r="E606" s="8"/>
      <c r="F606" s="9"/>
      <c r="G606" s="9"/>
      <c r="H606" s="6"/>
      <c r="I606" s="9"/>
      <c r="J606" s="9" t="s">
        <v>145</v>
      </c>
    </row>
    <row r="607" spans="1:10">
      <c r="A607" s="5"/>
      <c r="B607" s="6"/>
      <c r="C607" s="7"/>
      <c r="D607" s="9"/>
      <c r="E607" s="4"/>
      <c r="F607" s="9"/>
      <c r="G607" s="9"/>
      <c r="H607" s="6"/>
      <c r="I607" s="9"/>
      <c r="J607" s="9" t="s">
        <v>145</v>
      </c>
    </row>
    <row r="608" spans="1:10">
      <c r="A608" s="5"/>
      <c r="B608" s="6"/>
      <c r="C608" s="7"/>
      <c r="D608" s="9"/>
      <c r="E608" s="8"/>
      <c r="F608" s="9"/>
      <c r="G608" s="9"/>
      <c r="H608" s="6"/>
      <c r="I608" s="9"/>
      <c r="J608" s="9" t="s">
        <v>145</v>
      </c>
    </row>
    <row r="609" spans="1:10">
      <c r="A609" s="5"/>
      <c r="B609" s="6"/>
      <c r="C609" s="7"/>
      <c r="D609" s="9"/>
      <c r="E609" s="8"/>
      <c r="F609" s="9"/>
      <c r="G609" s="9"/>
      <c r="H609" s="6"/>
      <c r="I609" s="9"/>
      <c r="J609" s="9" t="s">
        <v>145</v>
      </c>
    </row>
    <row r="610" spans="1:10">
      <c r="A610" s="5"/>
      <c r="B610" s="6"/>
      <c r="C610" s="7"/>
      <c r="D610" s="9"/>
      <c r="E610" s="8"/>
      <c r="F610" s="9"/>
      <c r="G610" s="9"/>
      <c r="H610" s="6"/>
      <c r="I610" s="9"/>
      <c r="J610" s="9" t="s">
        <v>145</v>
      </c>
    </row>
    <row r="611" spans="1:10">
      <c r="A611" s="5"/>
      <c r="B611" s="6"/>
      <c r="C611" s="7"/>
      <c r="D611" s="9"/>
      <c r="E611" s="8"/>
      <c r="F611" s="9"/>
      <c r="G611" s="9"/>
      <c r="H611" s="6"/>
      <c r="I611" s="9"/>
      <c r="J611" s="9" t="s">
        <v>145</v>
      </c>
    </row>
    <row r="612" spans="1:10">
      <c r="A612" s="5"/>
      <c r="B612" s="6"/>
      <c r="C612" s="7"/>
      <c r="D612" s="9"/>
      <c r="E612" s="4"/>
      <c r="F612" s="9"/>
      <c r="G612" s="9"/>
      <c r="H612" s="6"/>
      <c r="I612" s="9"/>
      <c r="J612" s="9" t="s">
        <v>145</v>
      </c>
    </row>
    <row r="613" spans="1:10">
      <c r="A613" s="5"/>
      <c r="B613" s="6"/>
      <c r="C613" s="7"/>
      <c r="D613" s="9"/>
      <c r="E613" s="4"/>
      <c r="F613" s="9"/>
      <c r="G613" s="9"/>
      <c r="H613" s="6"/>
      <c r="I613" s="9"/>
      <c r="J613" s="9" t="s">
        <v>145</v>
      </c>
    </row>
    <row r="614" spans="1:10">
      <c r="A614" s="5"/>
      <c r="B614" s="6"/>
      <c r="C614" s="7"/>
      <c r="D614" s="9"/>
      <c r="E614" s="8"/>
      <c r="F614" s="9"/>
      <c r="G614" s="9"/>
      <c r="H614" s="6"/>
      <c r="I614" s="9"/>
      <c r="J614" s="9" t="s">
        <v>145</v>
      </c>
    </row>
    <row r="615" spans="1:10">
      <c r="A615" s="5"/>
      <c r="B615" s="6"/>
      <c r="C615" s="7"/>
      <c r="D615" s="9"/>
      <c r="E615" s="8"/>
      <c r="F615" s="9"/>
      <c r="G615" s="9"/>
      <c r="H615" s="6"/>
      <c r="I615" s="9"/>
      <c r="J615" s="9" t="s">
        <v>145</v>
      </c>
    </row>
    <row r="616" spans="1:10">
      <c r="A616" s="5"/>
      <c r="B616" s="6"/>
      <c r="C616" s="7"/>
      <c r="D616" s="9"/>
      <c r="E616" s="4"/>
      <c r="F616" s="9"/>
      <c r="G616" s="9"/>
      <c r="H616" s="6"/>
      <c r="I616" s="9"/>
      <c r="J616" s="9" t="s">
        <v>145</v>
      </c>
    </row>
    <row r="617" spans="1:10">
      <c r="A617" s="5"/>
      <c r="B617" s="6"/>
      <c r="C617" s="7"/>
      <c r="D617" s="9"/>
      <c r="E617" s="8"/>
      <c r="F617" s="9"/>
      <c r="G617" s="9"/>
      <c r="H617" s="6"/>
      <c r="I617" s="9"/>
      <c r="J617" s="9" t="s">
        <v>145</v>
      </c>
    </row>
    <row r="618" spans="1:10">
      <c r="A618" s="5"/>
      <c r="B618" s="6"/>
      <c r="C618" s="7"/>
      <c r="D618" s="9"/>
      <c r="E618" s="8"/>
      <c r="F618" s="9"/>
      <c r="G618" s="9"/>
      <c r="H618" s="6"/>
      <c r="I618" s="9"/>
      <c r="J618" s="9" t="s">
        <v>145</v>
      </c>
    </row>
    <row r="619" spans="1:10">
      <c r="A619" s="5"/>
      <c r="B619" s="6"/>
      <c r="C619" s="7"/>
      <c r="D619" s="9"/>
      <c r="E619" s="8"/>
      <c r="F619" s="9"/>
      <c r="G619" s="9"/>
      <c r="H619" s="6"/>
      <c r="I619" s="9"/>
      <c r="J619" s="9" t="s">
        <v>145</v>
      </c>
    </row>
    <row r="620" spans="1:10">
      <c r="A620" s="5"/>
      <c r="B620" s="6"/>
      <c r="C620" s="7"/>
      <c r="D620" s="9"/>
      <c r="E620" s="8"/>
      <c r="F620" s="9"/>
      <c r="G620" s="9"/>
      <c r="H620" s="6"/>
      <c r="I620" s="9"/>
      <c r="J620" s="9" t="s">
        <v>145</v>
      </c>
    </row>
    <row r="621" spans="1:10">
      <c r="A621" s="5"/>
      <c r="B621" s="6"/>
      <c r="C621" s="7"/>
      <c r="D621" s="9"/>
      <c r="E621" s="4"/>
      <c r="F621" s="9"/>
      <c r="G621" s="9"/>
      <c r="H621" s="6"/>
      <c r="I621" s="9"/>
      <c r="J621" s="9" t="s">
        <v>145</v>
      </c>
    </row>
    <row r="622" spans="1:10">
      <c r="A622" s="5"/>
      <c r="B622" s="6"/>
      <c r="C622" s="7"/>
      <c r="D622" s="9"/>
      <c r="E622" s="8"/>
      <c r="F622" s="9"/>
      <c r="G622" s="9"/>
      <c r="H622" s="6"/>
      <c r="I622" s="9"/>
      <c r="J622" s="9" t="s">
        <v>145</v>
      </c>
    </row>
    <row r="623" spans="1:10">
      <c r="A623" s="5"/>
      <c r="B623" s="6"/>
      <c r="C623" s="7"/>
      <c r="D623" s="9"/>
      <c r="E623" s="8"/>
      <c r="F623" s="9"/>
      <c r="G623" s="9"/>
      <c r="H623" s="6"/>
      <c r="I623" s="9"/>
      <c r="J623" s="9" t="s">
        <v>145</v>
      </c>
    </row>
    <row r="624" spans="1:10">
      <c r="A624" s="5"/>
      <c r="B624" s="6"/>
      <c r="C624" s="7"/>
      <c r="D624" s="9"/>
      <c r="E624" s="8"/>
      <c r="F624" s="9"/>
      <c r="G624" s="9"/>
      <c r="H624" s="6"/>
      <c r="I624" s="9"/>
      <c r="J624" s="9" t="s">
        <v>145</v>
      </c>
    </row>
    <row r="625" spans="1:10">
      <c r="A625" s="5"/>
      <c r="B625" s="6"/>
      <c r="C625" s="7"/>
      <c r="D625" s="9"/>
      <c r="E625" s="8"/>
      <c r="F625" s="9"/>
      <c r="G625" s="9"/>
      <c r="H625" s="6"/>
      <c r="I625" s="9"/>
      <c r="J625" s="9" t="s">
        <v>145</v>
      </c>
    </row>
    <row r="626" spans="1:10">
      <c r="A626" s="5"/>
      <c r="B626" s="6"/>
      <c r="C626" s="7"/>
      <c r="D626" s="9"/>
      <c r="E626" s="8"/>
      <c r="F626" s="9"/>
      <c r="G626" s="9"/>
      <c r="H626" s="6"/>
      <c r="I626" s="9"/>
      <c r="J626" s="9" t="s">
        <v>145</v>
      </c>
    </row>
    <row r="627" spans="1:10">
      <c r="A627" s="5"/>
      <c r="B627" s="6"/>
      <c r="C627" s="7"/>
      <c r="D627" s="9"/>
      <c r="E627" s="8"/>
      <c r="F627" s="9"/>
      <c r="G627" s="9"/>
      <c r="H627" s="6"/>
      <c r="I627" s="9"/>
      <c r="J627" s="9" t="s">
        <v>145</v>
      </c>
    </row>
    <row r="628" spans="1:10">
      <c r="A628" s="5"/>
      <c r="B628" s="6"/>
      <c r="C628" s="7"/>
      <c r="D628" s="9"/>
      <c r="E628" s="8"/>
      <c r="F628" s="9"/>
      <c r="G628" s="9"/>
      <c r="H628" s="6"/>
      <c r="I628" s="9"/>
      <c r="J628" s="9" t="s">
        <v>145</v>
      </c>
    </row>
    <row r="629" spans="1:10">
      <c r="A629" s="5"/>
      <c r="B629" s="6"/>
      <c r="C629" s="7"/>
      <c r="D629" s="9"/>
      <c r="E629" s="8"/>
      <c r="F629" s="9"/>
      <c r="G629" s="9"/>
      <c r="H629" s="6"/>
      <c r="I629" s="9"/>
      <c r="J629" s="9" t="s">
        <v>145</v>
      </c>
    </row>
    <row r="630" spans="1:10">
      <c r="A630" s="5"/>
      <c r="B630" s="6"/>
      <c r="C630" s="7"/>
      <c r="D630" s="9"/>
      <c r="E630" s="8"/>
      <c r="F630" s="9"/>
      <c r="G630" s="9"/>
      <c r="H630" s="6"/>
      <c r="I630" s="9"/>
      <c r="J630" s="9" t="s">
        <v>145</v>
      </c>
    </row>
    <row r="631" spans="1:10">
      <c r="A631" s="5"/>
      <c r="B631" s="6"/>
      <c r="C631" s="7"/>
      <c r="D631" s="9"/>
      <c r="E631" s="8"/>
      <c r="F631" s="9"/>
      <c r="G631" s="9"/>
      <c r="H631" s="6"/>
      <c r="I631" s="9"/>
      <c r="J631" s="9" t="s">
        <v>145</v>
      </c>
    </row>
    <row r="632" spans="1:10">
      <c r="A632" s="5"/>
      <c r="B632" s="6"/>
      <c r="C632" s="7"/>
      <c r="D632" s="9"/>
      <c r="E632" s="8"/>
      <c r="F632" s="9"/>
      <c r="G632" s="9"/>
      <c r="H632" s="6"/>
      <c r="I632" s="9"/>
      <c r="J632" s="9" t="s">
        <v>145</v>
      </c>
    </row>
    <row r="633" spans="1:10">
      <c r="A633" s="5"/>
      <c r="B633" s="6"/>
      <c r="C633" s="7"/>
      <c r="D633" s="9"/>
      <c r="E633" s="8"/>
      <c r="F633" s="9"/>
      <c r="G633" s="9"/>
      <c r="H633" s="6"/>
      <c r="I633" s="9"/>
      <c r="J633" s="9" t="s">
        <v>145</v>
      </c>
    </row>
    <row r="634" spans="1:10">
      <c r="A634" s="5"/>
      <c r="B634" s="6"/>
      <c r="C634" s="7"/>
      <c r="D634" s="9"/>
      <c r="E634" s="8"/>
      <c r="F634" s="9"/>
      <c r="G634" s="9"/>
      <c r="H634" s="6"/>
      <c r="I634" s="9"/>
      <c r="J634" s="9" t="s">
        <v>145</v>
      </c>
    </row>
    <row r="635" spans="1:10">
      <c r="A635" s="5"/>
      <c r="B635" s="6"/>
      <c r="C635" s="7"/>
      <c r="D635" s="9"/>
      <c r="E635" s="8"/>
      <c r="F635" s="9"/>
      <c r="G635" s="9"/>
      <c r="H635" s="6"/>
      <c r="I635" s="9"/>
      <c r="J635" s="9" t="s">
        <v>145</v>
      </c>
    </row>
    <row r="636" spans="1:10">
      <c r="A636" s="5"/>
      <c r="B636" s="6"/>
      <c r="C636" s="7"/>
      <c r="D636" s="9"/>
      <c r="E636" s="8"/>
      <c r="F636" s="9"/>
      <c r="G636" s="9"/>
      <c r="H636" s="6"/>
      <c r="I636" s="9"/>
      <c r="J636" s="9" t="s">
        <v>145</v>
      </c>
    </row>
    <row r="637" spans="1:10">
      <c r="A637" s="5"/>
      <c r="B637" s="6"/>
      <c r="C637" s="7"/>
      <c r="D637" s="9"/>
      <c r="E637" s="8"/>
      <c r="F637" s="9"/>
      <c r="G637" s="9"/>
      <c r="H637" s="6"/>
      <c r="I637" s="9"/>
      <c r="J637" s="9" t="s">
        <v>145</v>
      </c>
    </row>
    <row r="638" spans="1:10">
      <c r="A638" s="5"/>
      <c r="B638" s="6"/>
      <c r="C638" s="7"/>
      <c r="D638" s="9"/>
      <c r="E638" s="4"/>
      <c r="F638" s="9"/>
      <c r="G638" s="9"/>
      <c r="H638" s="6"/>
      <c r="I638" s="9"/>
      <c r="J638" s="9" t="s">
        <v>145</v>
      </c>
    </row>
    <row r="639" spans="1:10">
      <c r="A639" s="5"/>
      <c r="B639" s="6"/>
      <c r="C639" s="7"/>
      <c r="D639" s="9"/>
      <c r="E639" s="8"/>
      <c r="F639" s="9"/>
      <c r="G639" s="9"/>
      <c r="H639" s="6"/>
      <c r="I639" s="9"/>
      <c r="J639" s="9" t="s">
        <v>145</v>
      </c>
    </row>
    <row r="640" spans="1:10">
      <c r="A640" s="5"/>
      <c r="B640" s="6"/>
      <c r="C640" s="7"/>
      <c r="D640" s="9"/>
      <c r="E640" s="8"/>
      <c r="F640" s="9"/>
      <c r="G640" s="9"/>
      <c r="H640" s="6"/>
      <c r="I640" s="9"/>
      <c r="J640" s="9" t="s">
        <v>145</v>
      </c>
    </row>
    <row r="641" spans="1:10">
      <c r="A641" s="5"/>
      <c r="B641" s="6"/>
      <c r="C641" s="7"/>
      <c r="D641" s="9"/>
      <c r="E641" s="8"/>
      <c r="F641" s="9"/>
      <c r="G641" s="9"/>
      <c r="H641" s="6"/>
      <c r="I641" s="9"/>
      <c r="J641" s="9" t="s">
        <v>145</v>
      </c>
    </row>
    <row r="642" spans="1:10">
      <c r="A642" s="5"/>
      <c r="B642" s="6"/>
      <c r="C642" s="7"/>
      <c r="D642" s="9"/>
      <c r="E642" s="8"/>
      <c r="F642" s="9"/>
      <c r="G642" s="9"/>
      <c r="H642" s="6"/>
      <c r="I642" s="9"/>
      <c r="J642" s="9" t="s">
        <v>145</v>
      </c>
    </row>
    <row r="643" spans="1:10">
      <c r="A643" s="5"/>
      <c r="B643" s="6"/>
      <c r="C643" s="7"/>
      <c r="D643" s="9"/>
      <c r="E643" s="8"/>
      <c r="F643" s="9"/>
      <c r="G643" s="9"/>
      <c r="H643" s="6"/>
      <c r="I643" s="9"/>
      <c r="J643" s="9" t="s">
        <v>145</v>
      </c>
    </row>
    <row r="644" spans="1:10">
      <c r="A644" s="5"/>
      <c r="B644" s="6"/>
      <c r="C644" s="7"/>
      <c r="D644" s="9"/>
      <c r="E644" s="8"/>
      <c r="F644" s="9"/>
      <c r="G644" s="9"/>
      <c r="H644" s="6"/>
      <c r="I644" s="9"/>
      <c r="J644" s="9" t="s">
        <v>145</v>
      </c>
    </row>
    <row r="645" spans="1:10">
      <c r="A645" s="5"/>
      <c r="B645" s="6"/>
      <c r="C645" s="7"/>
      <c r="D645" s="9"/>
      <c r="E645" s="8"/>
      <c r="F645" s="9"/>
      <c r="G645" s="9"/>
      <c r="H645" s="6"/>
      <c r="I645" s="9"/>
      <c r="J645" s="9" t="s">
        <v>145</v>
      </c>
    </row>
    <row r="646" spans="1:10">
      <c r="A646" s="5"/>
      <c r="B646" s="6"/>
      <c r="C646" s="7"/>
      <c r="D646" s="9"/>
      <c r="E646" s="8"/>
      <c r="F646" s="9"/>
      <c r="G646" s="9"/>
      <c r="H646" s="6"/>
      <c r="I646" s="9"/>
      <c r="J646" s="9" t="s">
        <v>145</v>
      </c>
    </row>
    <row r="647" spans="1:10">
      <c r="A647" s="5"/>
      <c r="B647" s="6"/>
      <c r="C647" s="7"/>
      <c r="D647" s="9"/>
      <c r="E647" s="8"/>
      <c r="F647" s="9"/>
      <c r="G647" s="9"/>
      <c r="H647" s="6"/>
      <c r="I647" s="9"/>
      <c r="J647" s="9" t="s">
        <v>145</v>
      </c>
    </row>
    <row r="648" spans="1:10">
      <c r="A648" s="5"/>
      <c r="B648" s="6"/>
      <c r="C648" s="7"/>
      <c r="D648" s="9"/>
      <c r="E648" s="8"/>
      <c r="F648" s="9"/>
      <c r="G648" s="9"/>
      <c r="H648" s="6"/>
      <c r="I648" s="9"/>
      <c r="J648" s="9" t="s">
        <v>145</v>
      </c>
    </row>
    <row r="649" spans="1:10">
      <c r="A649" s="5"/>
      <c r="B649" s="6"/>
      <c r="C649" s="7"/>
      <c r="D649" s="9"/>
      <c r="E649" s="8"/>
      <c r="F649" s="9"/>
      <c r="G649" s="9"/>
      <c r="H649" s="6"/>
      <c r="I649" s="9"/>
      <c r="J649" s="9" t="s">
        <v>145</v>
      </c>
    </row>
    <row r="650" spans="1:10">
      <c r="A650" s="5"/>
      <c r="B650" s="6"/>
      <c r="C650" s="7"/>
      <c r="D650" s="9"/>
      <c r="E650" s="8"/>
      <c r="F650" s="9"/>
      <c r="G650" s="9"/>
      <c r="H650" s="6"/>
      <c r="I650" s="9"/>
      <c r="J650" s="9" t="s">
        <v>145</v>
      </c>
    </row>
    <row r="651" spans="1:10">
      <c r="A651" s="5"/>
      <c r="B651" s="6"/>
      <c r="C651" s="7"/>
      <c r="D651" s="9"/>
      <c r="E651" s="8"/>
      <c r="F651" s="9"/>
      <c r="G651" s="9"/>
      <c r="H651" s="6"/>
      <c r="I651" s="9"/>
      <c r="J651" s="9" t="s">
        <v>145</v>
      </c>
    </row>
    <row r="652" spans="1:10">
      <c r="A652" s="5"/>
      <c r="B652" s="6"/>
      <c r="C652" s="7"/>
      <c r="D652" s="9"/>
      <c r="E652" s="8"/>
      <c r="F652" s="9"/>
      <c r="G652" s="9"/>
      <c r="H652" s="6"/>
      <c r="I652" s="9"/>
      <c r="J652" s="9" t="s">
        <v>145</v>
      </c>
    </row>
    <row r="653" spans="1:10">
      <c r="A653" s="5"/>
      <c r="B653" s="6"/>
      <c r="C653" s="7"/>
      <c r="D653" s="9"/>
      <c r="E653" s="8"/>
      <c r="F653" s="9"/>
      <c r="G653" s="9"/>
      <c r="H653" s="6"/>
      <c r="I653" s="9"/>
      <c r="J653" s="9" t="s">
        <v>145</v>
      </c>
    </row>
    <row r="654" spans="1:10">
      <c r="A654" s="5"/>
      <c r="B654" s="6"/>
      <c r="C654" s="7"/>
      <c r="D654" s="9"/>
      <c r="E654" s="8"/>
      <c r="F654" s="9"/>
      <c r="G654" s="9"/>
      <c r="H654" s="6"/>
      <c r="I654" s="9"/>
      <c r="J654" s="9" t="s">
        <v>145</v>
      </c>
    </row>
  </sheetData>
  <autoFilter ref="A6:M283" xr:uid="{B7411325-D959-40C5-9F01-09913600F1C6}"/>
  <mergeCells count="2">
    <mergeCell ref="A2:J2"/>
    <mergeCell ref="A3:B3"/>
  </mergeCells>
  <phoneticPr fontId="5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33415-76A8-4396-B6D2-34180DD650E8}">
  <dimension ref="A2:M487"/>
  <sheetViews>
    <sheetView workbookViewId="0">
      <selection activeCell="B19" sqref="B19"/>
    </sheetView>
  </sheetViews>
  <sheetFormatPr defaultColWidth="9.81640625" defaultRowHeight="17"/>
  <cols>
    <col min="1" max="1" width="7.81640625" style="10" customWidth="1"/>
    <col min="2" max="2" width="35.81640625" style="3" bestFit="1" customWidth="1"/>
    <col min="3" max="3" width="16.453125" style="10" customWidth="1"/>
    <col min="4" max="4" width="20.1796875" style="10" customWidth="1"/>
    <col min="5" max="5" width="27.453125" style="11" customWidth="1"/>
    <col min="6" max="7" width="10.54296875" style="10" customWidth="1"/>
    <col min="8" max="8" width="52.1796875" style="3" customWidth="1"/>
    <col min="9" max="9" width="8.7265625" style="10" customWidth="1"/>
    <col min="10" max="10" width="20" style="10" hidden="1" customWidth="1"/>
    <col min="11" max="16384" width="9.81640625" style="3"/>
  </cols>
  <sheetData>
    <row r="2" spans="1:13" s="31" customFormat="1" ht="35.15" customHeight="1">
      <c r="A2" s="96"/>
      <c r="B2" s="96"/>
      <c r="C2" s="96"/>
      <c r="D2" s="96"/>
      <c r="E2" s="96"/>
      <c r="F2" s="96"/>
      <c r="G2" s="96"/>
      <c r="H2" s="96"/>
      <c r="I2" s="96"/>
      <c r="J2" s="96"/>
      <c r="K2" s="30"/>
      <c r="L2" s="30"/>
      <c r="M2" s="30"/>
    </row>
    <row r="3" spans="1:13" s="31" customFormat="1" ht="23.15" customHeight="1">
      <c r="A3" s="97" t="s">
        <v>230</v>
      </c>
      <c r="B3" s="97"/>
      <c r="C3" s="32"/>
      <c r="D3" s="33"/>
      <c r="E3" s="32"/>
      <c r="F3" s="32"/>
      <c r="G3" s="32"/>
      <c r="H3" s="32"/>
      <c r="I3" s="32"/>
      <c r="J3" s="32"/>
      <c r="K3" s="32"/>
      <c r="L3" s="32"/>
      <c r="M3" s="34"/>
    </row>
    <row r="4" spans="1:13" ht="5.15" customHeight="1"/>
    <row r="5" spans="1:13">
      <c r="G5" s="10">
        <f>SUBTOTAL(3,G7:G995)</f>
        <v>481</v>
      </c>
    </row>
    <row r="6" spans="1:13" ht="25.5" customHeight="1">
      <c r="A6" s="1" t="s">
        <v>102</v>
      </c>
      <c r="B6" s="2" t="s">
        <v>103</v>
      </c>
      <c r="C6" s="1" t="s">
        <v>104</v>
      </c>
      <c r="D6" s="1" t="s">
        <v>105</v>
      </c>
      <c r="E6" s="2" t="s">
        <v>106</v>
      </c>
      <c r="F6" s="1" t="s">
        <v>107</v>
      </c>
      <c r="G6" s="1" t="s">
        <v>6</v>
      </c>
      <c r="H6" s="1" t="s">
        <v>108</v>
      </c>
      <c r="I6" s="1" t="s">
        <v>109</v>
      </c>
      <c r="J6" s="1" t="s">
        <v>110</v>
      </c>
    </row>
    <row r="7" spans="1:13">
      <c r="A7" s="5" t="s">
        <v>239</v>
      </c>
      <c r="B7" s="6" t="s">
        <v>1538</v>
      </c>
      <c r="C7" s="7">
        <v>46146</v>
      </c>
      <c r="D7" s="9" t="s">
        <v>241</v>
      </c>
      <c r="E7" s="8" t="s">
        <v>992</v>
      </c>
      <c r="F7" s="9" t="s">
        <v>242</v>
      </c>
      <c r="G7" s="9">
        <v>2</v>
      </c>
      <c r="H7" s="6" t="s">
        <v>993</v>
      </c>
      <c r="I7" s="9" t="s">
        <v>628</v>
      </c>
      <c r="J7" s="9" t="s">
        <v>145</v>
      </c>
    </row>
    <row r="8" spans="1:13">
      <c r="A8" s="5" t="s">
        <v>245</v>
      </c>
      <c r="B8" s="6" t="s">
        <v>1538</v>
      </c>
      <c r="C8" s="7">
        <v>46146</v>
      </c>
      <c r="D8" s="9" t="s">
        <v>241</v>
      </c>
      <c r="E8" s="4" t="s">
        <v>29</v>
      </c>
      <c r="F8" s="9" t="s">
        <v>246</v>
      </c>
      <c r="G8" s="9">
        <v>2</v>
      </c>
      <c r="H8" s="6" t="s">
        <v>993</v>
      </c>
      <c r="I8" s="9" t="s">
        <v>628</v>
      </c>
      <c r="J8" s="9" t="s">
        <v>145</v>
      </c>
    </row>
    <row r="9" spans="1:13">
      <c r="A9" s="5" t="s">
        <v>247</v>
      </c>
      <c r="B9" s="6" t="s">
        <v>1538</v>
      </c>
      <c r="C9" s="7">
        <v>46146</v>
      </c>
      <c r="D9" s="9" t="s">
        <v>261</v>
      </c>
      <c r="E9" s="8" t="s">
        <v>62</v>
      </c>
      <c r="F9" s="9" t="s">
        <v>242</v>
      </c>
      <c r="G9" s="9">
        <v>2</v>
      </c>
      <c r="H9" s="6" t="s">
        <v>993</v>
      </c>
      <c r="I9" s="9" t="s">
        <v>628</v>
      </c>
      <c r="J9" s="9" t="s">
        <v>145</v>
      </c>
    </row>
    <row r="10" spans="1:13">
      <c r="A10" s="5" t="s">
        <v>250</v>
      </c>
      <c r="B10" s="6" t="s">
        <v>1538</v>
      </c>
      <c r="C10" s="7">
        <v>46146</v>
      </c>
      <c r="D10" s="9" t="s">
        <v>261</v>
      </c>
      <c r="E10" s="4" t="s">
        <v>281</v>
      </c>
      <c r="F10" s="9" t="s">
        <v>242</v>
      </c>
      <c r="G10" s="9">
        <v>4</v>
      </c>
      <c r="H10" s="6" t="s">
        <v>993</v>
      </c>
      <c r="I10" s="9" t="s">
        <v>628</v>
      </c>
      <c r="J10" s="9" t="s">
        <v>145</v>
      </c>
    </row>
    <row r="11" spans="1:13">
      <c r="A11" s="5" t="s">
        <v>251</v>
      </c>
      <c r="B11" s="6" t="s">
        <v>1539</v>
      </c>
      <c r="C11" s="7">
        <v>46146</v>
      </c>
      <c r="D11" s="9" t="s">
        <v>241</v>
      </c>
      <c r="E11" s="8" t="s">
        <v>992</v>
      </c>
      <c r="F11" s="9" t="s">
        <v>242</v>
      </c>
      <c r="G11" s="9">
        <v>2</v>
      </c>
      <c r="H11" s="6" t="s">
        <v>993</v>
      </c>
      <c r="I11" s="9" t="s">
        <v>628</v>
      </c>
      <c r="J11" s="9" t="s">
        <v>145</v>
      </c>
    </row>
    <row r="12" spans="1:13">
      <c r="A12" s="5" t="s">
        <v>254</v>
      </c>
      <c r="B12" s="6" t="s">
        <v>1539</v>
      </c>
      <c r="C12" s="7">
        <v>46146</v>
      </c>
      <c r="D12" s="9" t="s">
        <v>241</v>
      </c>
      <c r="E12" s="8" t="s">
        <v>29</v>
      </c>
      <c r="F12" s="9" t="s">
        <v>246</v>
      </c>
      <c r="G12" s="9">
        <v>2</v>
      </c>
      <c r="H12" s="6" t="s">
        <v>993</v>
      </c>
      <c r="I12" s="9" t="s">
        <v>628</v>
      </c>
      <c r="J12" s="9" t="s">
        <v>145</v>
      </c>
    </row>
    <row r="13" spans="1:13">
      <c r="A13" s="5" t="s">
        <v>255</v>
      </c>
      <c r="B13" s="6" t="s">
        <v>1539</v>
      </c>
      <c r="C13" s="7">
        <v>46146</v>
      </c>
      <c r="D13" s="9" t="s">
        <v>261</v>
      </c>
      <c r="E13" s="8" t="s">
        <v>62</v>
      </c>
      <c r="F13" s="9" t="s">
        <v>242</v>
      </c>
      <c r="G13" s="9">
        <v>2</v>
      </c>
      <c r="H13" s="6" t="s">
        <v>993</v>
      </c>
      <c r="I13" s="9" t="s">
        <v>628</v>
      </c>
      <c r="J13" s="9" t="s">
        <v>145</v>
      </c>
    </row>
    <row r="14" spans="1:13">
      <c r="A14" s="5" t="s">
        <v>259</v>
      </c>
      <c r="B14" s="6" t="s">
        <v>1539</v>
      </c>
      <c r="C14" s="7">
        <v>46146</v>
      </c>
      <c r="D14" s="9" t="s">
        <v>261</v>
      </c>
      <c r="E14" s="8" t="s">
        <v>281</v>
      </c>
      <c r="F14" s="9" t="s">
        <v>242</v>
      </c>
      <c r="G14" s="9">
        <v>4</v>
      </c>
      <c r="H14" s="6" t="s">
        <v>993</v>
      </c>
      <c r="I14" s="9" t="s">
        <v>628</v>
      </c>
      <c r="J14" s="9" t="s">
        <v>145</v>
      </c>
    </row>
    <row r="15" spans="1:13">
      <c r="A15" s="5" t="s">
        <v>260</v>
      </c>
      <c r="B15" s="6" t="s">
        <v>1540</v>
      </c>
      <c r="C15" s="7">
        <v>46146</v>
      </c>
      <c r="D15" s="9" t="s">
        <v>241</v>
      </c>
      <c r="E15" s="8" t="s">
        <v>992</v>
      </c>
      <c r="F15" s="9" t="s">
        <v>242</v>
      </c>
      <c r="G15" s="9">
        <v>2</v>
      </c>
      <c r="H15" s="6" t="s">
        <v>993</v>
      </c>
      <c r="I15" s="9" t="s">
        <v>628</v>
      </c>
      <c r="J15" s="9" t="s">
        <v>145</v>
      </c>
    </row>
    <row r="16" spans="1:13">
      <c r="A16" s="5" t="s">
        <v>262</v>
      </c>
      <c r="B16" s="6" t="s">
        <v>1540</v>
      </c>
      <c r="C16" s="7">
        <v>46146</v>
      </c>
      <c r="D16" s="9" t="s">
        <v>241</v>
      </c>
      <c r="E16" s="8" t="s">
        <v>29</v>
      </c>
      <c r="F16" s="9" t="s">
        <v>246</v>
      </c>
      <c r="G16" s="9">
        <v>1</v>
      </c>
      <c r="H16" s="6" t="s">
        <v>993</v>
      </c>
      <c r="I16" s="9" t="s">
        <v>628</v>
      </c>
      <c r="J16" s="9" t="s">
        <v>145</v>
      </c>
    </row>
    <row r="17" spans="1:10">
      <c r="A17" s="5" t="s">
        <v>267</v>
      </c>
      <c r="B17" s="6" t="s">
        <v>1540</v>
      </c>
      <c r="C17" s="7">
        <v>46146</v>
      </c>
      <c r="D17" s="9" t="s">
        <v>261</v>
      </c>
      <c r="E17" s="8" t="s">
        <v>62</v>
      </c>
      <c r="F17" s="9" t="s">
        <v>242</v>
      </c>
      <c r="G17" s="9">
        <v>2</v>
      </c>
      <c r="H17" s="6" t="s">
        <v>993</v>
      </c>
      <c r="I17" s="9" t="s">
        <v>628</v>
      </c>
      <c r="J17" s="9" t="s">
        <v>145</v>
      </c>
    </row>
    <row r="18" spans="1:10">
      <c r="A18" s="5" t="s">
        <v>268</v>
      </c>
      <c r="B18" s="6" t="s">
        <v>1540</v>
      </c>
      <c r="C18" s="7">
        <v>46146</v>
      </c>
      <c r="D18" s="9" t="s">
        <v>261</v>
      </c>
      <c r="E18" s="8" t="s">
        <v>281</v>
      </c>
      <c r="F18" s="9" t="s">
        <v>242</v>
      </c>
      <c r="G18" s="9">
        <v>4</v>
      </c>
      <c r="H18" s="6" t="s">
        <v>993</v>
      </c>
      <c r="I18" s="9" t="s">
        <v>628</v>
      </c>
      <c r="J18" s="9" t="s">
        <v>145</v>
      </c>
    </row>
    <row r="19" spans="1:10">
      <c r="A19" s="5" t="s">
        <v>269</v>
      </c>
      <c r="B19" s="6" t="s">
        <v>1541</v>
      </c>
      <c r="C19" s="7">
        <v>46146</v>
      </c>
      <c r="D19" s="9" t="s">
        <v>241</v>
      </c>
      <c r="E19" s="8" t="s">
        <v>992</v>
      </c>
      <c r="F19" s="9" t="s">
        <v>242</v>
      </c>
      <c r="G19" s="9">
        <v>2</v>
      </c>
      <c r="H19" s="6" t="s">
        <v>993</v>
      </c>
      <c r="I19" s="9" t="s">
        <v>628</v>
      </c>
      <c r="J19" s="9" t="s">
        <v>145</v>
      </c>
    </row>
    <row r="20" spans="1:10">
      <c r="A20" s="5" t="s">
        <v>272</v>
      </c>
      <c r="B20" s="6" t="s">
        <v>1541</v>
      </c>
      <c r="C20" s="7">
        <v>46146</v>
      </c>
      <c r="D20" s="9" t="s">
        <v>241</v>
      </c>
      <c r="E20" s="4" t="s">
        <v>29</v>
      </c>
      <c r="F20" s="9" t="s">
        <v>246</v>
      </c>
      <c r="G20" s="9">
        <v>2</v>
      </c>
      <c r="H20" s="6" t="s">
        <v>993</v>
      </c>
      <c r="I20" s="9" t="s">
        <v>628</v>
      </c>
      <c r="J20" s="9" t="s">
        <v>145</v>
      </c>
    </row>
    <row r="21" spans="1:10">
      <c r="A21" s="5" t="s">
        <v>276</v>
      </c>
      <c r="B21" s="6" t="s">
        <v>1541</v>
      </c>
      <c r="C21" s="7">
        <v>46146</v>
      </c>
      <c r="D21" s="9" t="s">
        <v>261</v>
      </c>
      <c r="E21" s="8" t="s">
        <v>62</v>
      </c>
      <c r="F21" s="9" t="s">
        <v>242</v>
      </c>
      <c r="G21" s="9">
        <v>2</v>
      </c>
      <c r="H21" s="6" t="s">
        <v>993</v>
      </c>
      <c r="I21" s="9" t="s">
        <v>628</v>
      </c>
      <c r="J21" s="9" t="s">
        <v>145</v>
      </c>
    </row>
    <row r="22" spans="1:10">
      <c r="A22" s="5" t="s">
        <v>277</v>
      </c>
      <c r="B22" s="6" t="s">
        <v>1541</v>
      </c>
      <c r="C22" s="7">
        <v>46146</v>
      </c>
      <c r="D22" s="9" t="s">
        <v>261</v>
      </c>
      <c r="E22" s="8" t="s">
        <v>281</v>
      </c>
      <c r="F22" s="9" t="s">
        <v>242</v>
      </c>
      <c r="G22" s="9">
        <v>4</v>
      </c>
      <c r="H22" s="6" t="s">
        <v>993</v>
      </c>
      <c r="I22" s="9" t="s">
        <v>628</v>
      </c>
      <c r="J22" s="9" t="s">
        <v>145</v>
      </c>
    </row>
    <row r="23" spans="1:10">
      <c r="A23" s="5" t="s">
        <v>279</v>
      </c>
      <c r="B23" s="6" t="s">
        <v>1542</v>
      </c>
      <c r="C23" s="7">
        <v>46146</v>
      </c>
      <c r="D23" s="9" t="s">
        <v>241</v>
      </c>
      <c r="E23" s="8" t="s">
        <v>992</v>
      </c>
      <c r="F23" s="9" t="s">
        <v>242</v>
      </c>
      <c r="G23" s="9">
        <v>2</v>
      </c>
      <c r="H23" s="6" t="s">
        <v>993</v>
      </c>
      <c r="I23" s="9" t="s">
        <v>628</v>
      </c>
      <c r="J23" s="9" t="s">
        <v>145</v>
      </c>
    </row>
    <row r="24" spans="1:10">
      <c r="A24" s="5" t="s">
        <v>280</v>
      </c>
      <c r="B24" s="6" t="s">
        <v>1542</v>
      </c>
      <c r="C24" s="7">
        <v>46146</v>
      </c>
      <c r="D24" s="9" t="s">
        <v>241</v>
      </c>
      <c r="E24" s="8" t="s">
        <v>29</v>
      </c>
      <c r="F24" s="9" t="s">
        <v>246</v>
      </c>
      <c r="G24" s="9">
        <v>1</v>
      </c>
      <c r="H24" s="6" t="s">
        <v>993</v>
      </c>
      <c r="I24" s="9" t="s">
        <v>628</v>
      </c>
      <c r="J24" s="9" t="s">
        <v>145</v>
      </c>
    </row>
    <row r="25" spans="1:10">
      <c r="A25" s="5" t="s">
        <v>282</v>
      </c>
      <c r="B25" s="6" t="s">
        <v>1542</v>
      </c>
      <c r="C25" s="7">
        <v>46146</v>
      </c>
      <c r="D25" s="9" t="s">
        <v>261</v>
      </c>
      <c r="E25" s="8" t="s">
        <v>62</v>
      </c>
      <c r="F25" s="9" t="s">
        <v>242</v>
      </c>
      <c r="G25" s="9">
        <v>2</v>
      </c>
      <c r="H25" s="6" t="s">
        <v>993</v>
      </c>
      <c r="I25" s="9" t="s">
        <v>628</v>
      </c>
      <c r="J25" s="9" t="s">
        <v>145</v>
      </c>
    </row>
    <row r="26" spans="1:10">
      <c r="A26" s="5" t="s">
        <v>285</v>
      </c>
      <c r="B26" s="6" t="s">
        <v>1542</v>
      </c>
      <c r="C26" s="7">
        <v>46146</v>
      </c>
      <c r="D26" s="9" t="s">
        <v>261</v>
      </c>
      <c r="E26" s="4" t="s">
        <v>281</v>
      </c>
      <c r="F26" s="9" t="s">
        <v>242</v>
      </c>
      <c r="G26" s="9">
        <v>4</v>
      </c>
      <c r="H26" s="6" t="s">
        <v>993</v>
      </c>
      <c r="I26" s="9" t="s">
        <v>628</v>
      </c>
      <c r="J26" s="9" t="s">
        <v>145</v>
      </c>
    </row>
    <row r="27" spans="1:10">
      <c r="A27" s="5" t="s">
        <v>286</v>
      </c>
      <c r="B27" s="6" t="s">
        <v>1543</v>
      </c>
      <c r="C27" s="7">
        <v>46146</v>
      </c>
      <c r="D27" s="9" t="s">
        <v>241</v>
      </c>
      <c r="E27" s="8" t="s">
        <v>992</v>
      </c>
      <c r="F27" s="9" t="s">
        <v>242</v>
      </c>
      <c r="G27" s="9">
        <v>2</v>
      </c>
      <c r="H27" s="6" t="s">
        <v>993</v>
      </c>
      <c r="I27" s="9" t="s">
        <v>628</v>
      </c>
      <c r="J27" s="9" t="s">
        <v>145</v>
      </c>
    </row>
    <row r="28" spans="1:10">
      <c r="A28" s="5" t="s">
        <v>287</v>
      </c>
      <c r="B28" s="6" t="s">
        <v>1543</v>
      </c>
      <c r="C28" s="7">
        <v>46146</v>
      </c>
      <c r="D28" s="9" t="s">
        <v>241</v>
      </c>
      <c r="E28" s="8" t="s">
        <v>29</v>
      </c>
      <c r="F28" s="9" t="s">
        <v>246</v>
      </c>
      <c r="G28" s="9">
        <v>2</v>
      </c>
      <c r="H28" s="6" t="s">
        <v>993</v>
      </c>
      <c r="I28" s="9" t="s">
        <v>628</v>
      </c>
      <c r="J28" s="9" t="s">
        <v>145</v>
      </c>
    </row>
    <row r="29" spans="1:10">
      <c r="A29" s="5" t="s">
        <v>290</v>
      </c>
      <c r="B29" s="6" t="s">
        <v>1543</v>
      </c>
      <c r="C29" s="7">
        <v>46146</v>
      </c>
      <c r="D29" s="9" t="s">
        <v>261</v>
      </c>
      <c r="E29" s="8" t="s">
        <v>62</v>
      </c>
      <c r="F29" s="9" t="s">
        <v>242</v>
      </c>
      <c r="G29" s="9">
        <v>2</v>
      </c>
      <c r="H29" s="6" t="s">
        <v>993</v>
      </c>
      <c r="I29" s="9" t="s">
        <v>628</v>
      </c>
      <c r="J29" s="9" t="s">
        <v>145</v>
      </c>
    </row>
    <row r="30" spans="1:10">
      <c r="A30" s="5" t="s">
        <v>291</v>
      </c>
      <c r="B30" s="6" t="s">
        <v>1543</v>
      </c>
      <c r="C30" s="7">
        <v>46146</v>
      </c>
      <c r="D30" s="9" t="s">
        <v>261</v>
      </c>
      <c r="E30" s="4" t="s">
        <v>281</v>
      </c>
      <c r="F30" s="9" t="s">
        <v>242</v>
      </c>
      <c r="G30" s="9">
        <v>4</v>
      </c>
      <c r="H30" s="6" t="s">
        <v>993</v>
      </c>
      <c r="I30" s="9" t="s">
        <v>628</v>
      </c>
      <c r="J30" s="9" t="s">
        <v>145</v>
      </c>
    </row>
    <row r="31" spans="1:10">
      <c r="A31" s="5" t="s">
        <v>293</v>
      </c>
      <c r="B31" s="6" t="s">
        <v>1544</v>
      </c>
      <c r="C31" s="7">
        <v>46139</v>
      </c>
      <c r="D31" s="9" t="s">
        <v>299</v>
      </c>
      <c r="E31" s="8" t="s">
        <v>376</v>
      </c>
      <c r="F31" s="9" t="s">
        <v>242</v>
      </c>
      <c r="G31" s="9">
        <v>1</v>
      </c>
      <c r="H31" s="6" t="s">
        <v>1545</v>
      </c>
      <c r="I31" s="9" t="s">
        <v>1546</v>
      </c>
      <c r="J31" s="9" t="s">
        <v>145</v>
      </c>
    </row>
    <row r="32" spans="1:10">
      <c r="A32" s="5" t="s">
        <v>294</v>
      </c>
      <c r="B32" s="6" t="s">
        <v>1544</v>
      </c>
      <c r="C32" s="7">
        <v>46139</v>
      </c>
      <c r="D32" s="9" t="s">
        <v>299</v>
      </c>
      <c r="E32" s="8" t="s">
        <v>22</v>
      </c>
      <c r="F32" s="9" t="s">
        <v>246</v>
      </c>
      <c r="G32" s="9">
        <v>1</v>
      </c>
      <c r="H32" s="6" t="s">
        <v>1545</v>
      </c>
      <c r="I32" s="9" t="s">
        <v>1546</v>
      </c>
      <c r="J32" s="9" t="s">
        <v>145</v>
      </c>
    </row>
    <row r="33" spans="1:10">
      <c r="A33" s="5" t="s">
        <v>296</v>
      </c>
      <c r="B33" s="6" t="s">
        <v>1547</v>
      </c>
      <c r="C33" s="7">
        <v>46139</v>
      </c>
      <c r="D33" s="9" t="s">
        <v>241</v>
      </c>
      <c r="E33" s="8" t="s">
        <v>1152</v>
      </c>
      <c r="F33" s="9" t="s">
        <v>242</v>
      </c>
      <c r="G33" s="9">
        <v>1</v>
      </c>
      <c r="H33" s="6" t="s">
        <v>310</v>
      </c>
      <c r="I33" s="9" t="s">
        <v>605</v>
      </c>
      <c r="J33" s="9" t="s">
        <v>145</v>
      </c>
    </row>
    <row r="34" spans="1:10">
      <c r="A34" s="5" t="s">
        <v>297</v>
      </c>
      <c r="B34" s="6" t="s">
        <v>1547</v>
      </c>
      <c r="C34" s="7">
        <v>46139</v>
      </c>
      <c r="D34" s="9" t="s">
        <v>241</v>
      </c>
      <c r="E34" s="8" t="s">
        <v>29</v>
      </c>
      <c r="F34" s="9" t="s">
        <v>246</v>
      </c>
      <c r="G34" s="9">
        <v>1</v>
      </c>
      <c r="H34" s="6" t="s">
        <v>310</v>
      </c>
      <c r="I34" s="9" t="s">
        <v>605</v>
      </c>
      <c r="J34" s="9" t="s">
        <v>145</v>
      </c>
    </row>
    <row r="35" spans="1:10">
      <c r="A35" s="5" t="s">
        <v>300</v>
      </c>
      <c r="B35" s="6" t="s">
        <v>1547</v>
      </c>
      <c r="C35" s="7">
        <v>46139</v>
      </c>
      <c r="D35" s="9" t="s">
        <v>261</v>
      </c>
      <c r="E35" s="8" t="s">
        <v>281</v>
      </c>
      <c r="F35" s="9" t="s">
        <v>242</v>
      </c>
      <c r="G35" s="9">
        <v>2</v>
      </c>
      <c r="H35" s="6" t="s">
        <v>310</v>
      </c>
      <c r="I35" s="9" t="s">
        <v>605</v>
      </c>
      <c r="J35" s="9" t="s">
        <v>145</v>
      </c>
    </row>
    <row r="36" spans="1:10">
      <c r="A36" s="5" t="s">
        <v>301</v>
      </c>
      <c r="B36" s="6" t="s">
        <v>1548</v>
      </c>
      <c r="C36" s="7">
        <v>46139</v>
      </c>
      <c r="D36" s="9" t="s">
        <v>299</v>
      </c>
      <c r="E36" s="8" t="s">
        <v>22</v>
      </c>
      <c r="F36" s="9" t="s">
        <v>242</v>
      </c>
      <c r="G36" s="9">
        <v>1</v>
      </c>
      <c r="H36" s="6" t="s">
        <v>1386</v>
      </c>
      <c r="I36" s="9" t="s">
        <v>266</v>
      </c>
      <c r="J36" s="9" t="s">
        <v>145</v>
      </c>
    </row>
    <row r="37" spans="1:10">
      <c r="A37" s="5" t="s">
        <v>302</v>
      </c>
      <c r="B37" s="6" t="s">
        <v>1548</v>
      </c>
      <c r="C37" s="7">
        <v>46139</v>
      </c>
      <c r="D37" s="9" t="s">
        <v>299</v>
      </c>
      <c r="E37" s="8" t="s">
        <v>22</v>
      </c>
      <c r="F37" s="9" t="s">
        <v>246</v>
      </c>
      <c r="G37" s="9">
        <v>1</v>
      </c>
      <c r="H37" s="6" t="s">
        <v>1386</v>
      </c>
      <c r="I37" s="9" t="s">
        <v>266</v>
      </c>
      <c r="J37" s="9" t="s">
        <v>145</v>
      </c>
    </row>
    <row r="38" spans="1:10">
      <c r="A38" s="5" t="s">
        <v>303</v>
      </c>
      <c r="B38" s="6" t="s">
        <v>1549</v>
      </c>
      <c r="C38" s="7">
        <v>46139</v>
      </c>
      <c r="D38" s="9" t="s">
        <v>299</v>
      </c>
      <c r="E38" s="8" t="s">
        <v>1334</v>
      </c>
      <c r="F38" s="9" t="s">
        <v>242</v>
      </c>
      <c r="G38" s="9">
        <v>1</v>
      </c>
      <c r="H38" s="6" t="s">
        <v>1550</v>
      </c>
      <c r="I38" s="9" t="s">
        <v>329</v>
      </c>
      <c r="J38" s="9" t="s">
        <v>145</v>
      </c>
    </row>
    <row r="39" spans="1:10">
      <c r="A39" s="5" t="s">
        <v>305</v>
      </c>
      <c r="B39" s="6" t="s">
        <v>1549</v>
      </c>
      <c r="C39" s="7">
        <v>46139</v>
      </c>
      <c r="D39" s="9" t="s">
        <v>299</v>
      </c>
      <c r="E39" s="8" t="s">
        <v>1551</v>
      </c>
      <c r="F39" s="9" t="s">
        <v>246</v>
      </c>
      <c r="G39" s="9">
        <v>1</v>
      </c>
      <c r="H39" s="6" t="s">
        <v>1550</v>
      </c>
      <c r="I39" s="9" t="s">
        <v>329</v>
      </c>
      <c r="J39" s="9" t="s">
        <v>145</v>
      </c>
    </row>
    <row r="40" spans="1:10">
      <c r="A40" s="5" t="s">
        <v>306</v>
      </c>
      <c r="B40" s="6" t="s">
        <v>1549</v>
      </c>
      <c r="C40" s="7">
        <v>46139</v>
      </c>
      <c r="D40" s="9" t="s">
        <v>261</v>
      </c>
      <c r="E40" s="8" t="s">
        <v>64</v>
      </c>
      <c r="F40" s="9" t="s">
        <v>242</v>
      </c>
      <c r="G40" s="9">
        <v>4</v>
      </c>
      <c r="H40" s="6" t="s">
        <v>1550</v>
      </c>
      <c r="I40" s="9" t="s">
        <v>329</v>
      </c>
      <c r="J40" s="9" t="s">
        <v>145</v>
      </c>
    </row>
    <row r="41" spans="1:10">
      <c r="A41" s="5" t="s">
        <v>307</v>
      </c>
      <c r="B41" s="6" t="s">
        <v>1549</v>
      </c>
      <c r="C41" s="7">
        <v>46139</v>
      </c>
      <c r="D41" s="9" t="s">
        <v>270</v>
      </c>
      <c r="E41" s="8" t="s">
        <v>271</v>
      </c>
      <c r="F41" s="9" t="s">
        <v>242</v>
      </c>
      <c r="G41" s="9">
        <v>4</v>
      </c>
      <c r="H41" s="6" t="s">
        <v>1550</v>
      </c>
      <c r="I41" s="9" t="s">
        <v>329</v>
      </c>
      <c r="J41" s="9" t="s">
        <v>145</v>
      </c>
    </row>
    <row r="42" spans="1:10">
      <c r="A42" s="5" t="s">
        <v>308</v>
      </c>
      <c r="B42" s="6" t="s">
        <v>1549</v>
      </c>
      <c r="C42" s="7">
        <v>46139</v>
      </c>
      <c r="D42" s="9" t="s">
        <v>503</v>
      </c>
      <c r="E42" s="8" t="s">
        <v>206</v>
      </c>
      <c r="F42" s="9" t="s">
        <v>242</v>
      </c>
      <c r="G42" s="9">
        <v>2</v>
      </c>
      <c r="H42" s="6" t="s">
        <v>1550</v>
      </c>
      <c r="I42" s="9" t="s">
        <v>329</v>
      </c>
      <c r="J42" s="9" t="s">
        <v>145</v>
      </c>
    </row>
    <row r="43" spans="1:10">
      <c r="A43" s="5" t="s">
        <v>312</v>
      </c>
      <c r="B43" s="6" t="s">
        <v>1552</v>
      </c>
      <c r="C43" s="7">
        <v>46140</v>
      </c>
      <c r="D43" s="9" t="s">
        <v>241</v>
      </c>
      <c r="E43" s="8" t="s">
        <v>1152</v>
      </c>
      <c r="F43" s="9" t="s">
        <v>586</v>
      </c>
      <c r="G43" s="9">
        <v>1</v>
      </c>
      <c r="H43" s="6" t="s">
        <v>587</v>
      </c>
      <c r="I43" s="9" t="s">
        <v>253</v>
      </c>
      <c r="J43" s="9" t="s">
        <v>145</v>
      </c>
    </row>
    <row r="44" spans="1:10">
      <c r="A44" s="5" t="s">
        <v>313</v>
      </c>
      <c r="B44" s="6" t="s">
        <v>1552</v>
      </c>
      <c r="C44" s="7">
        <v>46140</v>
      </c>
      <c r="D44" s="9" t="s">
        <v>261</v>
      </c>
      <c r="E44" s="8" t="s">
        <v>281</v>
      </c>
      <c r="F44" s="9" t="s">
        <v>586</v>
      </c>
      <c r="G44" s="9">
        <v>2</v>
      </c>
      <c r="H44" s="6" t="s">
        <v>587</v>
      </c>
      <c r="I44" s="9" t="s">
        <v>253</v>
      </c>
      <c r="J44" s="9" t="s">
        <v>145</v>
      </c>
    </row>
    <row r="45" spans="1:10">
      <c r="A45" s="5" t="s">
        <v>314</v>
      </c>
      <c r="B45" s="6" t="s">
        <v>1517</v>
      </c>
      <c r="C45" s="7">
        <v>46140</v>
      </c>
      <c r="D45" s="9" t="s">
        <v>299</v>
      </c>
      <c r="E45" s="8" t="s">
        <v>376</v>
      </c>
      <c r="F45" s="9" t="s">
        <v>242</v>
      </c>
      <c r="G45" s="9">
        <v>1</v>
      </c>
      <c r="H45" s="6" t="s">
        <v>408</v>
      </c>
      <c r="I45" s="9" t="s">
        <v>514</v>
      </c>
      <c r="J45" s="9" t="s">
        <v>145</v>
      </c>
    </row>
    <row r="46" spans="1:10">
      <c r="A46" s="5" t="s">
        <v>317</v>
      </c>
      <c r="B46" s="6" t="s">
        <v>1517</v>
      </c>
      <c r="C46" s="7">
        <v>46140</v>
      </c>
      <c r="D46" s="9" t="s">
        <v>299</v>
      </c>
      <c r="E46" s="8" t="s">
        <v>376</v>
      </c>
      <c r="F46" s="9" t="s">
        <v>246</v>
      </c>
      <c r="G46" s="9">
        <v>1</v>
      </c>
      <c r="H46" s="6" t="s">
        <v>408</v>
      </c>
      <c r="I46" s="9" t="s">
        <v>514</v>
      </c>
      <c r="J46" s="9" t="s">
        <v>145</v>
      </c>
    </row>
    <row r="47" spans="1:10">
      <c r="A47" s="5" t="s">
        <v>318</v>
      </c>
      <c r="B47" s="6" t="s">
        <v>1553</v>
      </c>
      <c r="C47" s="7">
        <v>46141</v>
      </c>
      <c r="D47" s="9" t="s">
        <v>241</v>
      </c>
      <c r="E47" s="8" t="s">
        <v>1152</v>
      </c>
      <c r="F47" s="9" t="s">
        <v>242</v>
      </c>
      <c r="G47" s="9">
        <v>1</v>
      </c>
      <c r="H47" s="6" t="s">
        <v>615</v>
      </c>
      <c r="I47" s="9" t="s">
        <v>605</v>
      </c>
      <c r="J47" s="9" t="s">
        <v>145</v>
      </c>
    </row>
    <row r="48" spans="1:10">
      <c r="A48" s="5" t="s">
        <v>321</v>
      </c>
      <c r="B48" s="6" t="s">
        <v>1553</v>
      </c>
      <c r="C48" s="7">
        <v>46141</v>
      </c>
      <c r="D48" s="9" t="s">
        <v>241</v>
      </c>
      <c r="E48" s="4" t="s">
        <v>29</v>
      </c>
      <c r="F48" s="9" t="s">
        <v>246</v>
      </c>
      <c r="G48" s="9">
        <v>1</v>
      </c>
      <c r="H48" s="6" t="s">
        <v>615</v>
      </c>
      <c r="I48" s="9" t="s">
        <v>605</v>
      </c>
      <c r="J48" s="9" t="s">
        <v>145</v>
      </c>
    </row>
    <row r="49" spans="1:10">
      <c r="A49" s="5" t="s">
        <v>322</v>
      </c>
      <c r="B49" s="6" t="s">
        <v>1553</v>
      </c>
      <c r="C49" s="7">
        <v>46141</v>
      </c>
      <c r="D49" s="9" t="s">
        <v>261</v>
      </c>
      <c r="E49" s="4" t="s">
        <v>62</v>
      </c>
      <c r="F49" s="9" t="s">
        <v>242</v>
      </c>
      <c r="G49" s="9">
        <v>3</v>
      </c>
      <c r="H49" s="6" t="s">
        <v>615</v>
      </c>
      <c r="I49" s="9" t="s">
        <v>605</v>
      </c>
      <c r="J49" s="9" t="s">
        <v>145</v>
      </c>
    </row>
    <row r="50" spans="1:10">
      <c r="A50" s="5" t="s">
        <v>324</v>
      </c>
      <c r="B50" s="6" t="s">
        <v>1554</v>
      </c>
      <c r="C50" s="7">
        <v>46141</v>
      </c>
      <c r="D50" s="9" t="s">
        <v>241</v>
      </c>
      <c r="E50" s="8" t="s">
        <v>28</v>
      </c>
      <c r="F50" s="9" t="s">
        <v>242</v>
      </c>
      <c r="G50" s="9">
        <v>1</v>
      </c>
      <c r="H50" s="6" t="s">
        <v>243</v>
      </c>
      <c r="I50" s="9" t="s">
        <v>284</v>
      </c>
      <c r="J50" s="9" t="s">
        <v>145</v>
      </c>
    </row>
    <row r="51" spans="1:10">
      <c r="A51" s="5" t="s">
        <v>325</v>
      </c>
      <c r="B51" s="6" t="s">
        <v>1554</v>
      </c>
      <c r="C51" s="7">
        <v>46141</v>
      </c>
      <c r="D51" s="9" t="s">
        <v>241</v>
      </c>
      <c r="E51" s="8" t="s">
        <v>29</v>
      </c>
      <c r="F51" s="9" t="s">
        <v>246</v>
      </c>
      <c r="G51" s="9">
        <v>1</v>
      </c>
      <c r="H51" s="6" t="s">
        <v>243</v>
      </c>
      <c r="I51" s="9" t="s">
        <v>284</v>
      </c>
      <c r="J51" s="9" t="s">
        <v>145</v>
      </c>
    </row>
    <row r="52" spans="1:10">
      <c r="A52" s="5" t="s">
        <v>326</v>
      </c>
      <c r="B52" s="6" t="s">
        <v>1555</v>
      </c>
      <c r="C52" s="7">
        <v>46141</v>
      </c>
      <c r="D52" s="9" t="s">
        <v>241</v>
      </c>
      <c r="E52" s="8" t="s">
        <v>28</v>
      </c>
      <c r="F52" s="9" t="s">
        <v>242</v>
      </c>
      <c r="G52" s="9">
        <v>1</v>
      </c>
      <c r="H52" s="6" t="s">
        <v>243</v>
      </c>
      <c r="I52" s="9" t="s">
        <v>284</v>
      </c>
      <c r="J52" s="9" t="s">
        <v>145</v>
      </c>
    </row>
    <row r="53" spans="1:10">
      <c r="A53" s="5" t="s">
        <v>330</v>
      </c>
      <c r="B53" s="6" t="s">
        <v>1555</v>
      </c>
      <c r="C53" s="7">
        <v>46141</v>
      </c>
      <c r="D53" s="9" t="s">
        <v>241</v>
      </c>
      <c r="E53" s="4" t="s">
        <v>29</v>
      </c>
      <c r="F53" s="9" t="s">
        <v>246</v>
      </c>
      <c r="G53" s="9">
        <v>1</v>
      </c>
      <c r="H53" s="6" t="s">
        <v>243</v>
      </c>
      <c r="I53" s="9" t="s">
        <v>284</v>
      </c>
      <c r="J53" s="9" t="s">
        <v>145</v>
      </c>
    </row>
    <row r="54" spans="1:10">
      <c r="A54" s="5" t="s">
        <v>331</v>
      </c>
      <c r="B54" s="6" t="s">
        <v>1556</v>
      </c>
      <c r="C54" s="7">
        <v>46142</v>
      </c>
      <c r="D54" s="9" t="s">
        <v>241</v>
      </c>
      <c r="E54" s="8" t="s">
        <v>1152</v>
      </c>
      <c r="F54" s="9" t="s">
        <v>242</v>
      </c>
      <c r="G54" s="9">
        <v>1</v>
      </c>
      <c r="H54" s="6" t="s">
        <v>243</v>
      </c>
      <c r="I54" s="9" t="s">
        <v>244</v>
      </c>
      <c r="J54" s="9" t="s">
        <v>145</v>
      </c>
    </row>
    <row r="55" spans="1:10">
      <c r="A55" s="5" t="s">
        <v>332</v>
      </c>
      <c r="B55" s="6" t="s">
        <v>1556</v>
      </c>
      <c r="C55" s="7">
        <v>46142</v>
      </c>
      <c r="D55" s="9" t="s">
        <v>241</v>
      </c>
      <c r="E55" s="4" t="s">
        <v>27</v>
      </c>
      <c r="F55" s="9" t="s">
        <v>246</v>
      </c>
      <c r="G55" s="9">
        <v>1</v>
      </c>
      <c r="H55" s="6" t="s">
        <v>243</v>
      </c>
      <c r="I55" s="9" t="s">
        <v>244</v>
      </c>
      <c r="J55" s="9" t="s">
        <v>145</v>
      </c>
    </row>
    <row r="56" spans="1:10">
      <c r="A56" s="5" t="s">
        <v>334</v>
      </c>
      <c r="B56" s="6" t="s">
        <v>1557</v>
      </c>
      <c r="C56" s="7">
        <v>46142</v>
      </c>
      <c r="D56" s="9" t="s">
        <v>241</v>
      </c>
      <c r="E56" s="8" t="s">
        <v>28</v>
      </c>
      <c r="F56" s="9" t="s">
        <v>242</v>
      </c>
      <c r="G56" s="9">
        <v>1</v>
      </c>
      <c r="H56" s="6" t="s">
        <v>243</v>
      </c>
      <c r="I56" s="9" t="s">
        <v>244</v>
      </c>
      <c r="J56" s="9" t="s">
        <v>145</v>
      </c>
    </row>
    <row r="57" spans="1:10">
      <c r="A57" s="5" t="s">
        <v>335</v>
      </c>
      <c r="B57" s="6" t="s">
        <v>1557</v>
      </c>
      <c r="C57" s="7">
        <v>46142</v>
      </c>
      <c r="D57" s="9" t="s">
        <v>241</v>
      </c>
      <c r="E57" s="4" t="s">
        <v>27</v>
      </c>
      <c r="F57" s="9" t="s">
        <v>246</v>
      </c>
      <c r="G57" s="9">
        <v>1</v>
      </c>
      <c r="H57" s="6" t="s">
        <v>243</v>
      </c>
      <c r="I57" s="9" t="s">
        <v>244</v>
      </c>
      <c r="J57" s="9" t="s">
        <v>145</v>
      </c>
    </row>
    <row r="58" spans="1:10">
      <c r="A58" s="5" t="s">
        <v>338</v>
      </c>
      <c r="B58" s="6" t="s">
        <v>1558</v>
      </c>
      <c r="C58" s="7">
        <v>46142</v>
      </c>
      <c r="D58" s="9" t="s">
        <v>241</v>
      </c>
      <c r="E58" s="8" t="s">
        <v>28</v>
      </c>
      <c r="F58" s="9" t="s">
        <v>242</v>
      </c>
      <c r="G58" s="9">
        <v>1</v>
      </c>
      <c r="H58" s="6" t="s">
        <v>243</v>
      </c>
      <c r="I58" s="9" t="s">
        <v>244</v>
      </c>
      <c r="J58" s="9" t="s">
        <v>145</v>
      </c>
    </row>
    <row r="59" spans="1:10">
      <c r="A59" s="5" t="s">
        <v>339</v>
      </c>
      <c r="B59" s="6" t="s">
        <v>1558</v>
      </c>
      <c r="C59" s="7">
        <v>46142</v>
      </c>
      <c r="D59" s="9" t="s">
        <v>241</v>
      </c>
      <c r="E59" s="8" t="s">
        <v>29</v>
      </c>
      <c r="F59" s="9" t="s">
        <v>246</v>
      </c>
      <c r="G59" s="9">
        <v>1</v>
      </c>
      <c r="H59" s="6" t="s">
        <v>243</v>
      </c>
      <c r="I59" s="9" t="s">
        <v>244</v>
      </c>
      <c r="J59" s="9" t="s">
        <v>145</v>
      </c>
    </row>
    <row r="60" spans="1:10">
      <c r="A60" s="5" t="s">
        <v>342</v>
      </c>
      <c r="B60" s="6" t="s">
        <v>1559</v>
      </c>
      <c r="C60" s="7">
        <v>46142</v>
      </c>
      <c r="D60" s="9" t="s">
        <v>241</v>
      </c>
      <c r="E60" s="8" t="s">
        <v>28</v>
      </c>
      <c r="F60" s="9" t="s">
        <v>242</v>
      </c>
      <c r="G60" s="9">
        <v>1</v>
      </c>
      <c r="H60" s="6" t="s">
        <v>243</v>
      </c>
      <c r="I60" s="9" t="s">
        <v>284</v>
      </c>
      <c r="J60" s="9" t="s">
        <v>145</v>
      </c>
    </row>
    <row r="61" spans="1:10">
      <c r="A61" s="5" t="s">
        <v>343</v>
      </c>
      <c r="B61" s="6" t="s">
        <v>1559</v>
      </c>
      <c r="C61" s="7">
        <v>46142</v>
      </c>
      <c r="D61" s="9" t="s">
        <v>241</v>
      </c>
      <c r="E61" s="8" t="s">
        <v>27</v>
      </c>
      <c r="F61" s="9" t="s">
        <v>246</v>
      </c>
      <c r="G61" s="9">
        <v>1</v>
      </c>
      <c r="H61" s="6" t="s">
        <v>243</v>
      </c>
      <c r="I61" s="9" t="s">
        <v>284</v>
      </c>
      <c r="J61" s="9" t="s">
        <v>145</v>
      </c>
    </row>
    <row r="62" spans="1:10">
      <c r="A62" s="5" t="s">
        <v>345</v>
      </c>
      <c r="B62" s="6" t="s">
        <v>1560</v>
      </c>
      <c r="C62" s="7">
        <v>46142</v>
      </c>
      <c r="D62" s="9" t="s">
        <v>241</v>
      </c>
      <c r="E62" s="8" t="s">
        <v>28</v>
      </c>
      <c r="F62" s="9" t="s">
        <v>242</v>
      </c>
      <c r="G62" s="9">
        <v>1</v>
      </c>
      <c r="H62" s="6" t="s">
        <v>243</v>
      </c>
      <c r="I62" s="9" t="s">
        <v>284</v>
      </c>
      <c r="J62" s="9" t="s">
        <v>145</v>
      </c>
    </row>
    <row r="63" spans="1:10">
      <c r="A63" s="5" t="s">
        <v>346</v>
      </c>
      <c r="B63" s="6" t="s">
        <v>1560</v>
      </c>
      <c r="C63" s="7">
        <v>46142</v>
      </c>
      <c r="D63" s="9" t="s">
        <v>241</v>
      </c>
      <c r="E63" s="4" t="s">
        <v>29</v>
      </c>
      <c r="F63" s="9" t="s">
        <v>246</v>
      </c>
      <c r="G63" s="9">
        <v>1</v>
      </c>
      <c r="H63" s="6" t="s">
        <v>243</v>
      </c>
      <c r="I63" s="9" t="s">
        <v>284</v>
      </c>
      <c r="J63" s="9" t="s">
        <v>145</v>
      </c>
    </row>
    <row r="64" spans="1:10">
      <c r="A64" s="5" t="s">
        <v>349</v>
      </c>
      <c r="B64" s="6" t="s">
        <v>1561</v>
      </c>
      <c r="C64" s="7">
        <v>46146</v>
      </c>
      <c r="D64" s="9" t="s">
        <v>241</v>
      </c>
      <c r="E64" s="8" t="s">
        <v>1152</v>
      </c>
      <c r="F64" s="9" t="s">
        <v>242</v>
      </c>
      <c r="G64" s="9">
        <v>1</v>
      </c>
      <c r="H64" s="6" t="s">
        <v>942</v>
      </c>
      <c r="I64" s="9" t="s">
        <v>284</v>
      </c>
      <c r="J64" s="9" t="s">
        <v>145</v>
      </c>
    </row>
    <row r="65" spans="1:10">
      <c r="A65" s="5" t="s">
        <v>350</v>
      </c>
      <c r="B65" s="6" t="s">
        <v>1561</v>
      </c>
      <c r="C65" s="7">
        <v>46146</v>
      </c>
      <c r="D65" s="9" t="s">
        <v>241</v>
      </c>
      <c r="E65" s="8" t="s">
        <v>29</v>
      </c>
      <c r="F65" s="9" t="s">
        <v>246</v>
      </c>
      <c r="G65" s="9">
        <v>1</v>
      </c>
      <c r="H65" s="6" t="s">
        <v>942</v>
      </c>
      <c r="I65" s="9" t="s">
        <v>284</v>
      </c>
      <c r="J65" s="9" t="s">
        <v>145</v>
      </c>
    </row>
    <row r="66" spans="1:10">
      <c r="A66" s="5" t="s">
        <v>353</v>
      </c>
      <c r="B66" s="6" t="s">
        <v>1562</v>
      </c>
      <c r="C66" s="7">
        <v>46146</v>
      </c>
      <c r="D66" s="9" t="s">
        <v>1</v>
      </c>
      <c r="E66" s="8" t="s">
        <v>16</v>
      </c>
      <c r="F66" s="9" t="s">
        <v>242</v>
      </c>
      <c r="G66" s="9">
        <v>1</v>
      </c>
      <c r="H66" s="6" t="s">
        <v>1370</v>
      </c>
      <c r="I66" s="9" t="s">
        <v>284</v>
      </c>
      <c r="J66" s="9" t="s">
        <v>145</v>
      </c>
    </row>
    <row r="67" spans="1:10">
      <c r="A67" s="5" t="s">
        <v>354</v>
      </c>
      <c r="B67" s="6" t="s">
        <v>1562</v>
      </c>
      <c r="C67" s="7">
        <v>46146</v>
      </c>
      <c r="D67" s="9" t="s">
        <v>1</v>
      </c>
      <c r="E67" s="8" t="s">
        <v>8</v>
      </c>
      <c r="F67" s="9" t="s">
        <v>246</v>
      </c>
      <c r="G67" s="9">
        <v>1</v>
      </c>
      <c r="H67" s="6" t="s">
        <v>1370</v>
      </c>
      <c r="I67" s="9" t="s">
        <v>284</v>
      </c>
      <c r="J67" s="9" t="s">
        <v>145</v>
      </c>
    </row>
    <row r="68" spans="1:10">
      <c r="A68" s="5" t="s">
        <v>355</v>
      </c>
      <c r="B68" s="6" t="s">
        <v>1562</v>
      </c>
      <c r="C68" s="7">
        <v>46146</v>
      </c>
      <c r="D68" s="9" t="s">
        <v>261</v>
      </c>
      <c r="E68" s="8" t="s">
        <v>64</v>
      </c>
      <c r="F68" s="9" t="s">
        <v>242</v>
      </c>
      <c r="G68" s="9">
        <v>4</v>
      </c>
      <c r="H68" s="6" t="s">
        <v>1370</v>
      </c>
      <c r="I68" s="9" t="s">
        <v>284</v>
      </c>
      <c r="J68" s="9" t="s">
        <v>145</v>
      </c>
    </row>
    <row r="69" spans="1:10">
      <c r="A69" s="5" t="s">
        <v>358</v>
      </c>
      <c r="B69" s="6" t="s">
        <v>1562</v>
      </c>
      <c r="C69" s="7">
        <v>46146</v>
      </c>
      <c r="D69" s="9" t="s">
        <v>1024</v>
      </c>
      <c r="E69" s="8" t="s">
        <v>83</v>
      </c>
      <c r="F69" s="9" t="s">
        <v>242</v>
      </c>
      <c r="G69" s="9">
        <v>1</v>
      </c>
      <c r="H69" s="6" t="s">
        <v>1370</v>
      </c>
      <c r="I69" s="9" t="s">
        <v>284</v>
      </c>
      <c r="J69" s="9" t="s">
        <v>145</v>
      </c>
    </row>
    <row r="70" spans="1:10">
      <c r="A70" s="5" t="s">
        <v>359</v>
      </c>
      <c r="B70" s="6" t="s">
        <v>1562</v>
      </c>
      <c r="C70" s="7">
        <v>46146</v>
      </c>
      <c r="D70" s="9" t="s">
        <v>270</v>
      </c>
      <c r="E70" s="8" t="s">
        <v>271</v>
      </c>
      <c r="F70" s="9" t="s">
        <v>242</v>
      </c>
      <c r="G70" s="9">
        <v>4</v>
      </c>
      <c r="H70" s="6" t="s">
        <v>1370</v>
      </c>
      <c r="I70" s="9" t="s">
        <v>284</v>
      </c>
      <c r="J70" s="9" t="s">
        <v>145</v>
      </c>
    </row>
    <row r="71" spans="1:10">
      <c r="A71" s="5" t="s">
        <v>361</v>
      </c>
      <c r="B71" s="6" t="s">
        <v>1562</v>
      </c>
      <c r="C71" s="7">
        <v>46146</v>
      </c>
      <c r="D71" s="9" t="s">
        <v>270</v>
      </c>
      <c r="E71" s="8" t="s">
        <v>663</v>
      </c>
      <c r="F71" s="9" t="s">
        <v>242</v>
      </c>
      <c r="G71" s="9">
        <v>1</v>
      </c>
      <c r="H71" s="6" t="s">
        <v>1370</v>
      </c>
      <c r="I71" s="9" t="s">
        <v>284</v>
      </c>
      <c r="J71" s="9" t="s">
        <v>145</v>
      </c>
    </row>
    <row r="72" spans="1:10">
      <c r="A72" s="5" t="s">
        <v>364</v>
      </c>
      <c r="B72" s="6" t="s">
        <v>1563</v>
      </c>
      <c r="C72" s="7">
        <v>46146</v>
      </c>
      <c r="D72" s="9" t="s">
        <v>564</v>
      </c>
      <c r="E72" s="4" t="s">
        <v>920</v>
      </c>
      <c r="F72" s="9" t="s">
        <v>242</v>
      </c>
      <c r="G72" s="9">
        <v>1</v>
      </c>
      <c r="H72" s="6" t="s">
        <v>1564</v>
      </c>
      <c r="I72" s="9" t="s">
        <v>284</v>
      </c>
      <c r="J72" s="9" t="s">
        <v>145</v>
      </c>
    </row>
    <row r="73" spans="1:10">
      <c r="A73" s="5" t="s">
        <v>365</v>
      </c>
      <c r="B73" s="6" t="s">
        <v>1563</v>
      </c>
      <c r="C73" s="7">
        <v>46146</v>
      </c>
      <c r="D73" s="9" t="s">
        <v>564</v>
      </c>
      <c r="E73" s="8" t="s">
        <v>920</v>
      </c>
      <c r="F73" s="9" t="s">
        <v>246</v>
      </c>
      <c r="G73" s="9">
        <v>1</v>
      </c>
      <c r="H73" s="6" t="s">
        <v>1564</v>
      </c>
      <c r="I73" s="9" t="s">
        <v>284</v>
      </c>
      <c r="J73" s="9" t="s">
        <v>145</v>
      </c>
    </row>
    <row r="74" spans="1:10">
      <c r="A74" s="5" t="s">
        <v>368</v>
      </c>
      <c r="B74" s="6" t="s">
        <v>1563</v>
      </c>
      <c r="C74" s="7">
        <v>46146</v>
      </c>
      <c r="D74" s="9" t="s">
        <v>261</v>
      </c>
      <c r="E74" s="8" t="s">
        <v>64</v>
      </c>
      <c r="F74" s="9" t="s">
        <v>242</v>
      </c>
      <c r="G74" s="9">
        <v>1</v>
      </c>
      <c r="H74" s="6" t="s">
        <v>1564</v>
      </c>
      <c r="I74" s="9" t="s">
        <v>284</v>
      </c>
      <c r="J74" s="9" t="s">
        <v>145</v>
      </c>
    </row>
    <row r="75" spans="1:10">
      <c r="A75" s="5" t="s">
        <v>369</v>
      </c>
      <c r="B75" s="6" t="s">
        <v>1563</v>
      </c>
      <c r="C75" s="7">
        <v>46146</v>
      </c>
      <c r="D75" s="9" t="s">
        <v>270</v>
      </c>
      <c r="E75" s="8" t="s">
        <v>271</v>
      </c>
      <c r="F75" s="9" t="s">
        <v>242</v>
      </c>
      <c r="G75" s="9">
        <v>1</v>
      </c>
      <c r="H75" s="6" t="s">
        <v>1564</v>
      </c>
      <c r="I75" s="9" t="s">
        <v>284</v>
      </c>
      <c r="J75" s="9" t="s">
        <v>145</v>
      </c>
    </row>
    <row r="76" spans="1:10">
      <c r="A76" s="5" t="s">
        <v>370</v>
      </c>
      <c r="B76" s="6" t="s">
        <v>1563</v>
      </c>
      <c r="C76" s="7">
        <v>46146</v>
      </c>
      <c r="D76" s="9" t="s">
        <v>503</v>
      </c>
      <c r="E76" s="8" t="s">
        <v>1429</v>
      </c>
      <c r="F76" s="9" t="s">
        <v>242</v>
      </c>
      <c r="G76" s="9">
        <v>10</v>
      </c>
      <c r="H76" s="6" t="s">
        <v>1564</v>
      </c>
      <c r="I76" s="9" t="s">
        <v>284</v>
      </c>
      <c r="J76" s="9" t="s">
        <v>145</v>
      </c>
    </row>
    <row r="77" spans="1:10">
      <c r="A77" s="5" t="s">
        <v>372</v>
      </c>
      <c r="B77" s="6" t="s">
        <v>1565</v>
      </c>
      <c r="C77" s="7">
        <v>46146</v>
      </c>
      <c r="D77" s="9" t="s">
        <v>299</v>
      </c>
      <c r="E77" s="8" t="s">
        <v>376</v>
      </c>
      <c r="F77" s="9" t="s">
        <v>242</v>
      </c>
      <c r="G77" s="9">
        <v>1</v>
      </c>
      <c r="H77" s="6" t="s">
        <v>423</v>
      </c>
      <c r="I77" s="9" t="s">
        <v>415</v>
      </c>
      <c r="J77" s="9" t="s">
        <v>145</v>
      </c>
    </row>
    <row r="78" spans="1:10">
      <c r="A78" s="5" t="s">
        <v>373</v>
      </c>
      <c r="B78" s="6" t="s">
        <v>1565</v>
      </c>
      <c r="C78" s="7">
        <v>46146</v>
      </c>
      <c r="D78" s="9" t="s">
        <v>299</v>
      </c>
      <c r="E78" s="8" t="s">
        <v>376</v>
      </c>
      <c r="F78" s="9" t="s">
        <v>246</v>
      </c>
      <c r="G78" s="9">
        <v>1</v>
      </c>
      <c r="H78" s="6" t="s">
        <v>423</v>
      </c>
      <c r="I78" s="9" t="s">
        <v>415</v>
      </c>
      <c r="J78" s="9" t="s">
        <v>145</v>
      </c>
    </row>
    <row r="79" spans="1:10">
      <c r="A79" s="5" t="s">
        <v>375</v>
      </c>
      <c r="B79" s="6" t="s">
        <v>1566</v>
      </c>
      <c r="C79" s="7">
        <v>46146</v>
      </c>
      <c r="D79" s="9" t="s">
        <v>241</v>
      </c>
      <c r="E79" s="8" t="s">
        <v>1152</v>
      </c>
      <c r="F79" s="9" t="s">
        <v>242</v>
      </c>
      <c r="G79" s="9">
        <v>1</v>
      </c>
      <c r="H79" s="6" t="s">
        <v>243</v>
      </c>
      <c r="I79" s="9" t="s">
        <v>284</v>
      </c>
      <c r="J79" s="9" t="s">
        <v>145</v>
      </c>
    </row>
    <row r="80" spans="1:10">
      <c r="A80" s="5" t="s">
        <v>377</v>
      </c>
      <c r="B80" s="6" t="s">
        <v>1566</v>
      </c>
      <c r="C80" s="7">
        <v>46146</v>
      </c>
      <c r="D80" s="9" t="s">
        <v>241</v>
      </c>
      <c r="E80" s="4" t="s">
        <v>29</v>
      </c>
      <c r="F80" s="9" t="s">
        <v>246</v>
      </c>
      <c r="G80" s="9">
        <v>1</v>
      </c>
      <c r="H80" s="6" t="s">
        <v>243</v>
      </c>
      <c r="I80" s="9" t="s">
        <v>284</v>
      </c>
      <c r="J80" s="9" t="s">
        <v>145</v>
      </c>
    </row>
    <row r="81" spans="1:10">
      <c r="A81" s="5" t="s">
        <v>378</v>
      </c>
      <c r="B81" s="6" t="s">
        <v>1567</v>
      </c>
      <c r="C81" s="7">
        <v>46146</v>
      </c>
      <c r="D81" s="9" t="s">
        <v>241</v>
      </c>
      <c r="E81" s="8" t="s">
        <v>1152</v>
      </c>
      <c r="F81" s="9" t="s">
        <v>242</v>
      </c>
      <c r="G81" s="9">
        <v>1</v>
      </c>
      <c r="H81" s="6" t="s">
        <v>243</v>
      </c>
      <c r="I81" s="9" t="s">
        <v>605</v>
      </c>
      <c r="J81" s="9" t="s">
        <v>145</v>
      </c>
    </row>
    <row r="82" spans="1:10">
      <c r="A82" s="5" t="s">
        <v>379</v>
      </c>
      <c r="B82" s="6" t="s">
        <v>1567</v>
      </c>
      <c r="C82" s="7">
        <v>46146</v>
      </c>
      <c r="D82" s="9" t="s">
        <v>241</v>
      </c>
      <c r="E82" s="8" t="s">
        <v>27</v>
      </c>
      <c r="F82" s="9" t="s">
        <v>246</v>
      </c>
      <c r="G82" s="9">
        <v>1</v>
      </c>
      <c r="H82" s="6" t="s">
        <v>243</v>
      </c>
      <c r="I82" s="9" t="s">
        <v>605</v>
      </c>
      <c r="J82" s="9" t="s">
        <v>145</v>
      </c>
    </row>
    <row r="83" spans="1:10">
      <c r="A83" s="5" t="s">
        <v>381</v>
      </c>
      <c r="B83" s="6" t="s">
        <v>1568</v>
      </c>
      <c r="C83" s="7">
        <v>46146</v>
      </c>
      <c r="D83" s="9" t="s">
        <v>264</v>
      </c>
      <c r="E83" s="8" t="s">
        <v>38</v>
      </c>
      <c r="F83" s="9" t="s">
        <v>242</v>
      </c>
      <c r="G83" s="9">
        <v>1</v>
      </c>
      <c r="H83" s="6" t="s">
        <v>1569</v>
      </c>
      <c r="I83" s="9" t="s">
        <v>258</v>
      </c>
      <c r="J83" s="9" t="s">
        <v>145</v>
      </c>
    </row>
    <row r="84" spans="1:10">
      <c r="A84" s="5" t="s">
        <v>382</v>
      </c>
      <c r="B84" s="6" t="s">
        <v>1568</v>
      </c>
      <c r="C84" s="7">
        <v>46146</v>
      </c>
      <c r="D84" s="9" t="s">
        <v>264</v>
      </c>
      <c r="E84" s="8" t="s">
        <v>36</v>
      </c>
      <c r="F84" s="9" t="s">
        <v>246</v>
      </c>
      <c r="G84" s="9">
        <v>1</v>
      </c>
      <c r="H84" s="6" t="s">
        <v>1569</v>
      </c>
      <c r="I84" s="9" t="s">
        <v>258</v>
      </c>
      <c r="J84" s="9" t="s">
        <v>145</v>
      </c>
    </row>
    <row r="85" spans="1:10">
      <c r="A85" s="5" t="s">
        <v>384</v>
      </c>
      <c r="B85" s="6" t="s">
        <v>1568</v>
      </c>
      <c r="C85" s="7">
        <v>46146</v>
      </c>
      <c r="D85" s="9" t="s">
        <v>261</v>
      </c>
      <c r="E85" s="8" t="s">
        <v>64</v>
      </c>
      <c r="F85" s="9" t="s">
        <v>242</v>
      </c>
      <c r="G85" s="9">
        <v>2</v>
      </c>
      <c r="H85" s="6" t="s">
        <v>1569</v>
      </c>
      <c r="I85" s="9" t="s">
        <v>258</v>
      </c>
      <c r="J85" s="9" t="s">
        <v>145</v>
      </c>
    </row>
    <row r="86" spans="1:10">
      <c r="A86" s="5" t="s">
        <v>385</v>
      </c>
      <c r="B86" s="6" t="s">
        <v>1568</v>
      </c>
      <c r="C86" s="7">
        <v>46146</v>
      </c>
      <c r="D86" s="9" t="s">
        <v>270</v>
      </c>
      <c r="E86" s="8" t="s">
        <v>271</v>
      </c>
      <c r="F86" s="9" t="s">
        <v>242</v>
      </c>
      <c r="G86" s="9">
        <v>2</v>
      </c>
      <c r="H86" s="6" t="s">
        <v>1569</v>
      </c>
      <c r="I86" s="9" t="s">
        <v>258</v>
      </c>
      <c r="J86" s="9" t="s">
        <v>145</v>
      </c>
    </row>
    <row r="87" spans="1:10">
      <c r="A87" s="5" t="s">
        <v>389</v>
      </c>
      <c r="B87" s="6" t="s">
        <v>1568</v>
      </c>
      <c r="C87" s="7">
        <v>46146</v>
      </c>
      <c r="D87" s="9" t="s">
        <v>503</v>
      </c>
      <c r="E87" s="8" t="s">
        <v>76</v>
      </c>
      <c r="F87" s="9" t="s">
        <v>242</v>
      </c>
      <c r="G87" s="9">
        <v>2</v>
      </c>
      <c r="H87" s="6" t="s">
        <v>1569</v>
      </c>
      <c r="I87" s="9" t="s">
        <v>258</v>
      </c>
      <c r="J87" s="9" t="s">
        <v>145</v>
      </c>
    </row>
    <row r="88" spans="1:10">
      <c r="A88" s="5" t="s">
        <v>390</v>
      </c>
      <c r="B88" s="6" t="s">
        <v>1570</v>
      </c>
      <c r="C88" s="7">
        <v>46146</v>
      </c>
      <c r="D88" s="9" t="s">
        <v>299</v>
      </c>
      <c r="E88" s="8" t="s">
        <v>22</v>
      </c>
      <c r="F88" s="9" t="s">
        <v>242</v>
      </c>
      <c r="G88" s="9">
        <v>1</v>
      </c>
      <c r="H88" s="6" t="s">
        <v>423</v>
      </c>
      <c r="I88" s="9" t="s">
        <v>258</v>
      </c>
      <c r="J88" s="9" t="s">
        <v>145</v>
      </c>
    </row>
    <row r="89" spans="1:10">
      <c r="A89" s="5" t="s">
        <v>391</v>
      </c>
      <c r="B89" s="6" t="s">
        <v>1570</v>
      </c>
      <c r="C89" s="7">
        <v>46146</v>
      </c>
      <c r="D89" s="9" t="s">
        <v>299</v>
      </c>
      <c r="E89" s="8" t="s">
        <v>22</v>
      </c>
      <c r="F89" s="9" t="s">
        <v>246</v>
      </c>
      <c r="G89" s="9">
        <v>1</v>
      </c>
      <c r="H89" s="6" t="s">
        <v>423</v>
      </c>
      <c r="I89" s="9" t="s">
        <v>258</v>
      </c>
      <c r="J89" s="9" t="s">
        <v>145</v>
      </c>
    </row>
    <row r="90" spans="1:10">
      <c r="A90" s="5" t="s">
        <v>393</v>
      </c>
      <c r="B90" s="6" t="s">
        <v>1571</v>
      </c>
      <c r="C90" s="7">
        <v>46146</v>
      </c>
      <c r="D90" s="9" t="s">
        <v>241</v>
      </c>
      <c r="E90" s="8" t="s">
        <v>1152</v>
      </c>
      <c r="F90" s="9" t="s">
        <v>242</v>
      </c>
      <c r="G90" s="9">
        <v>1</v>
      </c>
      <c r="H90" s="6" t="s">
        <v>931</v>
      </c>
      <c r="I90" s="9" t="s">
        <v>357</v>
      </c>
      <c r="J90" s="9" t="s">
        <v>145</v>
      </c>
    </row>
    <row r="91" spans="1:10">
      <c r="A91" s="5" t="s">
        <v>394</v>
      </c>
      <c r="B91" s="6" t="s">
        <v>1571</v>
      </c>
      <c r="C91" s="7">
        <v>46146</v>
      </c>
      <c r="D91" s="9" t="s">
        <v>241</v>
      </c>
      <c r="E91" s="8" t="s">
        <v>29</v>
      </c>
      <c r="F91" s="9" t="s">
        <v>246</v>
      </c>
      <c r="G91" s="9">
        <v>1</v>
      </c>
      <c r="H91" s="6" t="s">
        <v>931</v>
      </c>
      <c r="I91" s="9" t="s">
        <v>357</v>
      </c>
      <c r="J91" s="9" t="s">
        <v>145</v>
      </c>
    </row>
    <row r="92" spans="1:10">
      <c r="A92" s="5" t="s">
        <v>396</v>
      </c>
      <c r="B92" s="6" t="s">
        <v>1571</v>
      </c>
      <c r="C92" s="7">
        <v>46146</v>
      </c>
      <c r="D92" s="9" t="s">
        <v>261</v>
      </c>
      <c r="E92" s="8" t="s">
        <v>281</v>
      </c>
      <c r="F92" s="9" t="s">
        <v>242</v>
      </c>
      <c r="G92" s="9">
        <v>3</v>
      </c>
      <c r="H92" s="6" t="s">
        <v>931</v>
      </c>
      <c r="I92" s="9" t="s">
        <v>357</v>
      </c>
      <c r="J92" s="9" t="s">
        <v>145</v>
      </c>
    </row>
    <row r="93" spans="1:10">
      <c r="A93" s="5" t="s">
        <v>398</v>
      </c>
      <c r="B93" s="6" t="s">
        <v>1572</v>
      </c>
      <c r="C93" s="7">
        <v>46146</v>
      </c>
      <c r="D93" s="9" t="s">
        <v>299</v>
      </c>
      <c r="E93" s="4" t="s">
        <v>24</v>
      </c>
      <c r="F93" s="9" t="s">
        <v>242</v>
      </c>
      <c r="G93" s="9">
        <v>1</v>
      </c>
      <c r="H93" s="6" t="s">
        <v>1573</v>
      </c>
      <c r="I93" s="9" t="s">
        <v>258</v>
      </c>
      <c r="J93" s="9" t="s">
        <v>145</v>
      </c>
    </row>
    <row r="94" spans="1:10">
      <c r="A94" s="5" t="s">
        <v>399</v>
      </c>
      <c r="B94" s="6" t="s">
        <v>1572</v>
      </c>
      <c r="C94" s="7">
        <v>46146</v>
      </c>
      <c r="D94" s="9" t="s">
        <v>299</v>
      </c>
      <c r="E94" s="8" t="s">
        <v>376</v>
      </c>
      <c r="F94" s="9" t="s">
        <v>246</v>
      </c>
      <c r="G94" s="9">
        <v>1</v>
      </c>
      <c r="H94" s="6" t="s">
        <v>1573</v>
      </c>
      <c r="I94" s="9" t="s">
        <v>258</v>
      </c>
      <c r="J94" s="9" t="s">
        <v>145</v>
      </c>
    </row>
    <row r="95" spans="1:10">
      <c r="A95" s="5" t="s">
        <v>401</v>
      </c>
      <c r="B95" s="6" t="s">
        <v>1572</v>
      </c>
      <c r="C95" s="7">
        <v>46146</v>
      </c>
      <c r="D95" s="9" t="s">
        <v>261</v>
      </c>
      <c r="E95" s="8" t="s">
        <v>64</v>
      </c>
      <c r="F95" s="9" t="s">
        <v>242</v>
      </c>
      <c r="G95" s="9">
        <v>3</v>
      </c>
      <c r="H95" s="6" t="s">
        <v>1573</v>
      </c>
      <c r="I95" s="9" t="s">
        <v>258</v>
      </c>
      <c r="J95" s="9" t="s">
        <v>145</v>
      </c>
    </row>
    <row r="96" spans="1:10">
      <c r="A96" s="5" t="s">
        <v>402</v>
      </c>
      <c r="B96" s="6" t="s">
        <v>1572</v>
      </c>
      <c r="C96" s="7">
        <v>46146</v>
      </c>
      <c r="D96" s="9" t="s">
        <v>270</v>
      </c>
      <c r="E96" s="8" t="s">
        <v>271</v>
      </c>
      <c r="F96" s="9" t="s">
        <v>242</v>
      </c>
      <c r="G96" s="9">
        <v>3</v>
      </c>
      <c r="H96" s="6" t="s">
        <v>1573</v>
      </c>
      <c r="I96" s="9" t="s">
        <v>258</v>
      </c>
      <c r="J96" s="9" t="s">
        <v>145</v>
      </c>
    </row>
    <row r="97" spans="1:10">
      <c r="A97" s="5" t="s">
        <v>403</v>
      </c>
      <c r="B97" s="6" t="s">
        <v>1572</v>
      </c>
      <c r="C97" s="7">
        <v>46146</v>
      </c>
      <c r="D97" s="9" t="s">
        <v>503</v>
      </c>
      <c r="E97" s="8" t="s">
        <v>162</v>
      </c>
      <c r="F97" s="9" t="s">
        <v>242</v>
      </c>
      <c r="G97" s="9">
        <v>1</v>
      </c>
      <c r="H97" s="6" t="s">
        <v>1573</v>
      </c>
      <c r="I97" s="9" t="s">
        <v>258</v>
      </c>
      <c r="J97" s="9" t="s">
        <v>145</v>
      </c>
    </row>
    <row r="98" spans="1:10">
      <c r="A98" s="5" t="s">
        <v>405</v>
      </c>
      <c r="B98" s="6" t="s">
        <v>1572</v>
      </c>
      <c r="C98" s="7">
        <v>46146</v>
      </c>
      <c r="D98" s="9" t="s">
        <v>503</v>
      </c>
      <c r="E98" s="8" t="s">
        <v>206</v>
      </c>
      <c r="F98" s="9" t="s">
        <v>242</v>
      </c>
      <c r="G98" s="9">
        <v>2</v>
      </c>
      <c r="H98" s="6" t="s">
        <v>1573</v>
      </c>
      <c r="I98" s="9" t="s">
        <v>258</v>
      </c>
      <c r="J98" s="9" t="s">
        <v>145</v>
      </c>
    </row>
    <row r="99" spans="1:10">
      <c r="A99" s="5" t="s">
        <v>406</v>
      </c>
      <c r="B99" s="6" t="s">
        <v>1574</v>
      </c>
      <c r="C99" s="7">
        <v>46148</v>
      </c>
      <c r="D99" s="9" t="s">
        <v>299</v>
      </c>
      <c r="E99" s="8" t="s">
        <v>22</v>
      </c>
      <c r="F99" s="9" t="s">
        <v>242</v>
      </c>
      <c r="G99" s="9">
        <v>1</v>
      </c>
      <c r="H99" s="6" t="s">
        <v>1575</v>
      </c>
      <c r="I99" s="9" t="s">
        <v>1546</v>
      </c>
      <c r="J99" s="9" t="s">
        <v>145</v>
      </c>
    </row>
    <row r="100" spans="1:10">
      <c r="A100" s="5" t="s">
        <v>409</v>
      </c>
      <c r="B100" s="6" t="s">
        <v>1574</v>
      </c>
      <c r="C100" s="7">
        <v>46148</v>
      </c>
      <c r="D100" s="9" t="s">
        <v>299</v>
      </c>
      <c r="E100" s="8" t="s">
        <v>22</v>
      </c>
      <c r="F100" s="9" t="s">
        <v>246</v>
      </c>
      <c r="G100" s="9">
        <v>1</v>
      </c>
      <c r="H100" s="6" t="s">
        <v>1575</v>
      </c>
      <c r="I100" s="9" t="s">
        <v>1546</v>
      </c>
      <c r="J100" s="9" t="s">
        <v>145</v>
      </c>
    </row>
    <row r="101" spans="1:10">
      <c r="A101" s="5" t="s">
        <v>410</v>
      </c>
      <c r="B101" s="6" t="s">
        <v>1576</v>
      </c>
      <c r="C101" s="7">
        <v>46148</v>
      </c>
      <c r="D101" s="9" t="s">
        <v>264</v>
      </c>
      <c r="E101" s="8" t="s">
        <v>37</v>
      </c>
      <c r="F101" s="9" t="s">
        <v>242</v>
      </c>
      <c r="G101" s="9">
        <v>1</v>
      </c>
      <c r="H101" s="6" t="s">
        <v>1577</v>
      </c>
      <c r="I101" s="9" t="s">
        <v>976</v>
      </c>
      <c r="J101" s="9" t="s">
        <v>145</v>
      </c>
    </row>
    <row r="102" spans="1:10">
      <c r="A102" s="5" t="s">
        <v>412</v>
      </c>
      <c r="B102" s="6" t="s">
        <v>1576</v>
      </c>
      <c r="C102" s="7">
        <v>46148</v>
      </c>
      <c r="D102" s="9" t="s">
        <v>264</v>
      </c>
      <c r="E102" s="8" t="s">
        <v>37</v>
      </c>
      <c r="F102" s="9" t="s">
        <v>246</v>
      </c>
      <c r="G102" s="9">
        <v>1</v>
      </c>
      <c r="H102" s="6" t="s">
        <v>1577</v>
      </c>
      <c r="I102" s="9" t="s">
        <v>976</v>
      </c>
      <c r="J102" s="9" t="s">
        <v>145</v>
      </c>
    </row>
    <row r="103" spans="1:10">
      <c r="A103" s="5" t="s">
        <v>413</v>
      </c>
      <c r="B103" s="6" t="s">
        <v>1578</v>
      </c>
      <c r="C103" s="7">
        <v>46149</v>
      </c>
      <c r="D103" s="9" t="s">
        <v>299</v>
      </c>
      <c r="E103" s="8" t="s">
        <v>22</v>
      </c>
      <c r="F103" s="9" t="s">
        <v>242</v>
      </c>
      <c r="G103" s="9">
        <v>1</v>
      </c>
      <c r="H103" s="6" t="s">
        <v>257</v>
      </c>
      <c r="I103" s="9" t="s">
        <v>1546</v>
      </c>
      <c r="J103" s="9" t="s">
        <v>145</v>
      </c>
    </row>
    <row r="104" spans="1:10">
      <c r="A104" s="5" t="s">
        <v>416</v>
      </c>
      <c r="B104" s="6" t="s">
        <v>1578</v>
      </c>
      <c r="C104" s="7">
        <v>46149</v>
      </c>
      <c r="D104" s="9" t="s">
        <v>299</v>
      </c>
      <c r="E104" s="8" t="s">
        <v>22</v>
      </c>
      <c r="F104" s="9" t="s">
        <v>246</v>
      </c>
      <c r="G104" s="9">
        <v>1</v>
      </c>
      <c r="H104" s="6" t="s">
        <v>257</v>
      </c>
      <c r="I104" s="9" t="s">
        <v>1546</v>
      </c>
      <c r="J104" s="9" t="s">
        <v>145</v>
      </c>
    </row>
    <row r="105" spans="1:10">
      <c r="A105" s="5" t="s">
        <v>417</v>
      </c>
      <c r="B105" s="6" t="s">
        <v>1579</v>
      </c>
      <c r="C105" s="7">
        <v>46150</v>
      </c>
      <c r="D105" s="9" t="s">
        <v>241</v>
      </c>
      <c r="E105" s="8" t="s">
        <v>1152</v>
      </c>
      <c r="F105" s="9" t="s">
        <v>242</v>
      </c>
      <c r="G105" s="9">
        <v>1</v>
      </c>
      <c r="H105" s="6" t="s">
        <v>1173</v>
      </c>
      <c r="I105" s="9" t="s">
        <v>337</v>
      </c>
      <c r="J105" s="9" t="s">
        <v>145</v>
      </c>
    </row>
    <row r="106" spans="1:10">
      <c r="A106" s="5" t="s">
        <v>420</v>
      </c>
      <c r="B106" s="6" t="s">
        <v>1579</v>
      </c>
      <c r="C106" s="7">
        <v>46150</v>
      </c>
      <c r="D106" s="9" t="s">
        <v>241</v>
      </c>
      <c r="E106" s="8" t="s">
        <v>27</v>
      </c>
      <c r="F106" s="9" t="s">
        <v>246</v>
      </c>
      <c r="G106" s="9">
        <v>1</v>
      </c>
      <c r="H106" s="6" t="s">
        <v>1173</v>
      </c>
      <c r="I106" s="9" t="s">
        <v>337</v>
      </c>
      <c r="J106" s="9" t="s">
        <v>145</v>
      </c>
    </row>
    <row r="107" spans="1:10">
      <c r="A107" s="5" t="s">
        <v>421</v>
      </c>
      <c r="B107" s="6" t="s">
        <v>1579</v>
      </c>
      <c r="C107" s="7">
        <v>46150</v>
      </c>
      <c r="D107" s="9" t="s">
        <v>261</v>
      </c>
      <c r="E107" s="8" t="s">
        <v>62</v>
      </c>
      <c r="F107" s="9" t="s">
        <v>242</v>
      </c>
      <c r="G107" s="9">
        <v>6</v>
      </c>
      <c r="H107" s="6" t="s">
        <v>1173</v>
      </c>
      <c r="I107" s="9" t="s">
        <v>337</v>
      </c>
      <c r="J107" s="9" t="s">
        <v>145</v>
      </c>
    </row>
    <row r="108" spans="1:10">
      <c r="A108" s="5" t="s">
        <v>424</v>
      </c>
      <c r="B108" s="6" t="s">
        <v>1579</v>
      </c>
      <c r="C108" s="7">
        <v>46150</v>
      </c>
      <c r="D108" s="9" t="s">
        <v>261</v>
      </c>
      <c r="E108" s="8" t="s">
        <v>281</v>
      </c>
      <c r="F108" s="9" t="s">
        <v>242</v>
      </c>
      <c r="G108" s="9">
        <v>2</v>
      </c>
      <c r="H108" s="6" t="s">
        <v>1173</v>
      </c>
      <c r="I108" s="9" t="s">
        <v>337</v>
      </c>
      <c r="J108" s="9" t="s">
        <v>145</v>
      </c>
    </row>
    <row r="109" spans="1:10">
      <c r="A109" s="5" t="s">
        <v>425</v>
      </c>
      <c r="B109" s="6" t="s">
        <v>1580</v>
      </c>
      <c r="C109" s="7">
        <v>46150</v>
      </c>
      <c r="D109" s="9" t="s">
        <v>241</v>
      </c>
      <c r="E109" s="4" t="s">
        <v>28</v>
      </c>
      <c r="F109" s="9" t="s">
        <v>242</v>
      </c>
      <c r="G109" s="9">
        <v>1</v>
      </c>
      <c r="H109" s="6" t="s">
        <v>243</v>
      </c>
      <c r="I109" s="9" t="s">
        <v>284</v>
      </c>
      <c r="J109" s="9" t="s">
        <v>145</v>
      </c>
    </row>
    <row r="110" spans="1:10">
      <c r="A110" s="5" t="s">
        <v>427</v>
      </c>
      <c r="B110" s="6" t="s">
        <v>1580</v>
      </c>
      <c r="C110" s="7">
        <v>46150</v>
      </c>
      <c r="D110" s="9" t="s">
        <v>241</v>
      </c>
      <c r="E110" s="8" t="s">
        <v>29</v>
      </c>
      <c r="F110" s="9" t="s">
        <v>246</v>
      </c>
      <c r="G110" s="9">
        <v>1</v>
      </c>
      <c r="H110" s="6" t="s">
        <v>243</v>
      </c>
      <c r="I110" s="9" t="s">
        <v>284</v>
      </c>
      <c r="J110" s="9" t="s">
        <v>145</v>
      </c>
    </row>
    <row r="111" spans="1:10" ht="15" customHeight="1">
      <c r="A111" s="5" t="s">
        <v>428</v>
      </c>
      <c r="B111" s="6" t="s">
        <v>1581</v>
      </c>
      <c r="C111" s="7">
        <v>46151</v>
      </c>
      <c r="D111" s="9" t="s">
        <v>299</v>
      </c>
      <c r="E111" s="8" t="s">
        <v>657</v>
      </c>
      <c r="F111" s="9" t="s">
        <v>242</v>
      </c>
      <c r="G111" s="9">
        <v>1</v>
      </c>
      <c r="H111" s="6" t="s">
        <v>1370</v>
      </c>
      <c r="I111" s="9" t="s">
        <v>258</v>
      </c>
      <c r="J111" s="9" t="s">
        <v>145</v>
      </c>
    </row>
    <row r="112" spans="1:10">
      <c r="A112" s="5" t="s">
        <v>430</v>
      </c>
      <c r="B112" s="6" t="s">
        <v>1581</v>
      </c>
      <c r="C112" s="7">
        <v>46151</v>
      </c>
      <c r="D112" s="9" t="s">
        <v>299</v>
      </c>
      <c r="E112" s="4" t="s">
        <v>659</v>
      </c>
      <c r="F112" s="9" t="s">
        <v>246</v>
      </c>
      <c r="G112" s="9">
        <v>1</v>
      </c>
      <c r="H112" s="6" t="s">
        <v>1370</v>
      </c>
      <c r="I112" s="9" t="s">
        <v>258</v>
      </c>
      <c r="J112" s="9" t="s">
        <v>145</v>
      </c>
    </row>
    <row r="113" spans="1:10">
      <c r="A113" s="5" t="s">
        <v>431</v>
      </c>
      <c r="B113" s="6" t="s">
        <v>1581</v>
      </c>
      <c r="C113" s="7">
        <v>46151</v>
      </c>
      <c r="D113" s="9" t="s">
        <v>500</v>
      </c>
      <c r="E113" s="8" t="s">
        <v>48</v>
      </c>
      <c r="F113" s="9" t="s">
        <v>242</v>
      </c>
      <c r="G113" s="9">
        <v>1</v>
      </c>
      <c r="H113" s="6" t="s">
        <v>1370</v>
      </c>
      <c r="I113" s="9" t="s">
        <v>258</v>
      </c>
      <c r="J113" s="9" t="s">
        <v>145</v>
      </c>
    </row>
    <row r="114" spans="1:10">
      <c r="A114" s="5" t="s">
        <v>433</v>
      </c>
      <c r="B114" s="6" t="s">
        <v>1581</v>
      </c>
      <c r="C114" s="7">
        <v>46151</v>
      </c>
      <c r="D114" s="9" t="s">
        <v>261</v>
      </c>
      <c r="E114" s="8" t="s">
        <v>64</v>
      </c>
      <c r="F114" s="9" t="s">
        <v>242</v>
      </c>
      <c r="G114" s="9">
        <v>5</v>
      </c>
      <c r="H114" s="6" t="s">
        <v>1370</v>
      </c>
      <c r="I114" s="9" t="s">
        <v>258</v>
      </c>
      <c r="J114" s="9" t="s">
        <v>145</v>
      </c>
    </row>
    <row r="115" spans="1:10">
      <c r="A115" s="5" t="s">
        <v>434</v>
      </c>
      <c r="B115" s="6" t="s">
        <v>1581</v>
      </c>
      <c r="C115" s="7">
        <v>46151</v>
      </c>
      <c r="D115" s="9" t="s">
        <v>270</v>
      </c>
      <c r="E115" s="4" t="s">
        <v>271</v>
      </c>
      <c r="F115" s="9" t="s">
        <v>242</v>
      </c>
      <c r="G115" s="9">
        <v>5</v>
      </c>
      <c r="H115" s="6" t="s">
        <v>1370</v>
      </c>
      <c r="I115" s="9" t="s">
        <v>258</v>
      </c>
      <c r="J115" s="9" t="s">
        <v>145</v>
      </c>
    </row>
    <row r="116" spans="1:10">
      <c r="A116" s="5" t="s">
        <v>435</v>
      </c>
      <c r="B116" s="6" t="s">
        <v>1581</v>
      </c>
      <c r="C116" s="7">
        <v>46151</v>
      </c>
      <c r="D116" s="9" t="s">
        <v>503</v>
      </c>
      <c r="E116" s="8" t="s">
        <v>206</v>
      </c>
      <c r="F116" s="9" t="s">
        <v>242</v>
      </c>
      <c r="G116" s="9">
        <v>2</v>
      </c>
      <c r="H116" s="6" t="s">
        <v>1370</v>
      </c>
      <c r="I116" s="9" t="s">
        <v>258</v>
      </c>
      <c r="J116" s="9" t="s">
        <v>145</v>
      </c>
    </row>
    <row r="117" spans="1:10">
      <c r="A117" s="5" t="s">
        <v>437</v>
      </c>
      <c r="B117" s="6" t="s">
        <v>1582</v>
      </c>
      <c r="C117" s="7">
        <v>46153</v>
      </c>
      <c r="D117" s="9" t="s">
        <v>241</v>
      </c>
      <c r="E117" s="8" t="s">
        <v>28</v>
      </c>
      <c r="F117" s="9" t="s">
        <v>242</v>
      </c>
      <c r="G117" s="9">
        <v>1</v>
      </c>
      <c r="H117" s="6" t="s">
        <v>243</v>
      </c>
      <c r="I117" s="9" t="s">
        <v>514</v>
      </c>
      <c r="J117" s="9" t="s">
        <v>145</v>
      </c>
    </row>
    <row r="118" spans="1:10">
      <c r="A118" s="5" t="s">
        <v>438</v>
      </c>
      <c r="B118" s="6" t="s">
        <v>1582</v>
      </c>
      <c r="C118" s="7">
        <v>46153</v>
      </c>
      <c r="D118" s="9" t="s">
        <v>241</v>
      </c>
      <c r="E118" s="8" t="s">
        <v>27</v>
      </c>
      <c r="F118" s="9" t="s">
        <v>246</v>
      </c>
      <c r="G118" s="9">
        <v>1</v>
      </c>
      <c r="H118" s="6" t="s">
        <v>243</v>
      </c>
      <c r="I118" s="9" t="s">
        <v>514</v>
      </c>
      <c r="J118" s="9" t="s">
        <v>145</v>
      </c>
    </row>
    <row r="119" spans="1:10">
      <c r="A119" s="5" t="s">
        <v>439</v>
      </c>
      <c r="B119" s="6" t="s">
        <v>1582</v>
      </c>
      <c r="C119" s="7">
        <v>46153</v>
      </c>
      <c r="D119" s="9" t="s">
        <v>261</v>
      </c>
      <c r="E119" s="8" t="s">
        <v>281</v>
      </c>
      <c r="F119" s="9" t="s">
        <v>242</v>
      </c>
      <c r="G119" s="9">
        <v>3</v>
      </c>
      <c r="H119" s="6" t="s">
        <v>243</v>
      </c>
      <c r="I119" s="9" t="s">
        <v>514</v>
      </c>
      <c r="J119" s="9" t="s">
        <v>145</v>
      </c>
    </row>
    <row r="120" spans="1:10">
      <c r="A120" s="5" t="s">
        <v>441</v>
      </c>
      <c r="B120" s="6" t="s">
        <v>1583</v>
      </c>
      <c r="C120" s="7">
        <v>46153</v>
      </c>
      <c r="D120" s="9" t="s">
        <v>241</v>
      </c>
      <c r="E120" s="8" t="s">
        <v>1152</v>
      </c>
      <c r="F120" s="9" t="s">
        <v>242</v>
      </c>
      <c r="G120" s="9">
        <v>1</v>
      </c>
      <c r="H120" s="6" t="s">
        <v>243</v>
      </c>
      <c r="I120" s="9" t="s">
        <v>363</v>
      </c>
      <c r="J120" s="9" t="s">
        <v>145</v>
      </c>
    </row>
    <row r="121" spans="1:10">
      <c r="A121" s="5" t="s">
        <v>442</v>
      </c>
      <c r="B121" s="6" t="s">
        <v>1583</v>
      </c>
      <c r="C121" s="7">
        <v>46153</v>
      </c>
      <c r="D121" s="9" t="s">
        <v>241</v>
      </c>
      <c r="E121" s="4" t="s">
        <v>27</v>
      </c>
      <c r="F121" s="9" t="s">
        <v>246</v>
      </c>
      <c r="G121" s="9">
        <v>1</v>
      </c>
      <c r="H121" s="6" t="s">
        <v>243</v>
      </c>
      <c r="I121" s="9" t="s">
        <v>363</v>
      </c>
      <c r="J121" s="9" t="s">
        <v>145</v>
      </c>
    </row>
    <row r="122" spans="1:10">
      <c r="A122" s="5" t="s">
        <v>444</v>
      </c>
      <c r="B122" s="6" t="s">
        <v>1584</v>
      </c>
      <c r="C122" s="7">
        <v>46153</v>
      </c>
      <c r="D122" s="9" t="s">
        <v>264</v>
      </c>
      <c r="E122" s="8" t="s">
        <v>38</v>
      </c>
      <c r="F122" s="9" t="s">
        <v>242</v>
      </c>
      <c r="G122" s="9">
        <v>1</v>
      </c>
      <c r="H122" s="6" t="s">
        <v>1585</v>
      </c>
      <c r="I122" s="9" t="s">
        <v>258</v>
      </c>
      <c r="J122" s="9" t="s">
        <v>145</v>
      </c>
    </row>
    <row r="123" spans="1:10">
      <c r="A123" s="5" t="s">
        <v>445</v>
      </c>
      <c r="B123" s="6" t="s">
        <v>1584</v>
      </c>
      <c r="C123" s="7">
        <v>46153</v>
      </c>
      <c r="D123" s="9" t="s">
        <v>264</v>
      </c>
      <c r="E123" s="8" t="s">
        <v>35</v>
      </c>
      <c r="F123" s="9" t="s">
        <v>246</v>
      </c>
      <c r="G123" s="9">
        <v>1</v>
      </c>
      <c r="H123" s="6" t="s">
        <v>1585</v>
      </c>
      <c r="I123" s="9" t="s">
        <v>258</v>
      </c>
      <c r="J123" s="9" t="s">
        <v>145</v>
      </c>
    </row>
    <row r="124" spans="1:10">
      <c r="A124" s="5" t="s">
        <v>446</v>
      </c>
      <c r="B124" s="6" t="s">
        <v>1584</v>
      </c>
      <c r="C124" s="7">
        <v>46153</v>
      </c>
      <c r="D124" s="9" t="s">
        <v>261</v>
      </c>
      <c r="E124" s="8" t="s">
        <v>64</v>
      </c>
      <c r="F124" s="9" t="s">
        <v>242</v>
      </c>
      <c r="G124" s="9">
        <v>1</v>
      </c>
      <c r="H124" s="6" t="s">
        <v>1585</v>
      </c>
      <c r="I124" s="9" t="s">
        <v>258</v>
      </c>
      <c r="J124" s="9" t="s">
        <v>145</v>
      </c>
    </row>
    <row r="125" spans="1:10">
      <c r="A125" s="5" t="s">
        <v>448</v>
      </c>
      <c r="B125" s="6" t="s">
        <v>1584</v>
      </c>
      <c r="C125" s="7">
        <v>46153</v>
      </c>
      <c r="D125" s="9" t="s">
        <v>261</v>
      </c>
      <c r="E125" s="8" t="s">
        <v>63</v>
      </c>
      <c r="F125" s="9" t="s">
        <v>242</v>
      </c>
      <c r="G125" s="9">
        <v>1</v>
      </c>
      <c r="H125" s="6" t="s">
        <v>1585</v>
      </c>
      <c r="I125" s="9" t="s">
        <v>258</v>
      </c>
      <c r="J125" s="9" t="s">
        <v>145</v>
      </c>
    </row>
    <row r="126" spans="1:10">
      <c r="A126" s="5" t="s">
        <v>449</v>
      </c>
      <c r="B126" s="6" t="s">
        <v>1584</v>
      </c>
      <c r="C126" s="7">
        <v>46153</v>
      </c>
      <c r="D126" s="9" t="s">
        <v>270</v>
      </c>
      <c r="E126" s="8" t="s">
        <v>271</v>
      </c>
      <c r="F126" s="9" t="s">
        <v>242</v>
      </c>
      <c r="G126" s="9">
        <v>1</v>
      </c>
      <c r="H126" s="6" t="s">
        <v>1585</v>
      </c>
      <c r="I126" s="9" t="s">
        <v>258</v>
      </c>
      <c r="J126" s="9" t="s">
        <v>145</v>
      </c>
    </row>
    <row r="127" spans="1:10">
      <c r="A127" s="5" t="s">
        <v>450</v>
      </c>
      <c r="B127" s="6" t="s">
        <v>1584</v>
      </c>
      <c r="C127" s="7">
        <v>46153</v>
      </c>
      <c r="D127" s="9" t="s">
        <v>270</v>
      </c>
      <c r="E127" s="8" t="s">
        <v>68</v>
      </c>
      <c r="F127" s="9" t="s">
        <v>242</v>
      </c>
      <c r="G127" s="9">
        <v>1</v>
      </c>
      <c r="H127" s="6" t="s">
        <v>1585</v>
      </c>
      <c r="I127" s="9" t="s">
        <v>258</v>
      </c>
      <c r="J127" s="9" t="s">
        <v>145</v>
      </c>
    </row>
    <row r="128" spans="1:10">
      <c r="A128" s="5" t="s">
        <v>451</v>
      </c>
      <c r="B128" s="6" t="s">
        <v>1586</v>
      </c>
      <c r="C128" s="7">
        <v>46153</v>
      </c>
      <c r="D128" s="9" t="s">
        <v>241</v>
      </c>
      <c r="E128" s="8" t="s">
        <v>1152</v>
      </c>
      <c r="F128" s="9" t="s">
        <v>242</v>
      </c>
      <c r="G128" s="9">
        <v>1</v>
      </c>
      <c r="H128" s="6" t="s">
        <v>518</v>
      </c>
      <c r="I128" s="9" t="s">
        <v>258</v>
      </c>
      <c r="J128" s="9" t="s">
        <v>145</v>
      </c>
    </row>
    <row r="129" spans="1:10">
      <c r="A129" s="5" t="s">
        <v>453</v>
      </c>
      <c r="B129" s="6" t="s">
        <v>1586</v>
      </c>
      <c r="C129" s="7">
        <v>46153</v>
      </c>
      <c r="D129" s="9" t="s">
        <v>241</v>
      </c>
      <c r="E129" s="8" t="s">
        <v>28</v>
      </c>
      <c r="F129" s="9" t="s">
        <v>246</v>
      </c>
      <c r="G129" s="9">
        <v>1</v>
      </c>
      <c r="H129" s="6" t="s">
        <v>518</v>
      </c>
      <c r="I129" s="9" t="s">
        <v>258</v>
      </c>
      <c r="J129" s="9" t="s">
        <v>145</v>
      </c>
    </row>
    <row r="130" spans="1:10">
      <c r="A130" s="5" t="s">
        <v>454</v>
      </c>
      <c r="B130" s="6" t="s">
        <v>1587</v>
      </c>
      <c r="C130" s="7">
        <v>46154</v>
      </c>
      <c r="D130" s="9" t="s">
        <v>299</v>
      </c>
      <c r="E130" s="8" t="s">
        <v>22</v>
      </c>
      <c r="F130" s="9" t="s">
        <v>242</v>
      </c>
      <c r="G130" s="9">
        <v>1</v>
      </c>
      <c r="H130" s="6" t="s">
        <v>1588</v>
      </c>
      <c r="I130" s="9" t="s">
        <v>514</v>
      </c>
      <c r="J130" s="9" t="s">
        <v>145</v>
      </c>
    </row>
    <row r="131" spans="1:10">
      <c r="A131" s="5" t="s">
        <v>456</v>
      </c>
      <c r="B131" s="6" t="s">
        <v>1587</v>
      </c>
      <c r="C131" s="7">
        <v>46154</v>
      </c>
      <c r="D131" s="9" t="s">
        <v>299</v>
      </c>
      <c r="E131" s="8" t="s">
        <v>22</v>
      </c>
      <c r="F131" s="9" t="s">
        <v>246</v>
      </c>
      <c r="G131" s="9">
        <v>1</v>
      </c>
      <c r="H131" s="6" t="s">
        <v>1588</v>
      </c>
      <c r="I131" s="9" t="s">
        <v>514</v>
      </c>
      <c r="J131" s="9" t="s">
        <v>145</v>
      </c>
    </row>
    <row r="132" spans="1:10">
      <c r="A132" s="5" t="s">
        <v>457</v>
      </c>
      <c r="B132" s="6" t="s">
        <v>1589</v>
      </c>
      <c r="C132" s="7">
        <v>46154</v>
      </c>
      <c r="D132" s="9" t="s">
        <v>299</v>
      </c>
      <c r="E132" s="8" t="s">
        <v>1334</v>
      </c>
      <c r="F132" s="9" t="s">
        <v>242</v>
      </c>
      <c r="G132" s="9">
        <v>1</v>
      </c>
      <c r="H132" s="6" t="s">
        <v>243</v>
      </c>
      <c r="I132" s="9" t="s">
        <v>628</v>
      </c>
      <c r="J132" s="9" t="s">
        <v>145</v>
      </c>
    </row>
    <row r="133" spans="1:10">
      <c r="A133" s="5" t="s">
        <v>458</v>
      </c>
      <c r="B133" s="6" t="s">
        <v>1589</v>
      </c>
      <c r="C133" s="7">
        <v>46154</v>
      </c>
      <c r="D133" s="9" t="s">
        <v>299</v>
      </c>
      <c r="E133" s="8" t="s">
        <v>1334</v>
      </c>
      <c r="F133" s="9" t="s">
        <v>246</v>
      </c>
      <c r="G133" s="9">
        <v>1</v>
      </c>
      <c r="H133" s="6" t="s">
        <v>243</v>
      </c>
      <c r="I133" s="9" t="s">
        <v>628</v>
      </c>
      <c r="J133" s="9" t="s">
        <v>145</v>
      </c>
    </row>
    <row r="134" spans="1:10">
      <c r="A134" s="5" t="s">
        <v>460</v>
      </c>
      <c r="B134" s="6" t="s">
        <v>1590</v>
      </c>
      <c r="C134" s="7">
        <v>46154</v>
      </c>
      <c r="D134" s="9" t="s">
        <v>241</v>
      </c>
      <c r="E134" s="8" t="s">
        <v>28</v>
      </c>
      <c r="F134" s="9" t="s">
        <v>242</v>
      </c>
      <c r="G134" s="9">
        <v>1</v>
      </c>
      <c r="H134" s="6" t="s">
        <v>1142</v>
      </c>
      <c r="I134" s="9" t="s">
        <v>329</v>
      </c>
      <c r="J134" s="9" t="s">
        <v>145</v>
      </c>
    </row>
    <row r="135" spans="1:10">
      <c r="A135" s="5" t="s">
        <v>461</v>
      </c>
      <c r="B135" s="6" t="s">
        <v>1590</v>
      </c>
      <c r="C135" s="7">
        <v>46154</v>
      </c>
      <c r="D135" s="9" t="s">
        <v>241</v>
      </c>
      <c r="E135" s="4" t="s">
        <v>29</v>
      </c>
      <c r="F135" s="9" t="s">
        <v>246</v>
      </c>
      <c r="G135" s="9">
        <v>1</v>
      </c>
      <c r="H135" s="6" t="s">
        <v>1142</v>
      </c>
      <c r="I135" s="9" t="s">
        <v>329</v>
      </c>
      <c r="J135" s="9" t="s">
        <v>145</v>
      </c>
    </row>
    <row r="136" spans="1:10">
      <c r="A136" s="5" t="s">
        <v>463</v>
      </c>
      <c r="B136" s="6" t="s">
        <v>1590</v>
      </c>
      <c r="C136" s="7">
        <v>46154</v>
      </c>
      <c r="D136" s="9" t="s">
        <v>261</v>
      </c>
      <c r="E136" s="8" t="s">
        <v>281</v>
      </c>
      <c r="F136" s="9" t="s">
        <v>242</v>
      </c>
      <c r="G136" s="9">
        <v>5</v>
      </c>
      <c r="H136" s="6" t="s">
        <v>1142</v>
      </c>
      <c r="I136" s="9" t="s">
        <v>329</v>
      </c>
      <c r="J136" s="9" t="s">
        <v>145</v>
      </c>
    </row>
    <row r="137" spans="1:10">
      <c r="A137" s="5" t="s">
        <v>464</v>
      </c>
      <c r="B137" s="6" t="s">
        <v>1591</v>
      </c>
      <c r="C137" s="7">
        <v>46154</v>
      </c>
      <c r="D137" s="9" t="s">
        <v>299</v>
      </c>
      <c r="E137" s="8" t="s">
        <v>24</v>
      </c>
      <c r="F137" s="9" t="s">
        <v>242</v>
      </c>
      <c r="G137" s="9">
        <v>1</v>
      </c>
      <c r="H137" s="6" t="s">
        <v>320</v>
      </c>
      <c r="I137" s="9" t="s">
        <v>1546</v>
      </c>
      <c r="J137" s="9" t="s">
        <v>145</v>
      </c>
    </row>
    <row r="138" spans="1:10">
      <c r="A138" s="5" t="s">
        <v>466</v>
      </c>
      <c r="B138" s="6" t="s">
        <v>1591</v>
      </c>
      <c r="C138" s="7">
        <v>46154</v>
      </c>
      <c r="D138" s="9" t="s">
        <v>299</v>
      </c>
      <c r="E138" s="8" t="s">
        <v>22</v>
      </c>
      <c r="F138" s="9" t="s">
        <v>246</v>
      </c>
      <c r="G138" s="9">
        <v>1</v>
      </c>
      <c r="H138" s="6" t="s">
        <v>320</v>
      </c>
      <c r="I138" s="9" t="s">
        <v>1546</v>
      </c>
      <c r="J138" s="9" t="s">
        <v>145</v>
      </c>
    </row>
    <row r="139" spans="1:10">
      <c r="A139" s="5" t="s">
        <v>467</v>
      </c>
      <c r="B139" s="6" t="s">
        <v>1591</v>
      </c>
      <c r="C139" s="7">
        <v>46154</v>
      </c>
      <c r="D139" s="9" t="s">
        <v>261</v>
      </c>
      <c r="E139" s="8" t="s">
        <v>64</v>
      </c>
      <c r="F139" s="9" t="s">
        <v>242</v>
      </c>
      <c r="G139" s="9">
        <v>5</v>
      </c>
      <c r="H139" s="6" t="s">
        <v>320</v>
      </c>
      <c r="I139" s="9" t="s">
        <v>1546</v>
      </c>
      <c r="J139" s="9" t="s">
        <v>145</v>
      </c>
    </row>
    <row r="140" spans="1:10">
      <c r="A140" s="5" t="s">
        <v>468</v>
      </c>
      <c r="B140" s="6" t="s">
        <v>1591</v>
      </c>
      <c r="C140" s="7">
        <v>46154</v>
      </c>
      <c r="D140" s="9" t="s">
        <v>270</v>
      </c>
      <c r="E140" s="8" t="s">
        <v>271</v>
      </c>
      <c r="F140" s="9" t="s">
        <v>242</v>
      </c>
      <c r="G140" s="9">
        <v>5</v>
      </c>
      <c r="H140" s="6" t="s">
        <v>320</v>
      </c>
      <c r="I140" s="9" t="s">
        <v>1546</v>
      </c>
      <c r="J140" s="9" t="s">
        <v>145</v>
      </c>
    </row>
    <row r="141" spans="1:10">
      <c r="A141" s="5" t="s">
        <v>471</v>
      </c>
      <c r="B141" s="6" t="s">
        <v>1592</v>
      </c>
      <c r="C141" s="7">
        <v>46155</v>
      </c>
      <c r="D141" s="9" t="s">
        <v>241</v>
      </c>
      <c r="E141" s="8" t="s">
        <v>1152</v>
      </c>
      <c r="F141" s="9" t="s">
        <v>242</v>
      </c>
      <c r="G141" s="9">
        <v>1</v>
      </c>
      <c r="H141" s="6" t="s">
        <v>1142</v>
      </c>
      <c r="I141" s="9" t="s">
        <v>363</v>
      </c>
      <c r="J141" s="9" t="s">
        <v>145</v>
      </c>
    </row>
    <row r="142" spans="1:10">
      <c r="A142" s="5" t="s">
        <v>472</v>
      </c>
      <c r="B142" s="6" t="s">
        <v>1592</v>
      </c>
      <c r="C142" s="7">
        <v>46155</v>
      </c>
      <c r="D142" s="9" t="s">
        <v>241</v>
      </c>
      <c r="E142" s="4" t="s">
        <v>29</v>
      </c>
      <c r="F142" s="9" t="s">
        <v>246</v>
      </c>
      <c r="G142" s="9">
        <v>1</v>
      </c>
      <c r="H142" s="6" t="s">
        <v>1142</v>
      </c>
      <c r="I142" s="9" t="s">
        <v>363</v>
      </c>
      <c r="J142" s="9" t="s">
        <v>145</v>
      </c>
    </row>
    <row r="143" spans="1:10">
      <c r="A143" s="5" t="s">
        <v>475</v>
      </c>
      <c r="B143" s="6" t="s">
        <v>1592</v>
      </c>
      <c r="C143" s="7">
        <v>46155</v>
      </c>
      <c r="D143" s="9" t="s">
        <v>261</v>
      </c>
      <c r="E143" s="4" t="s">
        <v>281</v>
      </c>
      <c r="F143" s="9" t="s">
        <v>242</v>
      </c>
      <c r="G143" s="9">
        <v>2</v>
      </c>
      <c r="H143" s="6" t="s">
        <v>1142</v>
      </c>
      <c r="I143" s="9" t="s">
        <v>363</v>
      </c>
      <c r="J143" s="9" t="s">
        <v>145</v>
      </c>
    </row>
    <row r="144" spans="1:10">
      <c r="A144" s="5" t="s">
        <v>476</v>
      </c>
      <c r="B144" s="6" t="s">
        <v>1593</v>
      </c>
      <c r="C144" s="7">
        <v>46155</v>
      </c>
      <c r="D144" s="9" t="s">
        <v>241</v>
      </c>
      <c r="E144" s="8" t="s">
        <v>28</v>
      </c>
      <c r="F144" s="9" t="s">
        <v>242</v>
      </c>
      <c r="G144" s="9">
        <v>1</v>
      </c>
      <c r="H144" s="6" t="s">
        <v>328</v>
      </c>
      <c r="I144" s="9" t="s">
        <v>973</v>
      </c>
      <c r="J144" s="9" t="s">
        <v>145</v>
      </c>
    </row>
    <row r="145" spans="1:10">
      <c r="A145" s="5" t="s">
        <v>477</v>
      </c>
      <c r="B145" s="6" t="s">
        <v>1593</v>
      </c>
      <c r="C145" s="7">
        <v>46155</v>
      </c>
      <c r="D145" s="9" t="s">
        <v>241</v>
      </c>
      <c r="E145" s="8" t="s">
        <v>28</v>
      </c>
      <c r="F145" s="9" t="s">
        <v>246</v>
      </c>
      <c r="G145" s="9">
        <v>1</v>
      </c>
      <c r="H145" s="6" t="s">
        <v>328</v>
      </c>
      <c r="I145" s="9" t="s">
        <v>973</v>
      </c>
      <c r="J145" s="9" t="s">
        <v>145</v>
      </c>
    </row>
    <row r="146" spans="1:10">
      <c r="A146" s="5" t="s">
        <v>478</v>
      </c>
      <c r="B146" s="6" t="s">
        <v>1594</v>
      </c>
      <c r="C146" s="7">
        <v>46155</v>
      </c>
      <c r="D146" s="9" t="s">
        <v>241</v>
      </c>
      <c r="E146" s="8" t="s">
        <v>28</v>
      </c>
      <c r="F146" s="9" t="s">
        <v>586</v>
      </c>
      <c r="G146" s="9">
        <v>1</v>
      </c>
      <c r="H146" s="6" t="s">
        <v>587</v>
      </c>
      <c r="I146" s="9" t="s">
        <v>284</v>
      </c>
      <c r="J146" s="9" t="s">
        <v>145</v>
      </c>
    </row>
    <row r="147" spans="1:10">
      <c r="A147" s="5" t="s">
        <v>480</v>
      </c>
      <c r="B147" s="6" t="s">
        <v>1594</v>
      </c>
      <c r="C147" s="7">
        <v>46155</v>
      </c>
      <c r="D147" s="9" t="s">
        <v>261</v>
      </c>
      <c r="E147" s="4" t="s">
        <v>281</v>
      </c>
      <c r="F147" s="9" t="s">
        <v>586</v>
      </c>
      <c r="G147" s="9">
        <v>3</v>
      </c>
      <c r="H147" s="6" t="s">
        <v>587</v>
      </c>
      <c r="I147" s="9" t="s">
        <v>284</v>
      </c>
      <c r="J147" s="9" t="s">
        <v>145</v>
      </c>
    </row>
    <row r="148" spans="1:10">
      <c r="A148" s="5" t="s">
        <v>481</v>
      </c>
      <c r="B148" s="6" t="s">
        <v>1595</v>
      </c>
      <c r="C148" s="7">
        <v>46155</v>
      </c>
      <c r="D148" s="9" t="s">
        <v>241</v>
      </c>
      <c r="E148" s="8" t="s">
        <v>1152</v>
      </c>
      <c r="F148" s="9" t="s">
        <v>242</v>
      </c>
      <c r="G148" s="9">
        <v>1</v>
      </c>
      <c r="H148" s="6" t="s">
        <v>243</v>
      </c>
      <c r="I148" s="9" t="s">
        <v>388</v>
      </c>
      <c r="J148" s="9" t="s">
        <v>145</v>
      </c>
    </row>
    <row r="149" spans="1:10">
      <c r="A149" s="5" t="s">
        <v>482</v>
      </c>
      <c r="B149" s="6" t="s">
        <v>1595</v>
      </c>
      <c r="C149" s="7">
        <v>46155</v>
      </c>
      <c r="D149" s="9" t="s">
        <v>241</v>
      </c>
      <c r="E149" s="8" t="s">
        <v>27</v>
      </c>
      <c r="F149" s="9" t="s">
        <v>246</v>
      </c>
      <c r="G149" s="9">
        <v>1</v>
      </c>
      <c r="H149" s="6" t="s">
        <v>243</v>
      </c>
      <c r="I149" s="9" t="s">
        <v>388</v>
      </c>
      <c r="J149" s="9" t="s">
        <v>145</v>
      </c>
    </row>
    <row r="150" spans="1:10">
      <c r="A150" s="5" t="s">
        <v>485</v>
      </c>
      <c r="B150" s="6" t="s">
        <v>1596</v>
      </c>
      <c r="C150" s="7">
        <v>46155</v>
      </c>
      <c r="D150" s="9" t="s">
        <v>241</v>
      </c>
      <c r="E150" s="8" t="s">
        <v>1152</v>
      </c>
      <c r="F150" s="9" t="s">
        <v>242</v>
      </c>
      <c r="G150" s="9">
        <v>1</v>
      </c>
      <c r="H150" s="6" t="s">
        <v>243</v>
      </c>
      <c r="I150" s="9" t="s">
        <v>388</v>
      </c>
      <c r="J150" s="9" t="s">
        <v>145</v>
      </c>
    </row>
    <row r="151" spans="1:10">
      <c r="A151" s="5" t="s">
        <v>486</v>
      </c>
      <c r="B151" s="6" t="s">
        <v>1596</v>
      </c>
      <c r="C151" s="7">
        <v>46155</v>
      </c>
      <c r="D151" s="9" t="s">
        <v>241</v>
      </c>
      <c r="E151" s="4" t="s">
        <v>27</v>
      </c>
      <c r="F151" s="9" t="s">
        <v>246</v>
      </c>
      <c r="G151" s="9">
        <v>1</v>
      </c>
      <c r="H151" s="6" t="s">
        <v>243</v>
      </c>
      <c r="I151" s="9" t="s">
        <v>388</v>
      </c>
      <c r="J151" s="9" t="s">
        <v>145</v>
      </c>
    </row>
    <row r="152" spans="1:10">
      <c r="A152" s="5" t="s">
        <v>488</v>
      </c>
      <c r="B152" s="6" t="s">
        <v>1597</v>
      </c>
      <c r="C152" s="7">
        <v>46155</v>
      </c>
      <c r="D152" s="9" t="s">
        <v>241</v>
      </c>
      <c r="E152" s="8" t="s">
        <v>28</v>
      </c>
      <c r="F152" s="9" t="s">
        <v>242</v>
      </c>
      <c r="G152" s="9">
        <v>1</v>
      </c>
      <c r="H152" s="6" t="s">
        <v>243</v>
      </c>
      <c r="I152" s="9" t="s">
        <v>388</v>
      </c>
      <c r="J152" s="9" t="s">
        <v>145</v>
      </c>
    </row>
    <row r="153" spans="1:10">
      <c r="A153" s="5" t="s">
        <v>489</v>
      </c>
      <c r="B153" s="6" t="s">
        <v>1597</v>
      </c>
      <c r="C153" s="7">
        <v>46155</v>
      </c>
      <c r="D153" s="9" t="s">
        <v>241</v>
      </c>
      <c r="E153" s="4" t="s">
        <v>27</v>
      </c>
      <c r="F153" s="9" t="s">
        <v>246</v>
      </c>
      <c r="G153" s="9">
        <v>1</v>
      </c>
      <c r="H153" s="6" t="s">
        <v>243</v>
      </c>
      <c r="I153" s="9" t="s">
        <v>388</v>
      </c>
      <c r="J153" s="9" t="s">
        <v>145</v>
      </c>
    </row>
    <row r="154" spans="1:10">
      <c r="A154" s="5" t="s">
        <v>492</v>
      </c>
      <c r="B154" s="6" t="s">
        <v>1598</v>
      </c>
      <c r="C154" s="7">
        <v>46155</v>
      </c>
      <c r="D154" s="9" t="s">
        <v>241</v>
      </c>
      <c r="E154" s="8" t="s">
        <v>28</v>
      </c>
      <c r="F154" s="9" t="s">
        <v>242</v>
      </c>
      <c r="G154" s="9">
        <v>1</v>
      </c>
      <c r="H154" s="6" t="s">
        <v>243</v>
      </c>
      <c r="I154" s="9" t="s">
        <v>388</v>
      </c>
      <c r="J154" s="9" t="s">
        <v>145</v>
      </c>
    </row>
    <row r="155" spans="1:10">
      <c r="A155" s="5" t="s">
        <v>493</v>
      </c>
      <c r="B155" s="6" t="s">
        <v>1598</v>
      </c>
      <c r="C155" s="7">
        <v>46155</v>
      </c>
      <c r="D155" s="9" t="s">
        <v>241</v>
      </c>
      <c r="E155" s="4" t="s">
        <v>27</v>
      </c>
      <c r="F155" s="9" t="s">
        <v>246</v>
      </c>
      <c r="G155" s="9">
        <v>1</v>
      </c>
      <c r="H155" s="6" t="s">
        <v>243</v>
      </c>
      <c r="I155" s="9" t="s">
        <v>388</v>
      </c>
      <c r="J155" s="9" t="s">
        <v>145</v>
      </c>
    </row>
    <row r="156" spans="1:10">
      <c r="A156" s="5" t="s">
        <v>495</v>
      </c>
      <c r="B156" s="6" t="s">
        <v>1599</v>
      </c>
      <c r="C156" s="7">
        <v>46155</v>
      </c>
      <c r="D156" s="9" t="s">
        <v>299</v>
      </c>
      <c r="E156" s="8" t="s">
        <v>22</v>
      </c>
      <c r="F156" s="9" t="s">
        <v>242</v>
      </c>
      <c r="G156" s="9">
        <v>1</v>
      </c>
      <c r="H156" s="6" t="s">
        <v>1388</v>
      </c>
      <c r="I156" s="9" t="s">
        <v>258</v>
      </c>
      <c r="J156" s="9" t="s">
        <v>145</v>
      </c>
    </row>
    <row r="157" spans="1:10">
      <c r="A157" s="5" t="s">
        <v>496</v>
      </c>
      <c r="B157" s="6" t="s">
        <v>1599</v>
      </c>
      <c r="C157" s="7">
        <v>46155</v>
      </c>
      <c r="D157" s="9" t="s">
        <v>299</v>
      </c>
      <c r="E157" s="8" t="s">
        <v>22</v>
      </c>
      <c r="F157" s="9" t="s">
        <v>246</v>
      </c>
      <c r="G157" s="9">
        <v>1</v>
      </c>
      <c r="H157" s="6" t="s">
        <v>1388</v>
      </c>
      <c r="I157" s="9" t="s">
        <v>258</v>
      </c>
      <c r="J157" s="9" t="s">
        <v>145</v>
      </c>
    </row>
    <row r="158" spans="1:10">
      <c r="A158" s="5" t="s">
        <v>498</v>
      </c>
      <c r="B158" s="6" t="s">
        <v>1599</v>
      </c>
      <c r="C158" s="7">
        <v>46155</v>
      </c>
      <c r="D158" s="9" t="s">
        <v>261</v>
      </c>
      <c r="E158" s="4" t="s">
        <v>64</v>
      </c>
      <c r="F158" s="9" t="s">
        <v>242</v>
      </c>
      <c r="G158" s="9">
        <v>4</v>
      </c>
      <c r="H158" s="6" t="s">
        <v>1388</v>
      </c>
      <c r="I158" s="9" t="s">
        <v>258</v>
      </c>
      <c r="J158" s="9" t="s">
        <v>145</v>
      </c>
    </row>
    <row r="159" spans="1:10">
      <c r="A159" s="5" t="s">
        <v>499</v>
      </c>
      <c r="B159" s="6" t="s">
        <v>1599</v>
      </c>
      <c r="C159" s="7">
        <v>46155</v>
      </c>
      <c r="D159" s="9" t="s">
        <v>261</v>
      </c>
      <c r="E159" s="8" t="s">
        <v>65</v>
      </c>
      <c r="F159" s="9" t="s">
        <v>242</v>
      </c>
      <c r="G159" s="9">
        <v>1</v>
      </c>
      <c r="H159" s="6" t="s">
        <v>1388</v>
      </c>
      <c r="I159" s="9" t="s">
        <v>258</v>
      </c>
      <c r="J159" s="9" t="s">
        <v>145</v>
      </c>
    </row>
    <row r="160" spans="1:10">
      <c r="A160" s="5" t="s">
        <v>501</v>
      </c>
      <c r="B160" s="6" t="s">
        <v>1599</v>
      </c>
      <c r="C160" s="7">
        <v>46155</v>
      </c>
      <c r="D160" s="9" t="s">
        <v>270</v>
      </c>
      <c r="E160" s="4" t="s">
        <v>271</v>
      </c>
      <c r="F160" s="9" t="s">
        <v>242</v>
      </c>
      <c r="G160" s="9">
        <v>5</v>
      </c>
      <c r="H160" s="6" t="s">
        <v>1388</v>
      </c>
      <c r="I160" s="9" t="s">
        <v>258</v>
      </c>
      <c r="J160" s="9" t="s">
        <v>145</v>
      </c>
    </row>
    <row r="161" spans="1:10">
      <c r="A161" s="5" t="s">
        <v>502</v>
      </c>
      <c r="B161" s="6" t="s">
        <v>1599</v>
      </c>
      <c r="C161" s="7">
        <v>46155</v>
      </c>
      <c r="D161" s="9" t="s">
        <v>503</v>
      </c>
      <c r="E161" s="8" t="s">
        <v>162</v>
      </c>
      <c r="F161" s="9" t="s">
        <v>242</v>
      </c>
      <c r="G161" s="9">
        <v>1</v>
      </c>
      <c r="H161" s="6" t="s">
        <v>1388</v>
      </c>
      <c r="I161" s="9" t="s">
        <v>258</v>
      </c>
      <c r="J161" s="9" t="s">
        <v>145</v>
      </c>
    </row>
    <row r="162" spans="1:10">
      <c r="A162" s="5" t="s">
        <v>504</v>
      </c>
      <c r="B162" s="6" t="s">
        <v>1600</v>
      </c>
      <c r="C162" s="7">
        <v>46156</v>
      </c>
      <c r="D162" s="9" t="s">
        <v>241</v>
      </c>
      <c r="E162" s="4" t="s">
        <v>28</v>
      </c>
      <c r="F162" s="9" t="s">
        <v>242</v>
      </c>
      <c r="G162" s="9">
        <v>1</v>
      </c>
      <c r="H162" s="6" t="s">
        <v>615</v>
      </c>
      <c r="I162" s="9" t="s">
        <v>1601</v>
      </c>
      <c r="J162" s="9" t="s">
        <v>145</v>
      </c>
    </row>
    <row r="163" spans="1:10">
      <c r="A163" s="5" t="s">
        <v>507</v>
      </c>
      <c r="B163" s="6" t="s">
        <v>1600</v>
      </c>
      <c r="C163" s="7">
        <v>46156</v>
      </c>
      <c r="D163" s="9" t="s">
        <v>241</v>
      </c>
      <c r="E163" s="8" t="s">
        <v>29</v>
      </c>
      <c r="F163" s="9" t="s">
        <v>246</v>
      </c>
      <c r="G163" s="9">
        <v>1</v>
      </c>
      <c r="H163" s="6" t="s">
        <v>615</v>
      </c>
      <c r="I163" s="9" t="s">
        <v>1601</v>
      </c>
      <c r="J163" s="9" t="s">
        <v>145</v>
      </c>
    </row>
    <row r="164" spans="1:10">
      <c r="A164" s="5" t="s">
        <v>508</v>
      </c>
      <c r="B164" s="6" t="s">
        <v>1600</v>
      </c>
      <c r="C164" s="7">
        <v>46156</v>
      </c>
      <c r="D164" s="9" t="s">
        <v>261</v>
      </c>
      <c r="E164" s="8" t="s">
        <v>281</v>
      </c>
      <c r="F164" s="9" t="s">
        <v>242</v>
      </c>
      <c r="G164" s="9">
        <v>2</v>
      </c>
      <c r="H164" s="6" t="s">
        <v>615</v>
      </c>
      <c r="I164" s="9" t="s">
        <v>1601</v>
      </c>
      <c r="J164" s="9" t="s">
        <v>145</v>
      </c>
    </row>
    <row r="165" spans="1:10">
      <c r="A165" s="5" t="s">
        <v>510</v>
      </c>
      <c r="B165" s="6" t="s">
        <v>1602</v>
      </c>
      <c r="C165" s="7">
        <v>46156</v>
      </c>
      <c r="D165" s="9" t="s">
        <v>241</v>
      </c>
      <c r="E165" s="8" t="s">
        <v>1152</v>
      </c>
      <c r="F165" s="9" t="s">
        <v>242</v>
      </c>
      <c r="G165" s="9">
        <v>1</v>
      </c>
      <c r="H165" s="6" t="s">
        <v>243</v>
      </c>
      <c r="I165" s="9" t="s">
        <v>605</v>
      </c>
      <c r="J165" s="9" t="s">
        <v>145</v>
      </c>
    </row>
    <row r="166" spans="1:10">
      <c r="A166" s="5" t="s">
        <v>511</v>
      </c>
      <c r="B166" s="6" t="s">
        <v>1602</v>
      </c>
      <c r="C166" s="7">
        <v>46156</v>
      </c>
      <c r="D166" s="9" t="s">
        <v>241</v>
      </c>
      <c r="E166" s="8" t="s">
        <v>27</v>
      </c>
      <c r="F166" s="9" t="s">
        <v>246</v>
      </c>
      <c r="G166" s="9">
        <v>1</v>
      </c>
      <c r="H166" s="6" t="s">
        <v>243</v>
      </c>
      <c r="I166" s="9" t="s">
        <v>605</v>
      </c>
      <c r="J166" s="9" t="s">
        <v>145</v>
      </c>
    </row>
    <row r="167" spans="1:10">
      <c r="A167" s="5" t="s">
        <v>515</v>
      </c>
      <c r="B167" s="6" t="s">
        <v>1603</v>
      </c>
      <c r="C167" s="7">
        <v>46156</v>
      </c>
      <c r="D167" s="9" t="s">
        <v>299</v>
      </c>
      <c r="E167" s="8" t="s">
        <v>376</v>
      </c>
      <c r="F167" s="9" t="s">
        <v>242</v>
      </c>
      <c r="G167" s="9">
        <v>1</v>
      </c>
      <c r="H167" s="6" t="s">
        <v>243</v>
      </c>
      <c r="I167" s="9" t="s">
        <v>357</v>
      </c>
      <c r="J167" s="9" t="s">
        <v>145</v>
      </c>
    </row>
    <row r="168" spans="1:10">
      <c r="A168" s="5" t="s">
        <v>516</v>
      </c>
      <c r="B168" s="6" t="s">
        <v>1603</v>
      </c>
      <c r="C168" s="7">
        <v>46156</v>
      </c>
      <c r="D168" s="9" t="s">
        <v>299</v>
      </c>
      <c r="E168" s="8" t="s">
        <v>22</v>
      </c>
      <c r="F168" s="9" t="s">
        <v>246</v>
      </c>
      <c r="G168" s="9">
        <v>1</v>
      </c>
      <c r="H168" s="6" t="s">
        <v>243</v>
      </c>
      <c r="I168" s="9" t="s">
        <v>357</v>
      </c>
      <c r="J168" s="9" t="s">
        <v>145</v>
      </c>
    </row>
    <row r="169" spans="1:10">
      <c r="A169" s="5" t="s">
        <v>519</v>
      </c>
      <c r="B169" s="6" t="s">
        <v>1604</v>
      </c>
      <c r="C169" s="7">
        <v>46156</v>
      </c>
      <c r="D169" s="9" t="s">
        <v>241</v>
      </c>
      <c r="E169" s="8" t="s">
        <v>1152</v>
      </c>
      <c r="F169" s="9" t="s">
        <v>242</v>
      </c>
      <c r="G169" s="9">
        <v>1</v>
      </c>
      <c r="H169" s="6" t="s">
        <v>243</v>
      </c>
      <c r="I169" s="9" t="s">
        <v>605</v>
      </c>
      <c r="J169" s="9" t="s">
        <v>145</v>
      </c>
    </row>
    <row r="170" spans="1:10">
      <c r="A170" s="5" t="s">
        <v>520</v>
      </c>
      <c r="B170" s="6" t="s">
        <v>1604</v>
      </c>
      <c r="C170" s="7">
        <v>46156</v>
      </c>
      <c r="D170" s="9" t="s">
        <v>241</v>
      </c>
      <c r="E170" s="4" t="s">
        <v>29</v>
      </c>
      <c r="F170" s="9" t="s">
        <v>246</v>
      </c>
      <c r="G170" s="9">
        <v>1</v>
      </c>
      <c r="H170" s="6" t="s">
        <v>243</v>
      </c>
      <c r="I170" s="9" t="s">
        <v>605</v>
      </c>
      <c r="J170" s="9" t="s">
        <v>145</v>
      </c>
    </row>
    <row r="171" spans="1:10">
      <c r="A171" s="5" t="s">
        <v>521</v>
      </c>
      <c r="B171" s="6" t="s">
        <v>1604</v>
      </c>
      <c r="C171" s="7">
        <v>46156</v>
      </c>
      <c r="D171" s="9" t="s">
        <v>261</v>
      </c>
      <c r="E171" s="8" t="s">
        <v>281</v>
      </c>
      <c r="F171" s="9" t="s">
        <v>242</v>
      </c>
      <c r="G171" s="9">
        <v>2</v>
      </c>
      <c r="H171" s="6" t="s">
        <v>243</v>
      </c>
      <c r="I171" s="9" t="s">
        <v>605</v>
      </c>
      <c r="J171" s="9" t="s">
        <v>145</v>
      </c>
    </row>
    <row r="172" spans="1:10">
      <c r="A172" s="5" t="s">
        <v>523</v>
      </c>
      <c r="B172" s="6" t="s">
        <v>1605</v>
      </c>
      <c r="C172" s="7">
        <v>46156</v>
      </c>
      <c r="D172" s="9" t="s">
        <v>264</v>
      </c>
      <c r="E172" s="8" t="s">
        <v>38</v>
      </c>
      <c r="F172" s="9" t="s">
        <v>586</v>
      </c>
      <c r="G172" s="9">
        <v>1</v>
      </c>
      <c r="H172" s="6" t="s">
        <v>1606</v>
      </c>
      <c r="I172" s="9" t="s">
        <v>258</v>
      </c>
      <c r="J172" s="9" t="s">
        <v>145</v>
      </c>
    </row>
    <row r="173" spans="1:10">
      <c r="A173" s="5" t="s">
        <v>524</v>
      </c>
      <c r="B173" s="6" t="s">
        <v>1605</v>
      </c>
      <c r="C173" s="7">
        <v>46156</v>
      </c>
      <c r="D173" s="9" t="s">
        <v>500</v>
      </c>
      <c r="E173" s="8" t="s">
        <v>48</v>
      </c>
      <c r="F173" s="9" t="s">
        <v>586</v>
      </c>
      <c r="G173" s="9">
        <v>1</v>
      </c>
      <c r="H173" s="6" t="s">
        <v>1606</v>
      </c>
      <c r="I173" s="9" t="s">
        <v>258</v>
      </c>
      <c r="J173" s="9" t="s">
        <v>145</v>
      </c>
    </row>
    <row r="174" spans="1:10">
      <c r="A174" s="5" t="s">
        <v>527</v>
      </c>
      <c r="B174" s="6" t="s">
        <v>1605</v>
      </c>
      <c r="C174" s="7">
        <v>46156</v>
      </c>
      <c r="D174" s="9" t="s">
        <v>500</v>
      </c>
      <c r="E174" s="4" t="s">
        <v>52</v>
      </c>
      <c r="F174" s="9" t="s">
        <v>586</v>
      </c>
      <c r="G174" s="9">
        <v>1</v>
      </c>
      <c r="H174" s="6" t="s">
        <v>1606</v>
      </c>
      <c r="I174" s="9" t="s">
        <v>258</v>
      </c>
      <c r="J174" s="9" t="s">
        <v>145</v>
      </c>
    </row>
    <row r="175" spans="1:10">
      <c r="A175" s="5" t="s">
        <v>528</v>
      </c>
      <c r="B175" s="6" t="s">
        <v>1605</v>
      </c>
      <c r="C175" s="7">
        <v>46156</v>
      </c>
      <c r="D175" s="9" t="s">
        <v>261</v>
      </c>
      <c r="E175" s="8" t="s">
        <v>64</v>
      </c>
      <c r="F175" s="9" t="s">
        <v>586</v>
      </c>
      <c r="G175" s="9">
        <v>6</v>
      </c>
      <c r="H175" s="6" t="s">
        <v>1606</v>
      </c>
      <c r="I175" s="9" t="s">
        <v>258</v>
      </c>
      <c r="J175" s="9" t="s">
        <v>145</v>
      </c>
    </row>
    <row r="176" spans="1:10">
      <c r="A176" s="5" t="s">
        <v>529</v>
      </c>
      <c r="B176" s="6" t="s">
        <v>1605</v>
      </c>
      <c r="C176" s="7">
        <v>46156</v>
      </c>
      <c r="D176" s="9" t="s">
        <v>270</v>
      </c>
      <c r="E176" s="8" t="s">
        <v>271</v>
      </c>
      <c r="F176" s="9" t="s">
        <v>586</v>
      </c>
      <c r="G176" s="9">
        <v>6</v>
      </c>
      <c r="H176" s="6" t="s">
        <v>1606</v>
      </c>
      <c r="I176" s="9" t="s">
        <v>258</v>
      </c>
      <c r="J176" s="9" t="s">
        <v>145</v>
      </c>
    </row>
    <row r="177" spans="1:10">
      <c r="A177" s="5" t="s">
        <v>533</v>
      </c>
      <c r="B177" s="6" t="s">
        <v>1607</v>
      </c>
      <c r="C177" s="7">
        <v>46157</v>
      </c>
      <c r="D177" s="9" t="s">
        <v>241</v>
      </c>
      <c r="E177" s="8" t="s">
        <v>1152</v>
      </c>
      <c r="F177" s="9" t="s">
        <v>242</v>
      </c>
      <c r="G177" s="9">
        <v>1</v>
      </c>
      <c r="H177" s="6" t="s">
        <v>243</v>
      </c>
      <c r="I177" s="9" t="s">
        <v>289</v>
      </c>
      <c r="J177" s="9" t="s">
        <v>145</v>
      </c>
    </row>
    <row r="178" spans="1:10">
      <c r="A178" s="5" t="s">
        <v>534</v>
      </c>
      <c r="B178" s="6" t="s">
        <v>1607</v>
      </c>
      <c r="C178" s="7">
        <v>46157</v>
      </c>
      <c r="D178" s="9" t="s">
        <v>241</v>
      </c>
      <c r="E178" s="8" t="s">
        <v>29</v>
      </c>
      <c r="F178" s="9" t="s">
        <v>246</v>
      </c>
      <c r="G178" s="9">
        <v>1</v>
      </c>
      <c r="H178" s="6" t="s">
        <v>243</v>
      </c>
      <c r="I178" s="9" t="s">
        <v>289</v>
      </c>
      <c r="J178" s="9" t="s">
        <v>145</v>
      </c>
    </row>
    <row r="179" spans="1:10">
      <c r="A179" s="5" t="s">
        <v>537</v>
      </c>
      <c r="B179" s="6" t="s">
        <v>1598</v>
      </c>
      <c r="C179" s="7">
        <v>46157</v>
      </c>
      <c r="D179" s="9" t="s">
        <v>241</v>
      </c>
      <c r="E179" s="8" t="s">
        <v>1152</v>
      </c>
      <c r="F179" s="9" t="s">
        <v>242</v>
      </c>
      <c r="G179" s="9">
        <v>2</v>
      </c>
      <c r="H179" s="6" t="s">
        <v>1608</v>
      </c>
      <c r="I179" s="9" t="s">
        <v>289</v>
      </c>
      <c r="J179" s="9" t="s">
        <v>145</v>
      </c>
    </row>
    <row r="180" spans="1:10">
      <c r="A180" s="5" t="s">
        <v>538</v>
      </c>
      <c r="B180" s="6" t="s">
        <v>1598</v>
      </c>
      <c r="C180" s="7">
        <v>46157</v>
      </c>
      <c r="D180" s="9" t="s">
        <v>241</v>
      </c>
      <c r="E180" s="8" t="s">
        <v>27</v>
      </c>
      <c r="F180" s="9" t="s">
        <v>246</v>
      </c>
      <c r="G180" s="9">
        <v>2</v>
      </c>
      <c r="H180" s="6" t="s">
        <v>1608</v>
      </c>
      <c r="I180" s="9" t="s">
        <v>289</v>
      </c>
      <c r="J180" s="9" t="s">
        <v>145</v>
      </c>
    </row>
    <row r="181" spans="1:10">
      <c r="A181" s="5" t="s">
        <v>539</v>
      </c>
      <c r="B181" s="6" t="s">
        <v>1598</v>
      </c>
      <c r="C181" s="7">
        <v>46157</v>
      </c>
      <c r="D181" s="9" t="s">
        <v>261</v>
      </c>
      <c r="E181" s="4" t="s">
        <v>281</v>
      </c>
      <c r="F181" s="9" t="s">
        <v>242</v>
      </c>
      <c r="G181" s="9">
        <v>2</v>
      </c>
      <c r="H181" s="6" t="s">
        <v>1608</v>
      </c>
      <c r="I181" s="9" t="s">
        <v>289</v>
      </c>
      <c r="J181" s="9" t="s">
        <v>145</v>
      </c>
    </row>
    <row r="182" spans="1:10">
      <c r="A182" s="5" t="s">
        <v>541</v>
      </c>
      <c r="B182" s="6" t="s">
        <v>1609</v>
      </c>
      <c r="C182" s="7">
        <v>46157</v>
      </c>
      <c r="D182" s="9" t="s">
        <v>241</v>
      </c>
      <c r="E182" s="8" t="s">
        <v>1152</v>
      </c>
      <c r="F182" s="9" t="s">
        <v>242</v>
      </c>
      <c r="G182" s="9">
        <v>1</v>
      </c>
      <c r="H182" s="6" t="s">
        <v>328</v>
      </c>
      <c r="I182" s="9" t="s">
        <v>388</v>
      </c>
      <c r="J182" s="9" t="s">
        <v>145</v>
      </c>
    </row>
    <row r="183" spans="1:10">
      <c r="A183" s="5" t="s">
        <v>542</v>
      </c>
      <c r="B183" s="6" t="s">
        <v>1609</v>
      </c>
      <c r="C183" s="7">
        <v>46157</v>
      </c>
      <c r="D183" s="9" t="s">
        <v>241</v>
      </c>
      <c r="E183" s="4" t="s">
        <v>29</v>
      </c>
      <c r="F183" s="9" t="s">
        <v>246</v>
      </c>
      <c r="G183" s="9">
        <v>1</v>
      </c>
      <c r="H183" s="6" t="s">
        <v>328</v>
      </c>
      <c r="I183" s="9" t="s">
        <v>388</v>
      </c>
      <c r="J183" s="9" t="s">
        <v>145</v>
      </c>
    </row>
    <row r="184" spans="1:10">
      <c r="A184" s="5" t="s">
        <v>543</v>
      </c>
      <c r="B184" s="6" t="s">
        <v>1610</v>
      </c>
      <c r="C184" s="7">
        <v>46157</v>
      </c>
      <c r="D184" s="9" t="s">
        <v>241</v>
      </c>
      <c r="E184" s="8" t="s">
        <v>28</v>
      </c>
      <c r="F184" s="9" t="s">
        <v>242</v>
      </c>
      <c r="G184" s="9">
        <v>1</v>
      </c>
      <c r="H184" s="6" t="s">
        <v>328</v>
      </c>
      <c r="I184" s="9" t="s">
        <v>415</v>
      </c>
      <c r="J184" s="9" t="s">
        <v>145</v>
      </c>
    </row>
    <row r="185" spans="1:10">
      <c r="A185" s="5" t="s">
        <v>544</v>
      </c>
      <c r="B185" s="6" t="s">
        <v>1610</v>
      </c>
      <c r="C185" s="7">
        <v>46157</v>
      </c>
      <c r="D185" s="9" t="s">
        <v>241</v>
      </c>
      <c r="E185" s="8" t="s">
        <v>29</v>
      </c>
      <c r="F185" s="9" t="s">
        <v>246</v>
      </c>
      <c r="G185" s="9">
        <v>1</v>
      </c>
      <c r="H185" s="6" t="s">
        <v>328</v>
      </c>
      <c r="I185" s="9" t="s">
        <v>415</v>
      </c>
      <c r="J185" s="9" t="s">
        <v>145</v>
      </c>
    </row>
    <row r="186" spans="1:10">
      <c r="A186" s="5" t="s">
        <v>545</v>
      </c>
      <c r="B186" s="6" t="s">
        <v>1610</v>
      </c>
      <c r="C186" s="7">
        <v>46157</v>
      </c>
      <c r="D186" s="9" t="s">
        <v>261</v>
      </c>
      <c r="E186" s="8" t="s">
        <v>281</v>
      </c>
      <c r="F186" s="9" t="s">
        <v>242</v>
      </c>
      <c r="G186" s="9">
        <v>3</v>
      </c>
      <c r="H186" s="6" t="s">
        <v>328</v>
      </c>
      <c r="I186" s="9" t="s">
        <v>415</v>
      </c>
      <c r="J186" s="9" t="s">
        <v>145</v>
      </c>
    </row>
    <row r="187" spans="1:10">
      <c r="A187" s="5" t="s">
        <v>546</v>
      </c>
      <c r="B187" s="6" t="s">
        <v>1611</v>
      </c>
      <c r="C187" s="7">
        <v>46158</v>
      </c>
      <c r="D187" s="9" t="s">
        <v>299</v>
      </c>
      <c r="E187" s="8" t="s">
        <v>22</v>
      </c>
      <c r="F187" s="9" t="s">
        <v>242</v>
      </c>
      <c r="G187" s="9">
        <v>1</v>
      </c>
      <c r="H187" s="6" t="s">
        <v>526</v>
      </c>
      <c r="I187" s="9" t="s">
        <v>311</v>
      </c>
      <c r="J187" s="9" t="s">
        <v>145</v>
      </c>
    </row>
    <row r="188" spans="1:10">
      <c r="A188" s="5" t="s">
        <v>549</v>
      </c>
      <c r="B188" s="6" t="s">
        <v>1611</v>
      </c>
      <c r="C188" s="7">
        <v>46158</v>
      </c>
      <c r="D188" s="9" t="s">
        <v>299</v>
      </c>
      <c r="E188" s="8" t="s">
        <v>376</v>
      </c>
      <c r="F188" s="9" t="s">
        <v>246</v>
      </c>
      <c r="G188" s="9">
        <v>1</v>
      </c>
      <c r="H188" s="6" t="s">
        <v>526</v>
      </c>
      <c r="I188" s="9" t="s">
        <v>311</v>
      </c>
      <c r="J188" s="9" t="s">
        <v>145</v>
      </c>
    </row>
    <row r="189" spans="1:10">
      <c r="A189" s="5" t="s">
        <v>550</v>
      </c>
      <c r="B189" s="6" t="s">
        <v>1612</v>
      </c>
      <c r="C189" s="7">
        <v>46158</v>
      </c>
      <c r="D189" s="9" t="s">
        <v>241</v>
      </c>
      <c r="E189" s="8" t="s">
        <v>1152</v>
      </c>
      <c r="F189" s="9" t="s">
        <v>242</v>
      </c>
      <c r="G189" s="9">
        <v>1</v>
      </c>
      <c r="H189" s="6" t="s">
        <v>243</v>
      </c>
      <c r="I189" s="9" t="s">
        <v>311</v>
      </c>
      <c r="J189" s="9" t="s">
        <v>145</v>
      </c>
    </row>
    <row r="190" spans="1:10">
      <c r="A190" s="5" t="s">
        <v>551</v>
      </c>
      <c r="B190" s="6" t="s">
        <v>1612</v>
      </c>
      <c r="C190" s="7">
        <v>46158</v>
      </c>
      <c r="D190" s="9" t="s">
        <v>241</v>
      </c>
      <c r="E190" s="8" t="s">
        <v>27</v>
      </c>
      <c r="F190" s="9" t="s">
        <v>246</v>
      </c>
      <c r="G190" s="9">
        <v>1</v>
      </c>
      <c r="H190" s="6" t="s">
        <v>243</v>
      </c>
      <c r="I190" s="9" t="s">
        <v>311</v>
      </c>
      <c r="J190" s="9" t="s">
        <v>145</v>
      </c>
    </row>
    <row r="191" spans="1:10">
      <c r="A191" s="5" t="s">
        <v>553</v>
      </c>
      <c r="B191" s="6" t="s">
        <v>1613</v>
      </c>
      <c r="C191" s="7">
        <v>46160</v>
      </c>
      <c r="D191" s="9" t="s">
        <v>241</v>
      </c>
      <c r="E191" s="8" t="s">
        <v>1152</v>
      </c>
      <c r="F191" s="9" t="s">
        <v>242</v>
      </c>
      <c r="G191" s="9">
        <v>1</v>
      </c>
      <c r="H191" s="6" t="s">
        <v>1386</v>
      </c>
      <c r="I191" s="9" t="s">
        <v>363</v>
      </c>
      <c r="J191" s="9" t="s">
        <v>145</v>
      </c>
    </row>
    <row r="192" spans="1:10">
      <c r="A192" s="5" t="s">
        <v>554</v>
      </c>
      <c r="B192" s="6" t="s">
        <v>1613</v>
      </c>
      <c r="C192" s="7">
        <v>46160</v>
      </c>
      <c r="D192" s="9" t="s">
        <v>241</v>
      </c>
      <c r="E192" s="4" t="s">
        <v>27</v>
      </c>
      <c r="F192" s="9" t="s">
        <v>246</v>
      </c>
      <c r="G192" s="9">
        <v>1</v>
      </c>
      <c r="H192" s="6" t="s">
        <v>1386</v>
      </c>
      <c r="I192" s="9" t="s">
        <v>363</v>
      </c>
      <c r="J192" s="9" t="s">
        <v>145</v>
      </c>
    </row>
    <row r="193" spans="1:10">
      <c r="A193" s="5" t="s">
        <v>555</v>
      </c>
      <c r="B193" s="6" t="s">
        <v>1614</v>
      </c>
      <c r="C193" s="7">
        <v>46156</v>
      </c>
      <c r="D193" s="9" t="s">
        <v>665</v>
      </c>
      <c r="E193" s="8" t="s">
        <v>666</v>
      </c>
      <c r="F193" s="9" t="s">
        <v>242</v>
      </c>
      <c r="G193" s="9">
        <v>1</v>
      </c>
      <c r="H193" s="6" t="s">
        <v>1615</v>
      </c>
      <c r="I193" s="9" t="s">
        <v>918</v>
      </c>
      <c r="J193" s="9" t="s">
        <v>145</v>
      </c>
    </row>
    <row r="194" spans="1:10">
      <c r="A194" s="5" t="s">
        <v>557</v>
      </c>
      <c r="B194" s="6" t="s">
        <v>1614</v>
      </c>
      <c r="C194" s="7">
        <v>46156</v>
      </c>
      <c r="D194" s="9" t="s">
        <v>665</v>
      </c>
      <c r="E194" s="8" t="s">
        <v>42</v>
      </c>
      <c r="F194" s="9" t="s">
        <v>246</v>
      </c>
      <c r="G194" s="9">
        <v>1</v>
      </c>
      <c r="H194" s="6" t="s">
        <v>1615</v>
      </c>
      <c r="I194" s="9" t="s">
        <v>918</v>
      </c>
      <c r="J194" s="9" t="s">
        <v>145</v>
      </c>
    </row>
    <row r="195" spans="1:10">
      <c r="A195" s="5" t="s">
        <v>558</v>
      </c>
      <c r="B195" s="6" t="s">
        <v>1614</v>
      </c>
      <c r="C195" s="7">
        <v>46156</v>
      </c>
      <c r="D195" s="9" t="s">
        <v>261</v>
      </c>
      <c r="E195" s="8" t="s">
        <v>64</v>
      </c>
      <c r="F195" s="9" t="s">
        <v>242</v>
      </c>
      <c r="G195" s="9">
        <v>2</v>
      </c>
      <c r="H195" s="6" t="s">
        <v>1615</v>
      </c>
      <c r="I195" s="9" t="s">
        <v>918</v>
      </c>
      <c r="J195" s="9" t="s">
        <v>145</v>
      </c>
    </row>
    <row r="196" spans="1:10">
      <c r="A196" s="5" t="s">
        <v>561</v>
      </c>
      <c r="B196" s="6" t="s">
        <v>1614</v>
      </c>
      <c r="C196" s="7">
        <v>46156</v>
      </c>
      <c r="D196" s="9" t="s">
        <v>270</v>
      </c>
      <c r="E196" s="8" t="s">
        <v>271</v>
      </c>
      <c r="F196" s="9" t="s">
        <v>242</v>
      </c>
      <c r="G196" s="9">
        <v>2</v>
      </c>
      <c r="H196" s="6" t="s">
        <v>1615</v>
      </c>
      <c r="I196" s="9" t="s">
        <v>918</v>
      </c>
      <c r="J196" s="9" t="s">
        <v>145</v>
      </c>
    </row>
    <row r="197" spans="1:10">
      <c r="A197" s="5" t="s">
        <v>562</v>
      </c>
      <c r="B197" s="6" t="s">
        <v>1614</v>
      </c>
      <c r="C197" s="7">
        <v>46156</v>
      </c>
      <c r="D197" s="9" t="s">
        <v>503</v>
      </c>
      <c r="E197" s="8" t="s">
        <v>162</v>
      </c>
      <c r="F197" s="9" t="s">
        <v>242</v>
      </c>
      <c r="G197" s="9">
        <v>1</v>
      </c>
      <c r="H197" s="6" t="s">
        <v>1615</v>
      </c>
      <c r="I197" s="9" t="s">
        <v>918</v>
      </c>
      <c r="J197" s="9" t="s">
        <v>145</v>
      </c>
    </row>
    <row r="198" spans="1:10">
      <c r="A198" s="5" t="s">
        <v>567</v>
      </c>
      <c r="B198" s="6" t="s">
        <v>1614</v>
      </c>
      <c r="C198" s="7">
        <v>46156</v>
      </c>
      <c r="D198" s="9" t="s">
        <v>503</v>
      </c>
      <c r="E198" s="4" t="s">
        <v>1429</v>
      </c>
      <c r="F198" s="9" t="s">
        <v>242</v>
      </c>
      <c r="G198" s="9">
        <v>85</v>
      </c>
      <c r="H198" s="6" t="s">
        <v>1615</v>
      </c>
      <c r="I198" s="9" t="s">
        <v>918</v>
      </c>
      <c r="J198" s="9" t="s">
        <v>145</v>
      </c>
    </row>
    <row r="199" spans="1:10">
      <c r="A199" s="5" t="s">
        <v>568</v>
      </c>
      <c r="B199" s="6" t="s">
        <v>1614</v>
      </c>
      <c r="C199" s="7">
        <v>46156</v>
      </c>
      <c r="D199" s="9" t="s">
        <v>503</v>
      </c>
      <c r="E199" s="8" t="s">
        <v>75</v>
      </c>
      <c r="F199" s="9" t="s">
        <v>242</v>
      </c>
      <c r="G199" s="9">
        <v>2</v>
      </c>
      <c r="H199" s="6" t="s">
        <v>1615</v>
      </c>
      <c r="I199" s="9" t="s">
        <v>918</v>
      </c>
      <c r="J199" s="9" t="s">
        <v>145</v>
      </c>
    </row>
    <row r="200" spans="1:10">
      <c r="A200" s="5" t="s">
        <v>569</v>
      </c>
      <c r="B200" s="6" t="s">
        <v>1616</v>
      </c>
      <c r="C200" s="7">
        <v>46160</v>
      </c>
      <c r="D200" s="9" t="s">
        <v>1</v>
      </c>
      <c r="E200" s="8" t="s">
        <v>1617</v>
      </c>
      <c r="F200" s="9" t="s">
        <v>242</v>
      </c>
      <c r="G200" s="9">
        <v>1</v>
      </c>
      <c r="H200" s="6" t="s">
        <v>1618</v>
      </c>
      <c r="I200" s="9" t="s">
        <v>284</v>
      </c>
      <c r="J200" s="9" t="s">
        <v>145</v>
      </c>
    </row>
    <row r="201" spans="1:10">
      <c r="A201" s="5" t="s">
        <v>570</v>
      </c>
      <c r="B201" s="6" t="s">
        <v>1616</v>
      </c>
      <c r="C201" s="7">
        <v>46160</v>
      </c>
      <c r="D201" s="9" t="s">
        <v>1</v>
      </c>
      <c r="E201" s="8" t="s">
        <v>14</v>
      </c>
      <c r="F201" s="9" t="s">
        <v>246</v>
      </c>
      <c r="G201" s="9">
        <v>1</v>
      </c>
      <c r="H201" s="6" t="s">
        <v>1618</v>
      </c>
      <c r="I201" s="9" t="s">
        <v>284</v>
      </c>
      <c r="J201" s="9" t="s">
        <v>145</v>
      </c>
    </row>
    <row r="202" spans="1:10">
      <c r="A202" s="5" t="s">
        <v>571</v>
      </c>
      <c r="B202" s="6" t="s">
        <v>1619</v>
      </c>
      <c r="C202" s="7">
        <v>46160</v>
      </c>
      <c r="D202" s="9" t="s">
        <v>299</v>
      </c>
      <c r="E202" s="8" t="s">
        <v>24</v>
      </c>
      <c r="F202" s="9" t="s">
        <v>242</v>
      </c>
      <c r="G202" s="9">
        <v>1</v>
      </c>
      <c r="H202" s="6" t="s">
        <v>328</v>
      </c>
      <c r="I202" s="9" t="s">
        <v>258</v>
      </c>
      <c r="J202" s="9" t="s">
        <v>145</v>
      </c>
    </row>
    <row r="203" spans="1:10">
      <c r="A203" s="5" t="s">
        <v>573</v>
      </c>
      <c r="B203" s="6" t="s">
        <v>1619</v>
      </c>
      <c r="C203" s="7">
        <v>46160</v>
      </c>
      <c r="D203" s="9" t="s">
        <v>299</v>
      </c>
      <c r="E203" s="4" t="s">
        <v>1334</v>
      </c>
      <c r="F203" s="9" t="s">
        <v>246</v>
      </c>
      <c r="G203" s="9">
        <v>1</v>
      </c>
      <c r="H203" s="6" t="s">
        <v>328</v>
      </c>
      <c r="I203" s="9" t="s">
        <v>258</v>
      </c>
      <c r="J203" s="9" t="s">
        <v>145</v>
      </c>
    </row>
    <row r="204" spans="1:10">
      <c r="A204" s="5" t="s">
        <v>574</v>
      </c>
      <c r="B204" s="6" t="s">
        <v>1619</v>
      </c>
      <c r="C204" s="7">
        <v>46160</v>
      </c>
      <c r="D204" s="9" t="s">
        <v>261</v>
      </c>
      <c r="E204" s="8" t="s">
        <v>64</v>
      </c>
      <c r="F204" s="9" t="s">
        <v>242</v>
      </c>
      <c r="G204" s="9">
        <v>3</v>
      </c>
      <c r="H204" s="6" t="s">
        <v>328</v>
      </c>
      <c r="I204" s="9" t="s">
        <v>258</v>
      </c>
      <c r="J204" s="9" t="s">
        <v>145</v>
      </c>
    </row>
    <row r="205" spans="1:10">
      <c r="A205" s="5" t="s">
        <v>575</v>
      </c>
      <c r="B205" s="6" t="s">
        <v>1619</v>
      </c>
      <c r="C205" s="7">
        <v>46160</v>
      </c>
      <c r="D205" s="9" t="s">
        <v>270</v>
      </c>
      <c r="E205" s="8" t="s">
        <v>271</v>
      </c>
      <c r="F205" s="9" t="s">
        <v>242</v>
      </c>
      <c r="G205" s="9">
        <v>3</v>
      </c>
      <c r="H205" s="6" t="s">
        <v>328</v>
      </c>
      <c r="I205" s="9" t="s">
        <v>258</v>
      </c>
      <c r="J205" s="9" t="s">
        <v>145</v>
      </c>
    </row>
    <row r="206" spans="1:10">
      <c r="A206" s="5" t="s">
        <v>576</v>
      </c>
      <c r="B206" s="6" t="s">
        <v>1619</v>
      </c>
      <c r="C206" s="7">
        <v>46160</v>
      </c>
      <c r="D206" s="9" t="s">
        <v>503</v>
      </c>
      <c r="E206" s="8" t="s">
        <v>206</v>
      </c>
      <c r="F206" s="9" t="s">
        <v>242</v>
      </c>
      <c r="G206" s="9">
        <v>2</v>
      </c>
      <c r="H206" s="6" t="s">
        <v>328</v>
      </c>
      <c r="I206" s="9" t="s">
        <v>258</v>
      </c>
      <c r="J206" s="9" t="s">
        <v>145</v>
      </c>
    </row>
    <row r="207" spans="1:10">
      <c r="A207" s="5" t="s">
        <v>577</v>
      </c>
      <c r="B207" s="6" t="s">
        <v>1620</v>
      </c>
      <c r="C207" s="7">
        <v>46160</v>
      </c>
      <c r="D207" s="9" t="s">
        <v>241</v>
      </c>
      <c r="E207" s="8" t="s">
        <v>1152</v>
      </c>
      <c r="F207" s="9" t="s">
        <v>242</v>
      </c>
      <c r="G207" s="9">
        <v>1</v>
      </c>
      <c r="H207" s="6" t="s">
        <v>942</v>
      </c>
      <c r="I207" s="9" t="s">
        <v>258</v>
      </c>
      <c r="J207" s="9" t="s">
        <v>145</v>
      </c>
    </row>
    <row r="208" spans="1:10">
      <c r="A208" s="5" t="s">
        <v>580</v>
      </c>
      <c r="B208" s="6" t="s">
        <v>1620</v>
      </c>
      <c r="C208" s="7">
        <v>46160</v>
      </c>
      <c r="D208" s="9" t="s">
        <v>241</v>
      </c>
      <c r="E208" s="8" t="s">
        <v>29</v>
      </c>
      <c r="F208" s="9" t="s">
        <v>246</v>
      </c>
      <c r="G208" s="9">
        <v>1</v>
      </c>
      <c r="H208" s="6" t="s">
        <v>942</v>
      </c>
      <c r="I208" s="9" t="s">
        <v>258</v>
      </c>
      <c r="J208" s="9" t="s">
        <v>145</v>
      </c>
    </row>
    <row r="209" spans="1:10">
      <c r="A209" s="5" t="s">
        <v>581</v>
      </c>
      <c r="B209" s="6" t="s">
        <v>1621</v>
      </c>
      <c r="C209" s="7">
        <v>46161</v>
      </c>
      <c r="D209" s="9" t="s">
        <v>299</v>
      </c>
      <c r="E209" s="8" t="s">
        <v>376</v>
      </c>
      <c r="F209" s="9" t="s">
        <v>242</v>
      </c>
      <c r="G209" s="9">
        <v>1</v>
      </c>
      <c r="H209" s="6" t="s">
        <v>1622</v>
      </c>
      <c r="I209" s="9" t="s">
        <v>337</v>
      </c>
      <c r="J209" s="9" t="s">
        <v>145</v>
      </c>
    </row>
    <row r="210" spans="1:10">
      <c r="A210" s="5" t="s">
        <v>583</v>
      </c>
      <c r="B210" s="6" t="s">
        <v>1621</v>
      </c>
      <c r="C210" s="7">
        <v>46161</v>
      </c>
      <c r="D210" s="9" t="s">
        <v>299</v>
      </c>
      <c r="E210" s="8" t="s">
        <v>376</v>
      </c>
      <c r="F210" s="9" t="s">
        <v>246</v>
      </c>
      <c r="G210" s="9">
        <v>1</v>
      </c>
      <c r="H210" s="6" t="s">
        <v>1622</v>
      </c>
      <c r="I210" s="9" t="s">
        <v>337</v>
      </c>
      <c r="J210" s="9" t="s">
        <v>145</v>
      </c>
    </row>
    <row r="211" spans="1:10">
      <c r="A211" s="5" t="s">
        <v>584</v>
      </c>
      <c r="B211" s="6" t="s">
        <v>1623</v>
      </c>
      <c r="C211" s="7">
        <v>46161</v>
      </c>
      <c r="D211" s="9" t="s">
        <v>241</v>
      </c>
      <c r="E211" s="8" t="s">
        <v>28</v>
      </c>
      <c r="F211" s="9" t="s">
        <v>242</v>
      </c>
      <c r="G211" s="9">
        <v>1</v>
      </c>
      <c r="H211" s="6" t="s">
        <v>328</v>
      </c>
      <c r="I211" s="9" t="s">
        <v>337</v>
      </c>
      <c r="J211" s="9" t="s">
        <v>145</v>
      </c>
    </row>
    <row r="212" spans="1:10">
      <c r="A212" s="5" t="s">
        <v>588</v>
      </c>
      <c r="B212" s="6" t="s">
        <v>1623</v>
      </c>
      <c r="C212" s="7">
        <v>46161</v>
      </c>
      <c r="D212" s="9" t="s">
        <v>241</v>
      </c>
      <c r="E212" s="8" t="s">
        <v>29</v>
      </c>
      <c r="F212" s="9" t="s">
        <v>246</v>
      </c>
      <c r="G212" s="9">
        <v>1</v>
      </c>
      <c r="H212" s="6" t="s">
        <v>328</v>
      </c>
      <c r="I212" s="9" t="s">
        <v>337</v>
      </c>
      <c r="J212" s="9" t="s">
        <v>145</v>
      </c>
    </row>
    <row r="213" spans="1:10">
      <c r="A213" s="5" t="s">
        <v>591</v>
      </c>
      <c r="B213" s="6" t="s">
        <v>1623</v>
      </c>
      <c r="C213" s="7">
        <v>46161</v>
      </c>
      <c r="D213" s="9" t="s">
        <v>395</v>
      </c>
      <c r="E213" s="8" t="s">
        <v>57</v>
      </c>
      <c r="F213" s="9" t="s">
        <v>242</v>
      </c>
      <c r="G213" s="9">
        <v>1</v>
      </c>
      <c r="H213" s="6" t="s">
        <v>328</v>
      </c>
      <c r="I213" s="9" t="s">
        <v>337</v>
      </c>
      <c r="J213" s="9" t="s">
        <v>145</v>
      </c>
    </row>
    <row r="214" spans="1:10">
      <c r="A214" s="5" t="s">
        <v>592</v>
      </c>
      <c r="B214" s="6" t="s">
        <v>1623</v>
      </c>
      <c r="C214" s="7">
        <v>46161</v>
      </c>
      <c r="D214" s="9" t="s">
        <v>261</v>
      </c>
      <c r="E214" s="8" t="s">
        <v>281</v>
      </c>
      <c r="F214" s="9" t="s">
        <v>242</v>
      </c>
      <c r="G214" s="9">
        <v>2</v>
      </c>
      <c r="H214" s="6" t="s">
        <v>328</v>
      </c>
      <c r="I214" s="9" t="s">
        <v>337</v>
      </c>
      <c r="J214" s="9" t="s">
        <v>145</v>
      </c>
    </row>
    <row r="215" spans="1:10">
      <c r="A215" s="5" t="s">
        <v>593</v>
      </c>
      <c r="B215" s="6" t="s">
        <v>1624</v>
      </c>
      <c r="C215" s="7">
        <v>46161</v>
      </c>
      <c r="D215" s="9" t="s">
        <v>241</v>
      </c>
      <c r="E215" s="8" t="s">
        <v>28</v>
      </c>
      <c r="F215" s="9" t="s">
        <v>242</v>
      </c>
      <c r="G215" s="9">
        <v>1</v>
      </c>
      <c r="H215" s="6" t="s">
        <v>615</v>
      </c>
      <c r="I215" s="9" t="s">
        <v>605</v>
      </c>
      <c r="J215" s="9" t="s">
        <v>145</v>
      </c>
    </row>
    <row r="216" spans="1:10">
      <c r="A216" s="5" t="s">
        <v>595</v>
      </c>
      <c r="B216" s="6" t="s">
        <v>1624</v>
      </c>
      <c r="C216" s="7">
        <v>46161</v>
      </c>
      <c r="D216" s="9" t="s">
        <v>241</v>
      </c>
      <c r="E216" s="8" t="s">
        <v>29</v>
      </c>
      <c r="F216" s="9" t="s">
        <v>246</v>
      </c>
      <c r="G216" s="9">
        <v>1</v>
      </c>
      <c r="H216" s="6" t="s">
        <v>615</v>
      </c>
      <c r="I216" s="9" t="s">
        <v>605</v>
      </c>
      <c r="J216" s="9" t="s">
        <v>145</v>
      </c>
    </row>
    <row r="217" spans="1:10">
      <c r="A217" s="5" t="s">
        <v>596</v>
      </c>
      <c r="B217" s="6" t="s">
        <v>1624</v>
      </c>
      <c r="C217" s="7">
        <v>46161</v>
      </c>
      <c r="D217" s="9" t="s">
        <v>261</v>
      </c>
      <c r="E217" s="8" t="s">
        <v>281</v>
      </c>
      <c r="F217" s="9" t="s">
        <v>242</v>
      </c>
      <c r="G217" s="9">
        <v>2</v>
      </c>
      <c r="H217" s="6" t="s">
        <v>615</v>
      </c>
      <c r="I217" s="9" t="s">
        <v>605</v>
      </c>
      <c r="J217" s="9" t="s">
        <v>145</v>
      </c>
    </row>
    <row r="218" spans="1:10">
      <c r="A218" s="5" t="s">
        <v>599</v>
      </c>
      <c r="B218" s="6" t="s">
        <v>1625</v>
      </c>
      <c r="C218" s="7">
        <v>46161</v>
      </c>
      <c r="D218" s="9" t="s">
        <v>299</v>
      </c>
      <c r="E218" s="8" t="s">
        <v>1334</v>
      </c>
      <c r="F218" s="9" t="s">
        <v>242</v>
      </c>
      <c r="G218" s="9">
        <v>1</v>
      </c>
      <c r="H218" s="6" t="s">
        <v>1626</v>
      </c>
      <c r="I218" s="9" t="s">
        <v>628</v>
      </c>
      <c r="J218" s="9" t="s">
        <v>145</v>
      </c>
    </row>
    <row r="219" spans="1:10">
      <c r="A219" s="5" t="s">
        <v>600</v>
      </c>
      <c r="B219" s="6" t="s">
        <v>1625</v>
      </c>
      <c r="C219" s="7">
        <v>46161</v>
      </c>
      <c r="D219" s="9" t="s">
        <v>299</v>
      </c>
      <c r="E219" s="8" t="s">
        <v>20</v>
      </c>
      <c r="F219" s="9" t="s">
        <v>246</v>
      </c>
      <c r="G219" s="9">
        <v>1</v>
      </c>
      <c r="H219" s="6" t="s">
        <v>1626</v>
      </c>
      <c r="I219" s="9" t="s">
        <v>628</v>
      </c>
      <c r="J219" s="9" t="s">
        <v>145</v>
      </c>
    </row>
    <row r="220" spans="1:10">
      <c r="A220" s="5" t="s">
        <v>602</v>
      </c>
      <c r="B220" s="6" t="s">
        <v>1627</v>
      </c>
      <c r="C220" s="7">
        <v>46161</v>
      </c>
      <c r="D220" s="9" t="s">
        <v>241</v>
      </c>
      <c r="E220" s="8" t="s">
        <v>1152</v>
      </c>
      <c r="F220" s="9" t="s">
        <v>242</v>
      </c>
      <c r="G220" s="9">
        <v>1</v>
      </c>
      <c r="H220" s="6" t="s">
        <v>243</v>
      </c>
      <c r="I220" s="9" t="s">
        <v>284</v>
      </c>
      <c r="J220" s="9" t="s">
        <v>145</v>
      </c>
    </row>
    <row r="221" spans="1:10">
      <c r="A221" s="5" t="s">
        <v>603</v>
      </c>
      <c r="B221" s="6" t="s">
        <v>1627</v>
      </c>
      <c r="C221" s="7">
        <v>46161</v>
      </c>
      <c r="D221" s="9" t="s">
        <v>241</v>
      </c>
      <c r="E221" s="8" t="s">
        <v>29</v>
      </c>
      <c r="F221" s="9" t="s">
        <v>246</v>
      </c>
      <c r="G221" s="9">
        <v>1</v>
      </c>
      <c r="H221" s="6" t="s">
        <v>243</v>
      </c>
      <c r="I221" s="9" t="s">
        <v>284</v>
      </c>
      <c r="J221" s="9" t="s">
        <v>145</v>
      </c>
    </row>
    <row r="222" spans="1:10">
      <c r="A222" s="5" t="s">
        <v>606</v>
      </c>
      <c r="B222" s="6" t="s">
        <v>1628</v>
      </c>
      <c r="C222" s="7">
        <v>46161</v>
      </c>
      <c r="D222" s="9" t="s">
        <v>241</v>
      </c>
      <c r="E222" s="8" t="s">
        <v>28</v>
      </c>
      <c r="F222" s="9" t="s">
        <v>242</v>
      </c>
      <c r="G222" s="9">
        <v>1</v>
      </c>
      <c r="H222" s="6" t="s">
        <v>942</v>
      </c>
      <c r="I222" s="9" t="s">
        <v>357</v>
      </c>
      <c r="J222" s="9" t="s">
        <v>145</v>
      </c>
    </row>
    <row r="223" spans="1:10">
      <c r="A223" s="5" t="s">
        <v>607</v>
      </c>
      <c r="B223" s="6" t="s">
        <v>1628</v>
      </c>
      <c r="C223" s="7">
        <v>46161</v>
      </c>
      <c r="D223" s="9" t="s">
        <v>241</v>
      </c>
      <c r="E223" s="8" t="s">
        <v>29</v>
      </c>
      <c r="F223" s="9" t="s">
        <v>246</v>
      </c>
      <c r="G223" s="9">
        <v>1</v>
      </c>
      <c r="H223" s="6" t="s">
        <v>942</v>
      </c>
      <c r="I223" s="9" t="s">
        <v>357</v>
      </c>
      <c r="J223" s="9" t="s">
        <v>145</v>
      </c>
    </row>
    <row r="224" spans="1:10">
      <c r="A224" s="5" t="s">
        <v>610</v>
      </c>
      <c r="B224" s="6" t="s">
        <v>1629</v>
      </c>
      <c r="C224" s="7">
        <v>46161</v>
      </c>
      <c r="D224" s="9" t="s">
        <v>241</v>
      </c>
      <c r="E224" s="4" t="s">
        <v>28</v>
      </c>
      <c r="F224" s="9" t="s">
        <v>242</v>
      </c>
      <c r="G224" s="9">
        <v>1</v>
      </c>
      <c r="H224" s="6" t="s">
        <v>243</v>
      </c>
      <c r="I224" s="9" t="s">
        <v>415</v>
      </c>
      <c r="J224" s="9" t="s">
        <v>145</v>
      </c>
    </row>
    <row r="225" spans="1:10">
      <c r="A225" s="5" t="s">
        <v>611</v>
      </c>
      <c r="B225" s="6" t="s">
        <v>1629</v>
      </c>
      <c r="C225" s="7">
        <v>46161</v>
      </c>
      <c r="D225" s="9" t="s">
        <v>241</v>
      </c>
      <c r="E225" s="8" t="s">
        <v>27</v>
      </c>
      <c r="F225" s="9" t="s">
        <v>246</v>
      </c>
      <c r="G225" s="9">
        <v>1</v>
      </c>
      <c r="H225" s="6" t="s">
        <v>243</v>
      </c>
      <c r="I225" s="9" t="s">
        <v>415</v>
      </c>
      <c r="J225" s="9" t="s">
        <v>145</v>
      </c>
    </row>
    <row r="226" spans="1:10">
      <c r="A226" s="5" t="s">
        <v>612</v>
      </c>
      <c r="B226" s="6" t="s">
        <v>1630</v>
      </c>
      <c r="C226" s="7">
        <v>46161</v>
      </c>
      <c r="D226" s="9" t="s">
        <v>711</v>
      </c>
      <c r="E226" s="8" t="s">
        <v>111</v>
      </c>
      <c r="F226" s="9" t="s">
        <v>242</v>
      </c>
      <c r="G226" s="9">
        <v>1</v>
      </c>
      <c r="H226" s="6" t="s">
        <v>1631</v>
      </c>
      <c r="I226" s="9" t="s">
        <v>484</v>
      </c>
      <c r="J226" s="9" t="s">
        <v>145</v>
      </c>
    </row>
    <row r="227" spans="1:10">
      <c r="A227" s="5" t="s">
        <v>613</v>
      </c>
      <c r="B227" s="6" t="s">
        <v>1630</v>
      </c>
      <c r="C227" s="7">
        <v>46161</v>
      </c>
      <c r="D227" s="9" t="s">
        <v>503</v>
      </c>
      <c r="E227" s="8" t="s">
        <v>1429</v>
      </c>
      <c r="F227" s="9" t="s">
        <v>242</v>
      </c>
      <c r="G227" s="9">
        <v>10</v>
      </c>
      <c r="H227" s="6" t="s">
        <v>1631</v>
      </c>
      <c r="I227" s="9" t="s">
        <v>484</v>
      </c>
      <c r="J227" s="9" t="s">
        <v>145</v>
      </c>
    </row>
    <row r="228" spans="1:10">
      <c r="A228" s="5" t="s">
        <v>617</v>
      </c>
      <c r="B228" s="6" t="s">
        <v>1632</v>
      </c>
      <c r="C228" s="7">
        <v>46162</v>
      </c>
      <c r="D228" s="9" t="s">
        <v>241</v>
      </c>
      <c r="E228" s="4" t="s">
        <v>1152</v>
      </c>
      <c r="F228" s="9" t="s">
        <v>242</v>
      </c>
      <c r="G228" s="9">
        <v>1</v>
      </c>
      <c r="H228" s="6" t="s">
        <v>408</v>
      </c>
      <c r="I228" s="9" t="s">
        <v>973</v>
      </c>
      <c r="J228" s="9" t="s">
        <v>145</v>
      </c>
    </row>
    <row r="229" spans="1:10">
      <c r="A229" s="5" t="s">
        <v>618</v>
      </c>
      <c r="B229" s="6" t="s">
        <v>1632</v>
      </c>
      <c r="C229" s="7">
        <v>46162</v>
      </c>
      <c r="D229" s="9" t="s">
        <v>241</v>
      </c>
      <c r="E229" s="8" t="s">
        <v>29</v>
      </c>
      <c r="F229" s="9" t="s">
        <v>246</v>
      </c>
      <c r="G229" s="9">
        <v>1</v>
      </c>
      <c r="H229" s="6" t="s">
        <v>408</v>
      </c>
      <c r="I229" s="9" t="s">
        <v>973</v>
      </c>
      <c r="J229" s="9" t="s">
        <v>145</v>
      </c>
    </row>
    <row r="230" spans="1:10">
      <c r="A230" s="5" t="s">
        <v>620</v>
      </c>
      <c r="B230" s="6" t="s">
        <v>1632</v>
      </c>
      <c r="C230" s="7">
        <v>46162</v>
      </c>
      <c r="D230" s="9" t="s">
        <v>261</v>
      </c>
      <c r="E230" s="4" t="s">
        <v>281</v>
      </c>
      <c r="F230" s="9" t="s">
        <v>242</v>
      </c>
      <c r="G230" s="9">
        <v>2</v>
      </c>
      <c r="H230" s="6" t="s">
        <v>408</v>
      </c>
      <c r="I230" s="9" t="s">
        <v>973</v>
      </c>
      <c r="J230" s="9" t="s">
        <v>145</v>
      </c>
    </row>
    <row r="231" spans="1:10">
      <c r="A231" s="5" t="s">
        <v>621</v>
      </c>
      <c r="B231" s="6" t="s">
        <v>1633</v>
      </c>
      <c r="C231" s="7">
        <v>46162</v>
      </c>
      <c r="D231" s="9" t="s">
        <v>241</v>
      </c>
      <c r="E231" s="8" t="s">
        <v>28</v>
      </c>
      <c r="F231" s="9" t="s">
        <v>242</v>
      </c>
      <c r="G231" s="9">
        <v>1</v>
      </c>
      <c r="H231" s="6" t="s">
        <v>615</v>
      </c>
      <c r="I231" s="9" t="s">
        <v>337</v>
      </c>
      <c r="J231" s="9" t="s">
        <v>145</v>
      </c>
    </row>
    <row r="232" spans="1:10">
      <c r="A232" s="5" t="s">
        <v>624</v>
      </c>
      <c r="B232" s="6" t="s">
        <v>1633</v>
      </c>
      <c r="C232" s="7">
        <v>46162</v>
      </c>
      <c r="D232" s="9" t="s">
        <v>241</v>
      </c>
      <c r="E232" s="4" t="s">
        <v>28</v>
      </c>
      <c r="F232" s="9" t="s">
        <v>246</v>
      </c>
      <c r="G232" s="9">
        <v>1</v>
      </c>
      <c r="H232" s="6" t="s">
        <v>615</v>
      </c>
      <c r="I232" s="9" t="s">
        <v>337</v>
      </c>
      <c r="J232" s="9" t="s">
        <v>145</v>
      </c>
    </row>
    <row r="233" spans="1:10">
      <c r="A233" s="5" t="s">
        <v>625</v>
      </c>
      <c r="B233" s="6" t="s">
        <v>1633</v>
      </c>
      <c r="C233" s="7">
        <v>46162</v>
      </c>
      <c r="D233" s="9" t="s">
        <v>261</v>
      </c>
      <c r="E233" s="8" t="s">
        <v>62</v>
      </c>
      <c r="F233" s="9" t="s">
        <v>242</v>
      </c>
      <c r="G233" s="9">
        <v>2</v>
      </c>
      <c r="H233" s="6" t="s">
        <v>615</v>
      </c>
      <c r="I233" s="9" t="s">
        <v>337</v>
      </c>
      <c r="J233" s="9" t="s">
        <v>145</v>
      </c>
    </row>
    <row r="234" spans="1:10">
      <c r="A234" s="5" t="s">
        <v>626</v>
      </c>
      <c r="B234" s="6" t="s">
        <v>1634</v>
      </c>
      <c r="C234" s="7">
        <v>46162</v>
      </c>
      <c r="D234" s="9" t="s">
        <v>241</v>
      </c>
      <c r="E234" s="8" t="s">
        <v>28</v>
      </c>
      <c r="F234" s="9" t="s">
        <v>242</v>
      </c>
      <c r="G234" s="9">
        <v>1</v>
      </c>
      <c r="H234" s="6" t="s">
        <v>328</v>
      </c>
      <c r="I234" s="9" t="s">
        <v>337</v>
      </c>
      <c r="J234" s="9" t="s">
        <v>145</v>
      </c>
    </row>
    <row r="235" spans="1:10">
      <c r="A235" s="5" t="s">
        <v>629</v>
      </c>
      <c r="B235" s="6" t="s">
        <v>1634</v>
      </c>
      <c r="C235" s="7">
        <v>46162</v>
      </c>
      <c r="D235" s="9" t="s">
        <v>241</v>
      </c>
      <c r="E235" s="8" t="s">
        <v>29</v>
      </c>
      <c r="F235" s="9" t="s">
        <v>246</v>
      </c>
      <c r="G235" s="9">
        <v>1</v>
      </c>
      <c r="H235" s="6" t="s">
        <v>328</v>
      </c>
      <c r="I235" s="9" t="s">
        <v>337</v>
      </c>
      <c r="J235" s="9" t="s">
        <v>145</v>
      </c>
    </row>
    <row r="236" spans="1:10">
      <c r="A236" s="5" t="s">
        <v>630</v>
      </c>
      <c r="B236" s="6" t="s">
        <v>1634</v>
      </c>
      <c r="C236" s="7">
        <v>46162</v>
      </c>
      <c r="D236" s="9" t="s">
        <v>261</v>
      </c>
      <c r="E236" s="4" t="s">
        <v>62</v>
      </c>
      <c r="F236" s="9" t="s">
        <v>242</v>
      </c>
      <c r="G236" s="9">
        <v>2</v>
      </c>
      <c r="H236" s="6" t="s">
        <v>328</v>
      </c>
      <c r="I236" s="9" t="s">
        <v>337</v>
      </c>
      <c r="J236" s="9" t="s">
        <v>145</v>
      </c>
    </row>
    <row r="237" spans="1:10">
      <c r="A237" s="5" t="s">
        <v>631</v>
      </c>
      <c r="B237" s="6" t="s">
        <v>1635</v>
      </c>
      <c r="C237" s="7">
        <v>46163</v>
      </c>
      <c r="D237" s="9" t="s">
        <v>241</v>
      </c>
      <c r="E237" s="8" t="s">
        <v>1152</v>
      </c>
      <c r="F237" s="9" t="s">
        <v>242</v>
      </c>
      <c r="G237" s="9">
        <v>1</v>
      </c>
      <c r="H237" s="6" t="s">
        <v>243</v>
      </c>
      <c r="I237" s="9" t="s">
        <v>609</v>
      </c>
      <c r="J237" s="9" t="s">
        <v>145</v>
      </c>
    </row>
    <row r="238" spans="1:10">
      <c r="A238" s="5" t="s">
        <v>634</v>
      </c>
      <c r="B238" s="6" t="s">
        <v>1635</v>
      </c>
      <c r="C238" s="7">
        <v>46163</v>
      </c>
      <c r="D238" s="9" t="s">
        <v>241</v>
      </c>
      <c r="E238" s="8" t="s">
        <v>29</v>
      </c>
      <c r="F238" s="9" t="s">
        <v>246</v>
      </c>
      <c r="G238" s="9">
        <v>1</v>
      </c>
      <c r="H238" s="6" t="s">
        <v>243</v>
      </c>
      <c r="I238" s="9" t="s">
        <v>609</v>
      </c>
      <c r="J238" s="9" t="s">
        <v>145</v>
      </c>
    </row>
    <row r="239" spans="1:10">
      <c r="A239" s="5" t="s">
        <v>635</v>
      </c>
      <c r="B239" s="6" t="s">
        <v>1635</v>
      </c>
      <c r="C239" s="7">
        <v>46163</v>
      </c>
      <c r="D239" s="9" t="s">
        <v>261</v>
      </c>
      <c r="E239" s="8" t="s">
        <v>62</v>
      </c>
      <c r="F239" s="9" t="s">
        <v>242</v>
      </c>
      <c r="G239" s="9">
        <v>1</v>
      </c>
      <c r="H239" s="6" t="s">
        <v>243</v>
      </c>
      <c r="I239" s="9" t="s">
        <v>609</v>
      </c>
      <c r="J239" s="9" t="s">
        <v>145</v>
      </c>
    </row>
    <row r="240" spans="1:10">
      <c r="A240" s="5" t="s">
        <v>637</v>
      </c>
      <c r="B240" s="6" t="s">
        <v>1636</v>
      </c>
      <c r="C240" s="7">
        <v>46163</v>
      </c>
      <c r="D240" s="9" t="s">
        <v>264</v>
      </c>
      <c r="E240" s="8" t="s">
        <v>35</v>
      </c>
      <c r="F240" s="9" t="s">
        <v>242</v>
      </c>
      <c r="G240" s="9">
        <v>1</v>
      </c>
      <c r="H240" s="6" t="s">
        <v>1569</v>
      </c>
      <c r="I240" s="9" t="s">
        <v>357</v>
      </c>
      <c r="J240" s="9" t="s">
        <v>145</v>
      </c>
    </row>
    <row r="241" spans="1:10">
      <c r="A241" s="5" t="s">
        <v>638</v>
      </c>
      <c r="B241" s="6" t="s">
        <v>1636</v>
      </c>
      <c r="C241" s="7">
        <v>46163</v>
      </c>
      <c r="D241" s="9" t="s">
        <v>264</v>
      </c>
      <c r="E241" s="4" t="s">
        <v>35</v>
      </c>
      <c r="F241" s="9" t="s">
        <v>246</v>
      </c>
      <c r="G241" s="9">
        <v>1</v>
      </c>
      <c r="H241" s="6" t="s">
        <v>1569</v>
      </c>
      <c r="I241" s="9" t="s">
        <v>357</v>
      </c>
      <c r="J241" s="9" t="s">
        <v>145</v>
      </c>
    </row>
    <row r="242" spans="1:10">
      <c r="A242" s="5" t="s">
        <v>640</v>
      </c>
      <c r="B242" s="6" t="s">
        <v>1637</v>
      </c>
      <c r="C242" s="7">
        <v>46163</v>
      </c>
      <c r="D242" s="9" t="s">
        <v>299</v>
      </c>
      <c r="E242" s="4" t="s">
        <v>1334</v>
      </c>
      <c r="F242" s="9" t="s">
        <v>242</v>
      </c>
      <c r="G242" s="9">
        <v>1</v>
      </c>
      <c r="H242" s="6" t="s">
        <v>1638</v>
      </c>
      <c r="I242" s="9" t="s">
        <v>266</v>
      </c>
      <c r="J242" s="9" t="s">
        <v>145</v>
      </c>
    </row>
    <row r="243" spans="1:10">
      <c r="A243" s="5" t="s">
        <v>641</v>
      </c>
      <c r="B243" s="6" t="s">
        <v>1637</v>
      </c>
      <c r="C243" s="7">
        <v>46163</v>
      </c>
      <c r="D243" s="9" t="s">
        <v>299</v>
      </c>
      <c r="E243" s="8" t="s">
        <v>20</v>
      </c>
      <c r="F243" s="9" t="s">
        <v>246</v>
      </c>
      <c r="G243" s="9">
        <v>1</v>
      </c>
      <c r="H243" s="6" t="s">
        <v>1638</v>
      </c>
      <c r="I243" s="9" t="s">
        <v>266</v>
      </c>
      <c r="J243" s="9" t="s">
        <v>145</v>
      </c>
    </row>
    <row r="244" spans="1:10">
      <c r="A244" s="5" t="s">
        <v>642</v>
      </c>
      <c r="B244" s="6" t="s">
        <v>1639</v>
      </c>
      <c r="C244" s="7">
        <v>46164</v>
      </c>
      <c r="D244" s="9" t="s">
        <v>711</v>
      </c>
      <c r="E244" s="8" t="s">
        <v>111</v>
      </c>
      <c r="F244" s="9" t="s">
        <v>242</v>
      </c>
      <c r="G244" s="9">
        <v>1</v>
      </c>
      <c r="H244" s="6" t="s">
        <v>1640</v>
      </c>
      <c r="I244" s="9" t="s">
        <v>266</v>
      </c>
      <c r="J244" s="9" t="s">
        <v>145</v>
      </c>
    </row>
    <row r="245" spans="1:10">
      <c r="A245" s="5" t="s">
        <v>644</v>
      </c>
      <c r="B245" s="6" t="s">
        <v>1639</v>
      </c>
      <c r="C245" s="7">
        <v>46164</v>
      </c>
      <c r="D245" s="9" t="s">
        <v>503</v>
      </c>
      <c r="E245" s="4" t="s">
        <v>1429</v>
      </c>
      <c r="F245" s="9" t="s">
        <v>242</v>
      </c>
      <c r="G245" s="9">
        <v>10</v>
      </c>
      <c r="H245" s="6" t="s">
        <v>1640</v>
      </c>
      <c r="I245" s="9" t="s">
        <v>266</v>
      </c>
      <c r="J245" s="9" t="s">
        <v>145</v>
      </c>
    </row>
    <row r="246" spans="1:10">
      <c r="A246" s="5" t="s">
        <v>645</v>
      </c>
      <c r="B246" s="6" t="s">
        <v>1641</v>
      </c>
      <c r="C246" s="7">
        <v>46165</v>
      </c>
      <c r="D246" s="9" t="s">
        <v>299</v>
      </c>
      <c r="E246" s="8" t="s">
        <v>24</v>
      </c>
      <c r="F246" s="9" t="s">
        <v>242</v>
      </c>
      <c r="G246" s="9">
        <v>1</v>
      </c>
      <c r="H246" s="6" t="s">
        <v>1642</v>
      </c>
      <c r="I246" s="9" t="s">
        <v>289</v>
      </c>
      <c r="J246" s="9" t="s">
        <v>145</v>
      </c>
    </row>
    <row r="247" spans="1:10">
      <c r="A247" s="5" t="s">
        <v>647</v>
      </c>
      <c r="B247" s="6" t="s">
        <v>1641</v>
      </c>
      <c r="C247" s="7">
        <v>46165</v>
      </c>
      <c r="D247" s="9" t="s">
        <v>299</v>
      </c>
      <c r="E247" s="8" t="s">
        <v>24</v>
      </c>
      <c r="F247" s="9" t="s">
        <v>246</v>
      </c>
      <c r="G247" s="9">
        <v>1</v>
      </c>
      <c r="H247" s="6" t="s">
        <v>1642</v>
      </c>
      <c r="I247" s="9" t="s">
        <v>289</v>
      </c>
      <c r="J247" s="9" t="s">
        <v>145</v>
      </c>
    </row>
    <row r="248" spans="1:10">
      <c r="A248" s="5" t="s">
        <v>648</v>
      </c>
      <c r="B248" s="6" t="s">
        <v>1643</v>
      </c>
      <c r="C248" s="7">
        <v>46165</v>
      </c>
      <c r="D248" s="9" t="s">
        <v>241</v>
      </c>
      <c r="E248" s="8" t="s">
        <v>1152</v>
      </c>
      <c r="F248" s="9" t="s">
        <v>242</v>
      </c>
      <c r="G248" s="9">
        <v>1</v>
      </c>
      <c r="H248" s="6" t="s">
        <v>243</v>
      </c>
      <c r="I248" s="9" t="s">
        <v>1280</v>
      </c>
      <c r="J248" s="9" t="s">
        <v>145</v>
      </c>
    </row>
    <row r="249" spans="1:10">
      <c r="A249" s="5" t="s">
        <v>651</v>
      </c>
      <c r="B249" s="6" t="s">
        <v>1643</v>
      </c>
      <c r="C249" s="7">
        <v>46165</v>
      </c>
      <c r="D249" s="9" t="s">
        <v>241</v>
      </c>
      <c r="E249" s="8" t="s">
        <v>29</v>
      </c>
      <c r="F249" s="9" t="s">
        <v>246</v>
      </c>
      <c r="G249" s="9">
        <v>1</v>
      </c>
      <c r="H249" s="6" t="s">
        <v>243</v>
      </c>
      <c r="I249" s="9" t="s">
        <v>1280</v>
      </c>
      <c r="J249" s="9" t="s">
        <v>145</v>
      </c>
    </row>
    <row r="250" spans="1:10">
      <c r="A250" s="5" t="s">
        <v>652</v>
      </c>
      <c r="B250" s="6" t="s">
        <v>1644</v>
      </c>
      <c r="C250" s="7">
        <v>46165</v>
      </c>
      <c r="D250" s="9" t="s">
        <v>299</v>
      </c>
      <c r="E250" s="4" t="s">
        <v>376</v>
      </c>
      <c r="F250" s="9" t="s">
        <v>242</v>
      </c>
      <c r="G250" s="9">
        <v>1</v>
      </c>
      <c r="H250" s="6" t="s">
        <v>243</v>
      </c>
      <c r="I250" s="9" t="s">
        <v>1280</v>
      </c>
      <c r="J250" s="9" t="s">
        <v>145</v>
      </c>
    </row>
    <row r="251" spans="1:10">
      <c r="A251" s="5" t="s">
        <v>654</v>
      </c>
      <c r="B251" s="6" t="s">
        <v>1644</v>
      </c>
      <c r="C251" s="7">
        <v>46165</v>
      </c>
      <c r="D251" s="9" t="s">
        <v>299</v>
      </c>
      <c r="E251" s="8" t="s">
        <v>376</v>
      </c>
      <c r="F251" s="9" t="s">
        <v>246</v>
      </c>
      <c r="G251" s="9">
        <v>1</v>
      </c>
      <c r="H251" s="6" t="s">
        <v>243</v>
      </c>
      <c r="I251" s="9" t="s">
        <v>1280</v>
      </c>
      <c r="J251" s="9" t="s">
        <v>145</v>
      </c>
    </row>
    <row r="252" spans="1:10">
      <c r="A252" s="5" t="s">
        <v>655</v>
      </c>
      <c r="B252" s="6" t="s">
        <v>1645</v>
      </c>
      <c r="C252" s="7">
        <v>46168</v>
      </c>
      <c r="D252" s="9" t="s">
        <v>241</v>
      </c>
      <c r="E252" s="8" t="s">
        <v>28</v>
      </c>
      <c r="F252" s="9" t="s">
        <v>242</v>
      </c>
      <c r="G252" s="9">
        <v>1</v>
      </c>
      <c r="H252" s="6" t="s">
        <v>243</v>
      </c>
      <c r="I252" s="9" t="s">
        <v>275</v>
      </c>
      <c r="J252" s="9" t="s">
        <v>145</v>
      </c>
    </row>
    <row r="253" spans="1:10">
      <c r="A253" s="5" t="s">
        <v>658</v>
      </c>
      <c r="B253" s="6" t="s">
        <v>1645</v>
      </c>
      <c r="C253" s="7">
        <v>46168</v>
      </c>
      <c r="D253" s="9" t="s">
        <v>241</v>
      </c>
      <c r="E253" s="8" t="s">
        <v>27</v>
      </c>
      <c r="F253" s="9" t="s">
        <v>246</v>
      </c>
      <c r="G253" s="9">
        <v>1</v>
      </c>
      <c r="H253" s="6" t="s">
        <v>243</v>
      </c>
      <c r="I253" s="9" t="s">
        <v>275</v>
      </c>
      <c r="J253" s="9" t="s">
        <v>145</v>
      </c>
    </row>
    <row r="254" spans="1:10">
      <c r="A254" s="5" t="s">
        <v>660</v>
      </c>
      <c r="B254" s="6" t="s">
        <v>1646</v>
      </c>
      <c r="C254" s="7">
        <v>46168</v>
      </c>
      <c r="D254" s="9" t="s">
        <v>241</v>
      </c>
      <c r="E254" s="8" t="s">
        <v>28</v>
      </c>
      <c r="F254" s="9" t="s">
        <v>242</v>
      </c>
      <c r="G254" s="9">
        <v>1</v>
      </c>
      <c r="H254" s="6" t="s">
        <v>257</v>
      </c>
      <c r="I254" s="9" t="s">
        <v>484</v>
      </c>
      <c r="J254" s="9" t="s">
        <v>145</v>
      </c>
    </row>
    <row r="255" spans="1:10">
      <c r="A255" s="5" t="s">
        <v>661</v>
      </c>
      <c r="B255" s="6" t="s">
        <v>1646</v>
      </c>
      <c r="C255" s="7">
        <v>46168</v>
      </c>
      <c r="D255" s="9" t="s">
        <v>241</v>
      </c>
      <c r="E255" s="8" t="s">
        <v>29</v>
      </c>
      <c r="F255" s="9" t="s">
        <v>246</v>
      </c>
      <c r="G255" s="9">
        <v>1</v>
      </c>
      <c r="H255" s="6" t="s">
        <v>257</v>
      </c>
      <c r="I255" s="9" t="s">
        <v>484</v>
      </c>
      <c r="J255" s="9" t="s">
        <v>145</v>
      </c>
    </row>
    <row r="256" spans="1:10">
      <c r="A256" s="5" t="s">
        <v>662</v>
      </c>
      <c r="B256" s="6" t="s">
        <v>1647</v>
      </c>
      <c r="C256" s="7">
        <v>46168</v>
      </c>
      <c r="D256" s="9" t="s">
        <v>241</v>
      </c>
      <c r="E256" s="8" t="s">
        <v>28</v>
      </c>
      <c r="F256" s="9" t="s">
        <v>242</v>
      </c>
      <c r="G256" s="9">
        <v>1</v>
      </c>
      <c r="H256" s="6" t="s">
        <v>243</v>
      </c>
      <c r="I256" s="9" t="s">
        <v>253</v>
      </c>
      <c r="J256" s="9" t="s">
        <v>145</v>
      </c>
    </row>
    <row r="257" spans="1:10">
      <c r="A257" s="5" t="s">
        <v>664</v>
      </c>
      <c r="B257" s="6" t="s">
        <v>1647</v>
      </c>
      <c r="C257" s="7">
        <v>46168</v>
      </c>
      <c r="D257" s="9" t="s">
        <v>241</v>
      </c>
      <c r="E257" s="8" t="s">
        <v>29</v>
      </c>
      <c r="F257" s="9" t="s">
        <v>246</v>
      </c>
      <c r="G257" s="9">
        <v>1</v>
      </c>
      <c r="H257" s="6" t="s">
        <v>243</v>
      </c>
      <c r="I257" s="9" t="s">
        <v>253</v>
      </c>
      <c r="J257" s="9" t="s">
        <v>145</v>
      </c>
    </row>
    <row r="258" spans="1:10">
      <c r="A258" s="5" t="s">
        <v>668</v>
      </c>
      <c r="B258" s="6" t="s">
        <v>1647</v>
      </c>
      <c r="C258" s="7">
        <v>46168</v>
      </c>
      <c r="D258" s="9" t="s">
        <v>261</v>
      </c>
      <c r="E258" s="8" t="s">
        <v>281</v>
      </c>
      <c r="F258" s="9" t="s">
        <v>242</v>
      </c>
      <c r="G258" s="9">
        <v>2</v>
      </c>
      <c r="H258" s="6" t="s">
        <v>243</v>
      </c>
      <c r="I258" s="9" t="s">
        <v>253</v>
      </c>
      <c r="J258" s="9" t="s">
        <v>145</v>
      </c>
    </row>
    <row r="259" spans="1:10">
      <c r="A259" s="5" t="s">
        <v>669</v>
      </c>
      <c r="B259" s="6" t="s">
        <v>1648</v>
      </c>
      <c r="C259" s="7">
        <v>46168</v>
      </c>
      <c r="D259" s="9" t="s">
        <v>241</v>
      </c>
      <c r="E259" s="8" t="s">
        <v>28</v>
      </c>
      <c r="F259" s="9" t="s">
        <v>242</v>
      </c>
      <c r="G259" s="9">
        <v>2</v>
      </c>
      <c r="H259" s="6" t="s">
        <v>243</v>
      </c>
      <c r="I259" s="9" t="s">
        <v>918</v>
      </c>
      <c r="J259" s="9" t="s">
        <v>145</v>
      </c>
    </row>
    <row r="260" spans="1:10">
      <c r="A260" s="5" t="s">
        <v>670</v>
      </c>
      <c r="B260" s="6" t="s">
        <v>1648</v>
      </c>
      <c r="C260" s="7">
        <v>46168</v>
      </c>
      <c r="D260" s="9" t="s">
        <v>241</v>
      </c>
      <c r="E260" s="8" t="s">
        <v>29</v>
      </c>
      <c r="F260" s="9" t="s">
        <v>246</v>
      </c>
      <c r="G260" s="9">
        <v>1</v>
      </c>
      <c r="H260" s="6" t="s">
        <v>243</v>
      </c>
      <c r="I260" s="9" t="s">
        <v>918</v>
      </c>
      <c r="J260" s="9" t="s">
        <v>145</v>
      </c>
    </row>
    <row r="261" spans="1:10">
      <c r="A261" s="5" t="s">
        <v>674</v>
      </c>
      <c r="B261" s="6" t="s">
        <v>1649</v>
      </c>
      <c r="C261" s="7">
        <v>46168</v>
      </c>
      <c r="D261" s="9" t="s">
        <v>241</v>
      </c>
      <c r="E261" s="8" t="s">
        <v>28</v>
      </c>
      <c r="F261" s="9" t="s">
        <v>242</v>
      </c>
      <c r="G261" s="9">
        <v>1</v>
      </c>
      <c r="H261" s="6" t="s">
        <v>243</v>
      </c>
      <c r="I261" s="9" t="s">
        <v>1280</v>
      </c>
      <c r="J261" s="9" t="s">
        <v>145</v>
      </c>
    </row>
    <row r="262" spans="1:10">
      <c r="A262" s="5" t="s">
        <v>675</v>
      </c>
      <c r="B262" s="6" t="s">
        <v>1649</v>
      </c>
      <c r="C262" s="7">
        <v>46168</v>
      </c>
      <c r="D262" s="9" t="s">
        <v>241</v>
      </c>
      <c r="E262" s="8" t="s">
        <v>29</v>
      </c>
      <c r="F262" s="9" t="s">
        <v>246</v>
      </c>
      <c r="G262" s="9">
        <v>1</v>
      </c>
      <c r="H262" s="6" t="s">
        <v>243</v>
      </c>
      <c r="I262" s="9" t="s">
        <v>1280</v>
      </c>
      <c r="J262" s="9" t="s">
        <v>145</v>
      </c>
    </row>
    <row r="263" spans="1:10">
      <c r="A263" s="5" t="s">
        <v>676</v>
      </c>
      <c r="B263" s="6" t="s">
        <v>1650</v>
      </c>
      <c r="C263" s="7">
        <v>46168</v>
      </c>
      <c r="D263" s="9" t="s">
        <v>241</v>
      </c>
      <c r="E263" s="8" t="s">
        <v>28</v>
      </c>
      <c r="F263" s="9" t="s">
        <v>242</v>
      </c>
      <c r="G263" s="9">
        <v>1</v>
      </c>
      <c r="H263" s="6" t="s">
        <v>243</v>
      </c>
      <c r="I263" s="9" t="s">
        <v>284</v>
      </c>
      <c r="J263" s="9" t="s">
        <v>145</v>
      </c>
    </row>
    <row r="264" spans="1:10">
      <c r="A264" s="5" t="s">
        <v>677</v>
      </c>
      <c r="B264" s="6" t="s">
        <v>1650</v>
      </c>
      <c r="C264" s="7">
        <v>46168</v>
      </c>
      <c r="D264" s="9" t="s">
        <v>241</v>
      </c>
      <c r="E264" s="8" t="s">
        <v>27</v>
      </c>
      <c r="F264" s="9" t="s">
        <v>246</v>
      </c>
      <c r="G264" s="9">
        <v>1</v>
      </c>
      <c r="H264" s="6" t="s">
        <v>243</v>
      </c>
      <c r="I264" s="9" t="s">
        <v>284</v>
      </c>
      <c r="J264" s="9" t="s">
        <v>145</v>
      </c>
    </row>
    <row r="265" spans="1:10">
      <c r="A265" s="5" t="s">
        <v>678</v>
      </c>
      <c r="B265" s="6" t="s">
        <v>1650</v>
      </c>
      <c r="C265" s="7">
        <v>46168</v>
      </c>
      <c r="D265" s="9" t="s">
        <v>261</v>
      </c>
      <c r="E265" s="8" t="s">
        <v>281</v>
      </c>
      <c r="F265" s="9" t="s">
        <v>242</v>
      </c>
      <c r="G265" s="9">
        <v>1</v>
      </c>
      <c r="H265" s="6" t="s">
        <v>243</v>
      </c>
      <c r="I265" s="9" t="s">
        <v>284</v>
      </c>
      <c r="J265" s="9" t="s">
        <v>145</v>
      </c>
    </row>
    <row r="266" spans="1:10">
      <c r="A266" s="5" t="s">
        <v>679</v>
      </c>
      <c r="B266" s="6" t="s">
        <v>1651</v>
      </c>
      <c r="C266" s="7">
        <v>46168</v>
      </c>
      <c r="D266" s="9" t="s">
        <v>241</v>
      </c>
      <c r="E266" s="8" t="s">
        <v>28</v>
      </c>
      <c r="F266" s="9" t="s">
        <v>242</v>
      </c>
      <c r="G266" s="9">
        <v>1</v>
      </c>
      <c r="H266" s="6" t="s">
        <v>243</v>
      </c>
      <c r="I266" s="9" t="s">
        <v>311</v>
      </c>
      <c r="J266" s="9" t="s">
        <v>145</v>
      </c>
    </row>
    <row r="267" spans="1:10">
      <c r="A267" s="5" t="s">
        <v>680</v>
      </c>
      <c r="B267" s="6" t="s">
        <v>1651</v>
      </c>
      <c r="C267" s="7">
        <v>46168</v>
      </c>
      <c r="D267" s="9" t="s">
        <v>241</v>
      </c>
      <c r="E267" s="4" t="s">
        <v>29</v>
      </c>
      <c r="F267" s="9" t="s">
        <v>246</v>
      </c>
      <c r="G267" s="9">
        <v>1</v>
      </c>
      <c r="H267" s="6" t="s">
        <v>243</v>
      </c>
      <c r="I267" s="9" t="s">
        <v>311</v>
      </c>
      <c r="J267" s="9" t="s">
        <v>145</v>
      </c>
    </row>
    <row r="268" spans="1:10">
      <c r="A268" s="5" t="s">
        <v>682</v>
      </c>
      <c r="B268" s="6" t="s">
        <v>1652</v>
      </c>
      <c r="C268" s="7">
        <v>46168</v>
      </c>
      <c r="D268" s="9" t="s">
        <v>241</v>
      </c>
      <c r="E268" s="8" t="s">
        <v>28</v>
      </c>
      <c r="F268" s="9" t="s">
        <v>242</v>
      </c>
      <c r="G268" s="9">
        <v>1</v>
      </c>
      <c r="H268" s="6" t="s">
        <v>1653</v>
      </c>
      <c r="I268" s="9" t="s">
        <v>311</v>
      </c>
      <c r="J268" s="9" t="s">
        <v>145</v>
      </c>
    </row>
    <row r="269" spans="1:10">
      <c r="A269" s="5" t="s">
        <v>683</v>
      </c>
      <c r="B269" s="6" t="s">
        <v>1652</v>
      </c>
      <c r="C269" s="7">
        <v>46168</v>
      </c>
      <c r="D269" s="9" t="s">
        <v>241</v>
      </c>
      <c r="E269" s="8" t="s">
        <v>29</v>
      </c>
      <c r="F269" s="9" t="s">
        <v>246</v>
      </c>
      <c r="G269" s="9">
        <v>1</v>
      </c>
      <c r="H269" s="6" t="s">
        <v>1653</v>
      </c>
      <c r="I269" s="9" t="s">
        <v>311</v>
      </c>
      <c r="J269" s="9" t="s">
        <v>145</v>
      </c>
    </row>
    <row r="270" spans="1:10">
      <c r="A270" s="5" t="s">
        <v>684</v>
      </c>
      <c r="B270" s="6" t="s">
        <v>1654</v>
      </c>
      <c r="C270" s="7">
        <v>46168</v>
      </c>
      <c r="D270" s="9" t="s">
        <v>241</v>
      </c>
      <c r="E270" s="8" t="s">
        <v>28</v>
      </c>
      <c r="F270" s="9" t="s">
        <v>242</v>
      </c>
      <c r="G270" s="9">
        <v>1</v>
      </c>
      <c r="H270" s="6" t="s">
        <v>1653</v>
      </c>
      <c r="I270" s="9" t="s">
        <v>609</v>
      </c>
      <c r="J270" s="9" t="s">
        <v>145</v>
      </c>
    </row>
    <row r="271" spans="1:10">
      <c r="A271" s="5" t="s">
        <v>685</v>
      </c>
      <c r="B271" s="6" t="s">
        <v>1654</v>
      </c>
      <c r="C271" s="7">
        <v>46168</v>
      </c>
      <c r="D271" s="9" t="s">
        <v>241</v>
      </c>
      <c r="E271" s="8" t="s">
        <v>29</v>
      </c>
      <c r="F271" s="9" t="s">
        <v>246</v>
      </c>
      <c r="G271" s="9">
        <v>1</v>
      </c>
      <c r="H271" s="6" t="s">
        <v>1653</v>
      </c>
      <c r="I271" s="9" t="s">
        <v>609</v>
      </c>
      <c r="J271" s="9" t="s">
        <v>145</v>
      </c>
    </row>
    <row r="272" spans="1:10">
      <c r="A272" s="5" t="s">
        <v>686</v>
      </c>
      <c r="B272" s="6" t="s">
        <v>1655</v>
      </c>
      <c r="C272" s="7">
        <v>46168</v>
      </c>
      <c r="D272" s="9" t="s">
        <v>241</v>
      </c>
      <c r="E272" s="8" t="s">
        <v>28</v>
      </c>
      <c r="F272" s="9" t="s">
        <v>242</v>
      </c>
      <c r="G272" s="9">
        <v>1</v>
      </c>
      <c r="H272" s="6" t="s">
        <v>1653</v>
      </c>
      <c r="I272" s="9" t="s">
        <v>329</v>
      </c>
      <c r="J272" s="9" t="s">
        <v>145</v>
      </c>
    </row>
    <row r="273" spans="1:10">
      <c r="A273" s="5" t="s">
        <v>689</v>
      </c>
      <c r="B273" s="6" t="s">
        <v>1655</v>
      </c>
      <c r="C273" s="7">
        <v>46168</v>
      </c>
      <c r="D273" s="9" t="s">
        <v>241</v>
      </c>
      <c r="E273" s="8" t="s">
        <v>29</v>
      </c>
      <c r="F273" s="9" t="s">
        <v>246</v>
      </c>
      <c r="G273" s="9">
        <v>1</v>
      </c>
      <c r="H273" s="6" t="s">
        <v>1653</v>
      </c>
      <c r="I273" s="9" t="s">
        <v>329</v>
      </c>
      <c r="J273" s="9" t="s">
        <v>145</v>
      </c>
    </row>
    <row r="274" spans="1:10">
      <c r="A274" s="5" t="s">
        <v>690</v>
      </c>
      <c r="B274" s="6" t="s">
        <v>1656</v>
      </c>
      <c r="C274" s="7">
        <v>46168</v>
      </c>
      <c r="D274" s="9" t="s">
        <v>241</v>
      </c>
      <c r="E274" s="8" t="s">
        <v>28</v>
      </c>
      <c r="F274" s="9" t="s">
        <v>242</v>
      </c>
      <c r="G274" s="9">
        <v>1</v>
      </c>
      <c r="H274" s="6" t="s">
        <v>243</v>
      </c>
      <c r="I274" s="9" t="s">
        <v>311</v>
      </c>
      <c r="J274" s="9" t="s">
        <v>145</v>
      </c>
    </row>
    <row r="275" spans="1:10">
      <c r="A275" s="5" t="s">
        <v>691</v>
      </c>
      <c r="B275" s="6" t="s">
        <v>1656</v>
      </c>
      <c r="C275" s="7">
        <v>46168</v>
      </c>
      <c r="D275" s="9" t="s">
        <v>241</v>
      </c>
      <c r="E275" s="8" t="s">
        <v>29</v>
      </c>
      <c r="F275" s="9" t="s">
        <v>246</v>
      </c>
      <c r="G275" s="9">
        <v>1</v>
      </c>
      <c r="H275" s="6" t="s">
        <v>243</v>
      </c>
      <c r="I275" s="9" t="s">
        <v>311</v>
      </c>
      <c r="J275" s="9" t="s">
        <v>145</v>
      </c>
    </row>
    <row r="276" spans="1:10">
      <c r="A276" s="5" t="s">
        <v>694</v>
      </c>
      <c r="B276" s="6" t="s">
        <v>1657</v>
      </c>
      <c r="C276" s="7">
        <v>46168</v>
      </c>
      <c r="D276" s="9" t="s">
        <v>241</v>
      </c>
      <c r="E276" s="8" t="s">
        <v>28</v>
      </c>
      <c r="F276" s="9" t="s">
        <v>242</v>
      </c>
      <c r="G276" s="9">
        <v>1</v>
      </c>
      <c r="H276" s="6" t="s">
        <v>243</v>
      </c>
      <c r="I276" s="9" t="s">
        <v>289</v>
      </c>
      <c r="J276" s="9" t="s">
        <v>145</v>
      </c>
    </row>
    <row r="277" spans="1:10">
      <c r="A277" s="5" t="s">
        <v>698</v>
      </c>
      <c r="B277" s="6" t="s">
        <v>1657</v>
      </c>
      <c r="C277" s="7">
        <v>46168</v>
      </c>
      <c r="D277" s="9" t="s">
        <v>241</v>
      </c>
      <c r="E277" s="8" t="s">
        <v>27</v>
      </c>
      <c r="F277" s="9" t="s">
        <v>246</v>
      </c>
      <c r="G277" s="9">
        <v>1</v>
      </c>
      <c r="H277" s="6" t="s">
        <v>243</v>
      </c>
      <c r="I277" s="9" t="s">
        <v>289</v>
      </c>
      <c r="J277" s="9" t="s">
        <v>145</v>
      </c>
    </row>
    <row r="278" spans="1:10">
      <c r="A278" s="5" t="s">
        <v>699</v>
      </c>
      <c r="B278" s="6" t="s">
        <v>1658</v>
      </c>
      <c r="C278" s="7">
        <v>46168</v>
      </c>
      <c r="D278" s="9" t="s">
        <v>299</v>
      </c>
      <c r="E278" s="8" t="s">
        <v>376</v>
      </c>
      <c r="F278" s="9" t="s">
        <v>242</v>
      </c>
      <c r="G278" s="9">
        <v>1</v>
      </c>
      <c r="H278" s="6" t="s">
        <v>1386</v>
      </c>
      <c r="I278" s="9" t="s">
        <v>616</v>
      </c>
      <c r="J278" s="9" t="s">
        <v>145</v>
      </c>
    </row>
    <row r="279" spans="1:10">
      <c r="A279" s="5" t="s">
        <v>701</v>
      </c>
      <c r="B279" s="6" t="s">
        <v>1658</v>
      </c>
      <c r="C279" s="7">
        <v>46168</v>
      </c>
      <c r="D279" s="9" t="s">
        <v>299</v>
      </c>
      <c r="E279" s="8" t="s">
        <v>376</v>
      </c>
      <c r="F279" s="9" t="s">
        <v>246</v>
      </c>
      <c r="G279" s="9">
        <v>1</v>
      </c>
      <c r="H279" s="6" t="s">
        <v>1386</v>
      </c>
      <c r="I279" s="9" t="s">
        <v>616</v>
      </c>
      <c r="J279" s="9" t="s">
        <v>145</v>
      </c>
    </row>
    <row r="280" spans="1:10">
      <c r="A280" s="5" t="s">
        <v>703</v>
      </c>
      <c r="B280" s="6" t="s">
        <v>1659</v>
      </c>
      <c r="C280" s="7">
        <v>46169</v>
      </c>
      <c r="D280" s="9" t="s">
        <v>299</v>
      </c>
      <c r="E280" s="8" t="s">
        <v>22</v>
      </c>
      <c r="F280" s="9" t="s">
        <v>242</v>
      </c>
      <c r="G280" s="9">
        <v>1</v>
      </c>
      <c r="H280" s="6" t="s">
        <v>1626</v>
      </c>
      <c r="I280" s="9" t="s">
        <v>266</v>
      </c>
      <c r="J280" s="9" t="s">
        <v>145</v>
      </c>
    </row>
    <row r="281" spans="1:10">
      <c r="A281" s="5" t="s">
        <v>704</v>
      </c>
      <c r="B281" s="6" t="s">
        <v>1659</v>
      </c>
      <c r="C281" s="7">
        <v>46169</v>
      </c>
      <c r="D281" s="9" t="s">
        <v>299</v>
      </c>
      <c r="E281" s="8" t="s">
        <v>22</v>
      </c>
      <c r="F281" s="9" t="s">
        <v>246</v>
      </c>
      <c r="G281" s="9">
        <v>1</v>
      </c>
      <c r="H281" s="6" t="s">
        <v>1626</v>
      </c>
      <c r="I281" s="9" t="s">
        <v>266</v>
      </c>
      <c r="J281" s="9" t="s">
        <v>145</v>
      </c>
    </row>
    <row r="282" spans="1:10">
      <c r="A282" s="5" t="s">
        <v>705</v>
      </c>
      <c r="B282" s="6" t="s">
        <v>1637</v>
      </c>
      <c r="C282" s="7">
        <v>46169</v>
      </c>
      <c r="D282" s="9" t="s">
        <v>299</v>
      </c>
      <c r="E282" s="8" t="s">
        <v>1334</v>
      </c>
      <c r="F282" s="9" t="s">
        <v>242</v>
      </c>
      <c r="G282" s="9">
        <v>1</v>
      </c>
      <c r="H282" s="6" t="s">
        <v>1660</v>
      </c>
      <c r="I282" s="9" t="s">
        <v>266</v>
      </c>
      <c r="J282" s="9" t="s">
        <v>145</v>
      </c>
    </row>
    <row r="283" spans="1:10">
      <c r="A283" s="5" t="s">
        <v>706</v>
      </c>
      <c r="B283" s="6" t="s">
        <v>1637</v>
      </c>
      <c r="C283" s="7">
        <v>46169</v>
      </c>
      <c r="D283" s="9" t="s">
        <v>299</v>
      </c>
      <c r="E283" s="8" t="s">
        <v>1334</v>
      </c>
      <c r="F283" s="9" t="s">
        <v>246</v>
      </c>
      <c r="G283" s="9">
        <v>1</v>
      </c>
      <c r="H283" s="6" t="s">
        <v>1660</v>
      </c>
      <c r="I283" s="9" t="s">
        <v>266</v>
      </c>
      <c r="J283" s="9" t="s">
        <v>145</v>
      </c>
    </row>
    <row r="284" spans="1:10">
      <c r="A284" s="5" t="s">
        <v>708</v>
      </c>
      <c r="B284" s="6" t="s">
        <v>1661</v>
      </c>
      <c r="C284" s="7">
        <v>46169</v>
      </c>
      <c r="D284" s="9" t="s">
        <v>299</v>
      </c>
      <c r="E284" s="8" t="s">
        <v>24</v>
      </c>
      <c r="F284" s="9" t="s">
        <v>242</v>
      </c>
      <c r="G284" s="9">
        <v>1</v>
      </c>
      <c r="H284" s="6" t="s">
        <v>328</v>
      </c>
      <c r="I284" s="9" t="s">
        <v>311</v>
      </c>
      <c r="J284" s="9" t="s">
        <v>145</v>
      </c>
    </row>
    <row r="285" spans="1:10">
      <c r="A285" s="5" t="s">
        <v>709</v>
      </c>
      <c r="B285" s="6" t="s">
        <v>1661</v>
      </c>
      <c r="C285" s="7">
        <v>46169</v>
      </c>
      <c r="D285" s="9" t="s">
        <v>299</v>
      </c>
      <c r="E285" s="4" t="s">
        <v>1334</v>
      </c>
      <c r="F285" s="9" t="s">
        <v>246</v>
      </c>
      <c r="G285" s="9">
        <v>1</v>
      </c>
      <c r="H285" s="6" t="s">
        <v>328</v>
      </c>
      <c r="I285" s="9" t="s">
        <v>311</v>
      </c>
      <c r="J285" s="9" t="s">
        <v>145</v>
      </c>
    </row>
    <row r="286" spans="1:10">
      <c r="A286" s="5" t="s">
        <v>713</v>
      </c>
      <c r="B286" s="6" t="s">
        <v>1661</v>
      </c>
      <c r="C286" s="7">
        <v>46169</v>
      </c>
      <c r="D286" s="9" t="s">
        <v>261</v>
      </c>
      <c r="E286" s="4" t="s">
        <v>64</v>
      </c>
      <c r="F286" s="9" t="s">
        <v>242</v>
      </c>
      <c r="G286" s="9">
        <v>0</v>
      </c>
      <c r="H286" s="6" t="s">
        <v>328</v>
      </c>
      <c r="I286" s="9" t="s">
        <v>311</v>
      </c>
      <c r="J286" s="9" t="s">
        <v>145</v>
      </c>
    </row>
    <row r="287" spans="1:10">
      <c r="A287" s="5" t="s">
        <v>716</v>
      </c>
      <c r="B287" s="6" t="s">
        <v>1661</v>
      </c>
      <c r="C287" s="7">
        <v>46169</v>
      </c>
      <c r="D287" s="9" t="s">
        <v>261</v>
      </c>
      <c r="E287" s="8" t="s">
        <v>63</v>
      </c>
      <c r="F287" s="9" t="s">
        <v>242</v>
      </c>
      <c r="G287" s="9">
        <v>0</v>
      </c>
      <c r="H287" s="6" t="s">
        <v>328</v>
      </c>
      <c r="I287" s="9" t="s">
        <v>311</v>
      </c>
      <c r="J287" s="9" t="s">
        <v>145</v>
      </c>
    </row>
    <row r="288" spans="1:10">
      <c r="A288" s="5" t="s">
        <v>718</v>
      </c>
      <c r="B288" s="6" t="s">
        <v>1661</v>
      </c>
      <c r="C288" s="7">
        <v>46169</v>
      </c>
      <c r="D288" s="9" t="s">
        <v>270</v>
      </c>
      <c r="E288" s="8" t="s">
        <v>68</v>
      </c>
      <c r="F288" s="9" t="s">
        <v>242</v>
      </c>
      <c r="G288" s="9">
        <v>0</v>
      </c>
      <c r="H288" s="6" t="s">
        <v>328</v>
      </c>
      <c r="I288" s="9" t="s">
        <v>311</v>
      </c>
      <c r="J288" s="9" t="s">
        <v>145</v>
      </c>
    </row>
    <row r="289" spans="1:10">
      <c r="A289" s="5" t="s">
        <v>719</v>
      </c>
      <c r="B289" s="6" t="s">
        <v>1661</v>
      </c>
      <c r="C289" s="7">
        <v>46169</v>
      </c>
      <c r="D289" s="9" t="s">
        <v>503</v>
      </c>
      <c r="E289" s="8" t="s">
        <v>162</v>
      </c>
      <c r="F289" s="9" t="s">
        <v>242</v>
      </c>
      <c r="G289" s="9">
        <v>0</v>
      </c>
      <c r="H289" s="6" t="s">
        <v>328</v>
      </c>
      <c r="I289" s="9" t="s">
        <v>311</v>
      </c>
      <c r="J289" s="9" t="s">
        <v>145</v>
      </c>
    </row>
    <row r="290" spans="1:10">
      <c r="A290" s="5" t="s">
        <v>720</v>
      </c>
      <c r="B290" s="6" t="s">
        <v>1662</v>
      </c>
      <c r="C290" s="7">
        <v>46169</v>
      </c>
      <c r="D290" s="9" t="s">
        <v>241</v>
      </c>
      <c r="E290" s="8" t="s">
        <v>28</v>
      </c>
      <c r="F290" s="9" t="s">
        <v>242</v>
      </c>
      <c r="G290" s="9">
        <v>1</v>
      </c>
      <c r="H290" s="6" t="s">
        <v>1142</v>
      </c>
      <c r="I290" s="9" t="s">
        <v>609</v>
      </c>
      <c r="J290" s="9" t="s">
        <v>145</v>
      </c>
    </row>
    <row r="291" spans="1:10">
      <c r="A291" s="5" t="s">
        <v>723</v>
      </c>
      <c r="B291" s="6" t="s">
        <v>1662</v>
      </c>
      <c r="C291" s="7">
        <v>46169</v>
      </c>
      <c r="D291" s="9" t="s">
        <v>241</v>
      </c>
      <c r="E291" s="4" t="s">
        <v>29</v>
      </c>
      <c r="F291" s="9" t="s">
        <v>246</v>
      </c>
      <c r="G291" s="9">
        <v>1</v>
      </c>
      <c r="H291" s="6" t="s">
        <v>1142</v>
      </c>
      <c r="I291" s="9" t="s">
        <v>609</v>
      </c>
      <c r="J291" s="9" t="s">
        <v>145</v>
      </c>
    </row>
    <row r="292" spans="1:10">
      <c r="A292" s="5" t="s">
        <v>725</v>
      </c>
      <c r="B292" s="6" t="s">
        <v>1662</v>
      </c>
      <c r="C292" s="7">
        <v>46169</v>
      </c>
      <c r="D292" s="9" t="s">
        <v>261</v>
      </c>
      <c r="E292" s="8" t="s">
        <v>281</v>
      </c>
      <c r="F292" s="9" t="s">
        <v>242</v>
      </c>
      <c r="G292" s="9">
        <v>2</v>
      </c>
      <c r="H292" s="6" t="s">
        <v>1142</v>
      </c>
      <c r="I292" s="9" t="s">
        <v>609</v>
      </c>
      <c r="J292" s="9" t="s">
        <v>145</v>
      </c>
    </row>
    <row r="293" spans="1:10">
      <c r="A293" s="5" t="s">
        <v>727</v>
      </c>
      <c r="B293" s="6" t="s">
        <v>1424</v>
      </c>
      <c r="C293" s="7">
        <v>46169</v>
      </c>
      <c r="D293" s="9" t="s">
        <v>299</v>
      </c>
      <c r="E293" s="8" t="s">
        <v>22</v>
      </c>
      <c r="F293" s="9" t="s">
        <v>242</v>
      </c>
      <c r="G293" s="9">
        <v>1</v>
      </c>
      <c r="H293" s="6" t="s">
        <v>328</v>
      </c>
      <c r="I293" s="9" t="s">
        <v>258</v>
      </c>
      <c r="J293" s="9" t="s">
        <v>145</v>
      </c>
    </row>
    <row r="294" spans="1:10">
      <c r="A294" s="5" t="s">
        <v>728</v>
      </c>
      <c r="B294" s="6" t="s">
        <v>1424</v>
      </c>
      <c r="C294" s="7">
        <v>46169</v>
      </c>
      <c r="D294" s="9" t="s">
        <v>299</v>
      </c>
      <c r="E294" s="4" t="s">
        <v>376</v>
      </c>
      <c r="F294" s="9" t="s">
        <v>246</v>
      </c>
      <c r="G294" s="9">
        <v>1</v>
      </c>
      <c r="H294" s="6" t="s">
        <v>328</v>
      </c>
      <c r="I294" s="9" t="s">
        <v>258</v>
      </c>
      <c r="J294" s="9" t="s">
        <v>145</v>
      </c>
    </row>
    <row r="295" spans="1:10">
      <c r="A295" s="5" t="s">
        <v>730</v>
      </c>
      <c r="B295" s="6" t="s">
        <v>1663</v>
      </c>
      <c r="C295" s="7">
        <v>46139</v>
      </c>
      <c r="D295" s="9" t="s">
        <v>261</v>
      </c>
      <c r="E295" s="8" t="s">
        <v>63</v>
      </c>
      <c r="F295" s="9" t="s">
        <v>242</v>
      </c>
      <c r="G295" s="9">
        <v>2</v>
      </c>
      <c r="H295" s="6" t="s">
        <v>1664</v>
      </c>
      <c r="I295" s="9" t="s">
        <v>484</v>
      </c>
      <c r="J295" s="9" t="s">
        <v>145</v>
      </c>
    </row>
    <row r="296" spans="1:10">
      <c r="A296" s="5" t="s">
        <v>733</v>
      </c>
      <c r="B296" s="6" t="s">
        <v>1663</v>
      </c>
      <c r="C296" s="7">
        <v>46139</v>
      </c>
      <c r="D296" s="9" t="s">
        <v>270</v>
      </c>
      <c r="E296" s="8" t="s">
        <v>271</v>
      </c>
      <c r="F296" s="9" t="s">
        <v>242</v>
      </c>
      <c r="G296" s="9">
        <v>2</v>
      </c>
      <c r="H296" s="6" t="s">
        <v>1664</v>
      </c>
      <c r="I296" s="9" t="s">
        <v>484</v>
      </c>
      <c r="J296" s="9" t="s">
        <v>145</v>
      </c>
    </row>
    <row r="297" spans="1:10">
      <c r="A297" s="5" t="s">
        <v>736</v>
      </c>
      <c r="B297" s="6" t="s">
        <v>1665</v>
      </c>
      <c r="C297" s="7">
        <v>46139</v>
      </c>
      <c r="D297" s="9" t="s">
        <v>500</v>
      </c>
      <c r="E297" s="8" t="s">
        <v>51</v>
      </c>
      <c r="F297" s="9" t="s">
        <v>242</v>
      </c>
      <c r="G297" s="9">
        <v>1</v>
      </c>
      <c r="H297" s="6" t="s">
        <v>1666</v>
      </c>
      <c r="I297" s="9" t="s">
        <v>514</v>
      </c>
      <c r="J297" s="9" t="s">
        <v>145</v>
      </c>
    </row>
    <row r="298" spans="1:10">
      <c r="A298" s="5" t="s">
        <v>738</v>
      </c>
      <c r="B298" s="6" t="s">
        <v>1665</v>
      </c>
      <c r="C298" s="7">
        <v>46139</v>
      </c>
      <c r="D298" s="9" t="s">
        <v>261</v>
      </c>
      <c r="E298" s="8" t="s">
        <v>63</v>
      </c>
      <c r="F298" s="9" t="s">
        <v>242</v>
      </c>
      <c r="G298" s="9">
        <v>2</v>
      </c>
      <c r="H298" s="6" t="s">
        <v>1666</v>
      </c>
      <c r="I298" s="9" t="s">
        <v>514</v>
      </c>
      <c r="J298" s="9" t="s">
        <v>145</v>
      </c>
    </row>
    <row r="299" spans="1:10">
      <c r="A299" s="5" t="s">
        <v>740</v>
      </c>
      <c r="B299" s="6" t="s">
        <v>1665</v>
      </c>
      <c r="C299" s="7">
        <v>46139</v>
      </c>
      <c r="D299" s="9" t="s">
        <v>270</v>
      </c>
      <c r="E299" s="8" t="s">
        <v>271</v>
      </c>
      <c r="F299" s="9" t="s">
        <v>242</v>
      </c>
      <c r="G299" s="9">
        <v>2</v>
      </c>
      <c r="H299" s="6" t="s">
        <v>1666</v>
      </c>
      <c r="I299" s="9" t="s">
        <v>514</v>
      </c>
      <c r="J299" s="9" t="s">
        <v>145</v>
      </c>
    </row>
    <row r="300" spans="1:10">
      <c r="A300" s="5" t="s">
        <v>743</v>
      </c>
      <c r="B300" s="6" t="s">
        <v>1667</v>
      </c>
      <c r="C300" s="7">
        <v>46139</v>
      </c>
      <c r="D300" s="9" t="s">
        <v>500</v>
      </c>
      <c r="E300" s="8" t="s">
        <v>52</v>
      </c>
      <c r="F300" s="9" t="s">
        <v>242</v>
      </c>
      <c r="G300" s="9">
        <v>1</v>
      </c>
      <c r="H300" s="6" t="s">
        <v>693</v>
      </c>
      <c r="I300" s="9" t="s">
        <v>329</v>
      </c>
      <c r="J300" s="9" t="s">
        <v>145</v>
      </c>
    </row>
    <row r="301" spans="1:10">
      <c r="A301" s="5" t="s">
        <v>744</v>
      </c>
      <c r="B301" s="6" t="s">
        <v>1667</v>
      </c>
      <c r="C301" s="7">
        <v>46139</v>
      </c>
      <c r="D301" s="9" t="s">
        <v>261</v>
      </c>
      <c r="E301" s="8" t="s">
        <v>63</v>
      </c>
      <c r="F301" s="9" t="s">
        <v>242</v>
      </c>
      <c r="G301" s="9">
        <v>2</v>
      </c>
      <c r="H301" s="6" t="s">
        <v>693</v>
      </c>
      <c r="I301" s="9" t="s">
        <v>329</v>
      </c>
      <c r="J301" s="9" t="s">
        <v>145</v>
      </c>
    </row>
    <row r="302" spans="1:10">
      <c r="A302" s="5" t="s">
        <v>745</v>
      </c>
      <c r="B302" s="6" t="s">
        <v>1667</v>
      </c>
      <c r="C302" s="7">
        <v>46139</v>
      </c>
      <c r="D302" s="9" t="s">
        <v>270</v>
      </c>
      <c r="E302" s="8" t="s">
        <v>271</v>
      </c>
      <c r="F302" s="9" t="s">
        <v>242</v>
      </c>
      <c r="G302" s="9">
        <v>2</v>
      </c>
      <c r="H302" s="6" t="s">
        <v>693</v>
      </c>
      <c r="I302" s="9" t="s">
        <v>329</v>
      </c>
      <c r="J302" s="9" t="s">
        <v>145</v>
      </c>
    </row>
    <row r="303" spans="1:10">
      <c r="A303" s="5" t="s">
        <v>746</v>
      </c>
      <c r="B303" s="6" t="s">
        <v>1667</v>
      </c>
      <c r="C303" s="7">
        <v>46139</v>
      </c>
      <c r="D303" s="9" t="s">
        <v>261</v>
      </c>
      <c r="E303" s="8" t="s">
        <v>62</v>
      </c>
      <c r="F303" s="9" t="s">
        <v>242</v>
      </c>
      <c r="G303" s="9">
        <v>7</v>
      </c>
      <c r="H303" s="6" t="s">
        <v>693</v>
      </c>
      <c r="I303" s="9" t="s">
        <v>329</v>
      </c>
      <c r="J303" s="9" t="s">
        <v>145</v>
      </c>
    </row>
    <row r="304" spans="1:10">
      <c r="A304" s="5" t="s">
        <v>747</v>
      </c>
      <c r="B304" s="6" t="s">
        <v>1668</v>
      </c>
      <c r="C304" s="7">
        <v>46140</v>
      </c>
      <c r="D304" s="9" t="s">
        <v>503</v>
      </c>
      <c r="E304" s="4" t="s">
        <v>1429</v>
      </c>
      <c r="F304" s="9" t="s">
        <v>242</v>
      </c>
      <c r="G304" s="9">
        <v>60</v>
      </c>
      <c r="H304" s="6" t="s">
        <v>1669</v>
      </c>
      <c r="I304" s="9" t="s">
        <v>628</v>
      </c>
      <c r="J304" s="9" t="s">
        <v>145</v>
      </c>
    </row>
    <row r="305" spans="1:10">
      <c r="A305" s="5" t="s">
        <v>750</v>
      </c>
      <c r="B305" s="6" t="s">
        <v>1670</v>
      </c>
      <c r="C305" s="7">
        <v>46140</v>
      </c>
      <c r="D305" s="9" t="s">
        <v>500</v>
      </c>
      <c r="E305" s="8" t="s">
        <v>51</v>
      </c>
      <c r="F305" s="9" t="s">
        <v>242</v>
      </c>
      <c r="G305" s="9">
        <v>1</v>
      </c>
      <c r="H305" s="6" t="s">
        <v>693</v>
      </c>
      <c r="I305" s="9" t="s">
        <v>628</v>
      </c>
      <c r="J305" s="9" t="s">
        <v>145</v>
      </c>
    </row>
    <row r="306" spans="1:10">
      <c r="A306" s="5" t="s">
        <v>751</v>
      </c>
      <c r="B306" s="6" t="s">
        <v>1670</v>
      </c>
      <c r="C306" s="7">
        <v>46140</v>
      </c>
      <c r="D306" s="9" t="s">
        <v>261</v>
      </c>
      <c r="E306" s="4" t="s">
        <v>63</v>
      </c>
      <c r="F306" s="9" t="s">
        <v>242</v>
      </c>
      <c r="G306" s="9">
        <v>2</v>
      </c>
      <c r="H306" s="6" t="s">
        <v>693</v>
      </c>
      <c r="I306" s="9" t="s">
        <v>628</v>
      </c>
      <c r="J306" s="9" t="s">
        <v>145</v>
      </c>
    </row>
    <row r="307" spans="1:10">
      <c r="A307" s="5" t="s">
        <v>752</v>
      </c>
      <c r="B307" s="6" t="s">
        <v>1670</v>
      </c>
      <c r="C307" s="7">
        <v>46140</v>
      </c>
      <c r="D307" s="9" t="s">
        <v>270</v>
      </c>
      <c r="E307" s="8" t="s">
        <v>271</v>
      </c>
      <c r="F307" s="9" t="s">
        <v>242</v>
      </c>
      <c r="G307" s="9">
        <v>2</v>
      </c>
      <c r="H307" s="6" t="s">
        <v>693</v>
      </c>
      <c r="I307" s="9" t="s">
        <v>628</v>
      </c>
      <c r="J307" s="9" t="s">
        <v>145</v>
      </c>
    </row>
    <row r="308" spans="1:10">
      <c r="A308" s="5" t="s">
        <v>754</v>
      </c>
      <c r="B308" s="6" t="s">
        <v>1671</v>
      </c>
      <c r="C308" s="7">
        <v>46140</v>
      </c>
      <c r="D308" s="9" t="s">
        <v>500</v>
      </c>
      <c r="E308" s="8" t="s">
        <v>53</v>
      </c>
      <c r="F308" s="9" t="s">
        <v>242</v>
      </c>
      <c r="G308" s="9">
        <v>1</v>
      </c>
      <c r="H308" s="6" t="s">
        <v>1666</v>
      </c>
      <c r="I308" s="9" t="s">
        <v>514</v>
      </c>
      <c r="J308" s="9" t="s">
        <v>145</v>
      </c>
    </row>
    <row r="309" spans="1:10">
      <c r="A309" s="5" t="s">
        <v>757</v>
      </c>
      <c r="B309" s="6" t="s">
        <v>1671</v>
      </c>
      <c r="C309" s="7">
        <v>46140</v>
      </c>
      <c r="D309" s="9" t="s">
        <v>261</v>
      </c>
      <c r="E309" s="8" t="s">
        <v>62</v>
      </c>
      <c r="F309" s="9" t="s">
        <v>242</v>
      </c>
      <c r="G309" s="9">
        <v>3</v>
      </c>
      <c r="H309" s="6" t="s">
        <v>1666</v>
      </c>
      <c r="I309" s="9" t="s">
        <v>514</v>
      </c>
      <c r="J309" s="9" t="s">
        <v>145</v>
      </c>
    </row>
    <row r="310" spans="1:10">
      <c r="A310" s="5" t="s">
        <v>760</v>
      </c>
      <c r="B310" s="6" t="s">
        <v>1672</v>
      </c>
      <c r="C310" s="7">
        <v>46141</v>
      </c>
      <c r="D310" s="9" t="s">
        <v>696</v>
      </c>
      <c r="E310" s="8" t="s">
        <v>86</v>
      </c>
      <c r="F310" s="9" t="s">
        <v>242</v>
      </c>
      <c r="G310" s="9">
        <v>120</v>
      </c>
      <c r="H310" s="6" t="s">
        <v>1673</v>
      </c>
      <c r="I310" s="9" t="s">
        <v>484</v>
      </c>
      <c r="J310" s="9" t="s">
        <v>145</v>
      </c>
    </row>
    <row r="311" spans="1:10">
      <c r="A311" s="5" t="s">
        <v>761</v>
      </c>
      <c r="B311" s="6" t="s">
        <v>1672</v>
      </c>
      <c r="C311" s="7">
        <v>46141</v>
      </c>
      <c r="D311" s="9" t="s">
        <v>261</v>
      </c>
      <c r="E311" s="8" t="s">
        <v>62</v>
      </c>
      <c r="F311" s="9" t="s">
        <v>242</v>
      </c>
      <c r="G311" s="9">
        <v>5</v>
      </c>
      <c r="H311" s="6" t="s">
        <v>1673</v>
      </c>
      <c r="I311" s="9" t="s">
        <v>484</v>
      </c>
      <c r="J311" s="9" t="s">
        <v>145</v>
      </c>
    </row>
    <row r="312" spans="1:10">
      <c r="A312" s="5" t="s">
        <v>763</v>
      </c>
      <c r="B312" s="6" t="s">
        <v>1674</v>
      </c>
      <c r="C312" s="7">
        <v>46141</v>
      </c>
      <c r="D312" s="9" t="s">
        <v>500</v>
      </c>
      <c r="E312" s="8" t="s">
        <v>48</v>
      </c>
      <c r="F312" s="9" t="s">
        <v>242</v>
      </c>
      <c r="G312" s="9">
        <v>1</v>
      </c>
      <c r="H312" s="6" t="s">
        <v>1675</v>
      </c>
      <c r="I312" s="9" t="s">
        <v>258</v>
      </c>
      <c r="J312" s="9" t="s">
        <v>145</v>
      </c>
    </row>
    <row r="313" spans="1:10">
      <c r="A313" s="5" t="s">
        <v>764</v>
      </c>
      <c r="B313" s="6" t="s">
        <v>1674</v>
      </c>
      <c r="C313" s="7">
        <v>46141</v>
      </c>
      <c r="D313" s="9" t="s">
        <v>261</v>
      </c>
      <c r="E313" s="8" t="s">
        <v>63</v>
      </c>
      <c r="F313" s="9" t="s">
        <v>242</v>
      </c>
      <c r="G313" s="9">
        <v>2</v>
      </c>
      <c r="H313" s="6" t="s">
        <v>1675</v>
      </c>
      <c r="I313" s="9" t="s">
        <v>258</v>
      </c>
      <c r="J313" s="9" t="s">
        <v>145</v>
      </c>
    </row>
    <row r="314" spans="1:10">
      <c r="A314" s="5" t="s">
        <v>765</v>
      </c>
      <c r="B314" s="6" t="s">
        <v>1674</v>
      </c>
      <c r="C314" s="7">
        <v>46141</v>
      </c>
      <c r="D314" s="9" t="s">
        <v>270</v>
      </c>
      <c r="E314" s="8" t="s">
        <v>271</v>
      </c>
      <c r="F314" s="9" t="s">
        <v>242</v>
      </c>
      <c r="G314" s="9">
        <v>2</v>
      </c>
      <c r="H314" s="6" t="s">
        <v>1675</v>
      </c>
      <c r="I314" s="9" t="s">
        <v>258</v>
      </c>
      <c r="J314" s="9" t="s">
        <v>145</v>
      </c>
    </row>
    <row r="315" spans="1:10">
      <c r="A315" s="5" t="s">
        <v>767</v>
      </c>
      <c r="B315" s="6" t="s">
        <v>1674</v>
      </c>
      <c r="C315" s="7">
        <v>46141</v>
      </c>
      <c r="D315" s="9" t="s">
        <v>503</v>
      </c>
      <c r="E315" s="8" t="s">
        <v>162</v>
      </c>
      <c r="F315" s="9" t="s">
        <v>242</v>
      </c>
      <c r="G315" s="9">
        <v>1</v>
      </c>
      <c r="H315" s="6" t="s">
        <v>1675</v>
      </c>
      <c r="I315" s="9" t="s">
        <v>258</v>
      </c>
      <c r="J315" s="9" t="s">
        <v>145</v>
      </c>
    </row>
    <row r="316" spans="1:10">
      <c r="A316" s="5" t="s">
        <v>768</v>
      </c>
      <c r="B316" s="6" t="s">
        <v>1674</v>
      </c>
      <c r="C316" s="7">
        <v>46141</v>
      </c>
      <c r="D316" s="9" t="s">
        <v>696</v>
      </c>
      <c r="E316" s="4" t="s">
        <v>86</v>
      </c>
      <c r="F316" s="9" t="s">
        <v>242</v>
      </c>
      <c r="G316" s="9">
        <v>30</v>
      </c>
      <c r="H316" s="6" t="s">
        <v>1675</v>
      </c>
      <c r="I316" s="9" t="s">
        <v>258</v>
      </c>
      <c r="J316" s="9" t="s">
        <v>145</v>
      </c>
    </row>
    <row r="317" spans="1:10">
      <c r="A317" s="5" t="s">
        <v>769</v>
      </c>
      <c r="B317" s="6" t="s">
        <v>1674</v>
      </c>
      <c r="C317" s="7">
        <v>46141</v>
      </c>
      <c r="D317" s="9" t="s">
        <v>261</v>
      </c>
      <c r="E317" s="8" t="s">
        <v>62</v>
      </c>
      <c r="F317" s="9" t="s">
        <v>242</v>
      </c>
      <c r="G317" s="9">
        <v>5</v>
      </c>
      <c r="H317" s="6" t="s">
        <v>1675</v>
      </c>
      <c r="I317" s="9" t="s">
        <v>258</v>
      </c>
      <c r="J317" s="9" t="s">
        <v>145</v>
      </c>
    </row>
    <row r="318" spans="1:10">
      <c r="A318" s="5" t="s">
        <v>772</v>
      </c>
      <c r="B318" s="6" t="s">
        <v>1676</v>
      </c>
      <c r="C318" s="7">
        <v>46141</v>
      </c>
      <c r="D318" s="9" t="s">
        <v>261</v>
      </c>
      <c r="E318" s="8" t="s">
        <v>65</v>
      </c>
      <c r="F318" s="9" t="s">
        <v>242</v>
      </c>
      <c r="G318" s="9">
        <v>1</v>
      </c>
      <c r="H318" s="6" t="s">
        <v>1677</v>
      </c>
      <c r="I318" s="9" t="s">
        <v>258</v>
      </c>
      <c r="J318" s="9" t="s">
        <v>145</v>
      </c>
    </row>
    <row r="319" spans="1:10">
      <c r="A319" s="5" t="s">
        <v>773</v>
      </c>
      <c r="B319" s="6" t="s">
        <v>1676</v>
      </c>
      <c r="C319" s="7">
        <v>46141</v>
      </c>
      <c r="D319" s="9" t="s">
        <v>270</v>
      </c>
      <c r="E319" s="8" t="s">
        <v>271</v>
      </c>
      <c r="F319" s="9" t="s">
        <v>242</v>
      </c>
      <c r="G319" s="9">
        <v>3</v>
      </c>
      <c r="H319" s="6" t="s">
        <v>1677</v>
      </c>
      <c r="I319" s="9" t="s">
        <v>258</v>
      </c>
      <c r="J319" s="9" t="s">
        <v>145</v>
      </c>
    </row>
    <row r="320" spans="1:10">
      <c r="A320" s="5" t="s">
        <v>774</v>
      </c>
      <c r="B320" s="6" t="s">
        <v>1676</v>
      </c>
      <c r="C320" s="7">
        <v>46141</v>
      </c>
      <c r="D320" s="9" t="s">
        <v>503</v>
      </c>
      <c r="E320" s="8" t="s">
        <v>71</v>
      </c>
      <c r="F320" s="9" t="s">
        <v>242</v>
      </c>
      <c r="G320" s="9">
        <v>2</v>
      </c>
      <c r="H320" s="6" t="s">
        <v>1677</v>
      </c>
      <c r="I320" s="9" t="s">
        <v>258</v>
      </c>
      <c r="J320" s="9" t="s">
        <v>145</v>
      </c>
    </row>
    <row r="321" spans="1:10">
      <c r="A321" s="5" t="s">
        <v>776</v>
      </c>
      <c r="B321" s="6" t="s">
        <v>1676</v>
      </c>
      <c r="C321" s="7">
        <v>46141</v>
      </c>
      <c r="D321" s="9" t="s">
        <v>503</v>
      </c>
      <c r="E321" s="8" t="s">
        <v>78</v>
      </c>
      <c r="F321" s="9" t="s">
        <v>242</v>
      </c>
      <c r="G321" s="9">
        <v>3</v>
      </c>
      <c r="H321" s="6" t="s">
        <v>1677</v>
      </c>
      <c r="I321" s="9" t="s">
        <v>258</v>
      </c>
      <c r="J321" s="9" t="s">
        <v>145</v>
      </c>
    </row>
    <row r="322" spans="1:10">
      <c r="A322" s="5" t="s">
        <v>779</v>
      </c>
      <c r="B322" s="6" t="s">
        <v>1676</v>
      </c>
      <c r="C322" s="7">
        <v>46141</v>
      </c>
      <c r="D322" s="9" t="s">
        <v>503</v>
      </c>
      <c r="E322" s="4" t="s">
        <v>76</v>
      </c>
      <c r="F322" s="9" t="s">
        <v>242</v>
      </c>
      <c r="G322" s="9">
        <v>2</v>
      </c>
      <c r="H322" s="6" t="s">
        <v>1677</v>
      </c>
      <c r="I322" s="9" t="s">
        <v>258</v>
      </c>
      <c r="J322" s="9" t="s">
        <v>145</v>
      </c>
    </row>
    <row r="323" spans="1:10">
      <c r="A323" s="5" t="s">
        <v>780</v>
      </c>
      <c r="B323" s="6" t="s">
        <v>1676</v>
      </c>
      <c r="C323" s="7">
        <v>46141</v>
      </c>
      <c r="D323" s="9" t="s">
        <v>696</v>
      </c>
      <c r="E323" s="8" t="s">
        <v>88</v>
      </c>
      <c r="F323" s="9" t="s">
        <v>242</v>
      </c>
      <c r="G323" s="9">
        <v>55</v>
      </c>
      <c r="H323" s="6" t="s">
        <v>1677</v>
      </c>
      <c r="I323" s="9" t="s">
        <v>258</v>
      </c>
      <c r="J323" s="9" t="s">
        <v>145</v>
      </c>
    </row>
    <row r="324" spans="1:10">
      <c r="A324" s="5" t="s">
        <v>782</v>
      </c>
      <c r="B324" s="6" t="s">
        <v>1676</v>
      </c>
      <c r="C324" s="7">
        <v>46141</v>
      </c>
      <c r="D324" s="9" t="s">
        <v>261</v>
      </c>
      <c r="E324" s="8" t="s">
        <v>281</v>
      </c>
      <c r="F324" s="9" t="s">
        <v>242</v>
      </c>
      <c r="G324" s="9">
        <v>4</v>
      </c>
      <c r="H324" s="6" t="s">
        <v>1677</v>
      </c>
      <c r="I324" s="9" t="s">
        <v>258</v>
      </c>
      <c r="J324" s="9" t="s">
        <v>145</v>
      </c>
    </row>
    <row r="325" spans="1:10">
      <c r="A325" s="5" t="s">
        <v>785</v>
      </c>
      <c r="B325" s="6" t="s">
        <v>1678</v>
      </c>
      <c r="C325" s="7">
        <v>46141</v>
      </c>
      <c r="D325" s="9" t="s">
        <v>500</v>
      </c>
      <c r="E325" s="8" t="s">
        <v>53</v>
      </c>
      <c r="F325" s="9" t="s">
        <v>242</v>
      </c>
      <c r="G325" s="9">
        <v>1</v>
      </c>
      <c r="H325" s="6" t="s">
        <v>1666</v>
      </c>
      <c r="I325" s="9" t="s">
        <v>357</v>
      </c>
      <c r="J325" s="9" t="s">
        <v>145</v>
      </c>
    </row>
    <row r="326" spans="1:10">
      <c r="A326" s="5" t="s">
        <v>786</v>
      </c>
      <c r="B326" s="6" t="s">
        <v>1678</v>
      </c>
      <c r="C326" s="7">
        <v>46141</v>
      </c>
      <c r="D326" s="9" t="s">
        <v>270</v>
      </c>
      <c r="E326" s="4" t="s">
        <v>271</v>
      </c>
      <c r="F326" s="9" t="s">
        <v>242</v>
      </c>
      <c r="G326" s="9">
        <v>1</v>
      </c>
      <c r="H326" s="6" t="s">
        <v>1666</v>
      </c>
      <c r="I326" s="9" t="s">
        <v>357</v>
      </c>
      <c r="J326" s="9" t="s">
        <v>145</v>
      </c>
    </row>
    <row r="327" spans="1:10">
      <c r="A327" s="5" t="s">
        <v>788</v>
      </c>
      <c r="B327" s="6" t="s">
        <v>1678</v>
      </c>
      <c r="C327" s="7">
        <v>46141</v>
      </c>
      <c r="D327" s="9" t="s">
        <v>261</v>
      </c>
      <c r="E327" s="8" t="s">
        <v>62</v>
      </c>
      <c r="F327" s="9" t="s">
        <v>242</v>
      </c>
      <c r="G327" s="9">
        <v>4</v>
      </c>
      <c r="H327" s="6" t="s">
        <v>1666</v>
      </c>
      <c r="I327" s="9" t="s">
        <v>357</v>
      </c>
      <c r="J327" s="9" t="s">
        <v>145</v>
      </c>
    </row>
    <row r="328" spans="1:10">
      <c r="A328" s="5" t="s">
        <v>789</v>
      </c>
      <c r="B328" s="6" t="s">
        <v>1679</v>
      </c>
      <c r="C328" s="7">
        <v>46141</v>
      </c>
      <c r="D328" s="9" t="s">
        <v>261</v>
      </c>
      <c r="E328" s="8" t="s">
        <v>65</v>
      </c>
      <c r="F328" s="9" t="s">
        <v>242</v>
      </c>
      <c r="G328" s="9">
        <v>2</v>
      </c>
      <c r="H328" s="6" t="s">
        <v>1680</v>
      </c>
      <c r="I328" s="9" t="s">
        <v>415</v>
      </c>
      <c r="J328" s="9" t="s">
        <v>145</v>
      </c>
    </row>
    <row r="329" spans="1:10">
      <c r="A329" s="5" t="s">
        <v>790</v>
      </c>
      <c r="B329" s="6" t="s">
        <v>1679</v>
      </c>
      <c r="C329" s="7">
        <v>46141</v>
      </c>
      <c r="D329" s="9" t="s">
        <v>261</v>
      </c>
      <c r="E329" s="8" t="s">
        <v>63</v>
      </c>
      <c r="F329" s="9" t="s">
        <v>242</v>
      </c>
      <c r="G329" s="9">
        <v>2</v>
      </c>
      <c r="H329" s="6" t="s">
        <v>1680</v>
      </c>
      <c r="I329" s="9" t="s">
        <v>415</v>
      </c>
      <c r="J329" s="9" t="s">
        <v>145</v>
      </c>
    </row>
    <row r="330" spans="1:10">
      <c r="A330" s="5" t="s">
        <v>792</v>
      </c>
      <c r="B330" s="6" t="s">
        <v>1679</v>
      </c>
      <c r="C330" s="7">
        <v>46141</v>
      </c>
      <c r="D330" s="9" t="s">
        <v>270</v>
      </c>
      <c r="E330" s="8" t="s">
        <v>271</v>
      </c>
      <c r="F330" s="9" t="s">
        <v>242</v>
      </c>
      <c r="G330" s="9">
        <v>5</v>
      </c>
      <c r="H330" s="6" t="s">
        <v>1680</v>
      </c>
      <c r="I330" s="9" t="s">
        <v>415</v>
      </c>
      <c r="J330" s="9" t="s">
        <v>145</v>
      </c>
    </row>
    <row r="331" spans="1:10">
      <c r="A331" s="5" t="s">
        <v>793</v>
      </c>
      <c r="B331" s="6" t="s">
        <v>1679</v>
      </c>
      <c r="C331" s="7">
        <v>46141</v>
      </c>
      <c r="D331" s="9" t="s">
        <v>261</v>
      </c>
      <c r="E331" s="8" t="s">
        <v>62</v>
      </c>
      <c r="F331" s="9" t="s">
        <v>242</v>
      </c>
      <c r="G331" s="9">
        <v>4</v>
      </c>
      <c r="H331" s="6" t="s">
        <v>1680</v>
      </c>
      <c r="I331" s="9" t="s">
        <v>415</v>
      </c>
      <c r="J331" s="9" t="s">
        <v>145</v>
      </c>
    </row>
    <row r="332" spans="1:10">
      <c r="A332" s="5" t="s">
        <v>794</v>
      </c>
      <c r="B332" s="6" t="s">
        <v>1679</v>
      </c>
      <c r="C332" s="7">
        <v>46141</v>
      </c>
      <c r="D332" s="9" t="s">
        <v>696</v>
      </c>
      <c r="E332" s="8" t="s">
        <v>86</v>
      </c>
      <c r="F332" s="9" t="s">
        <v>242</v>
      </c>
      <c r="G332" s="9">
        <v>30</v>
      </c>
      <c r="H332" s="6" t="s">
        <v>1680</v>
      </c>
      <c r="I332" s="9" t="s">
        <v>415</v>
      </c>
      <c r="J332" s="9" t="s">
        <v>145</v>
      </c>
    </row>
    <row r="333" spans="1:10">
      <c r="A333" s="5" t="s">
        <v>796</v>
      </c>
      <c r="B333" s="6" t="s">
        <v>1681</v>
      </c>
      <c r="C333" s="7">
        <v>46141</v>
      </c>
      <c r="D333" s="9" t="s">
        <v>500</v>
      </c>
      <c r="E333" s="8" t="s">
        <v>48</v>
      </c>
      <c r="F333" s="9" t="s">
        <v>242</v>
      </c>
      <c r="G333" s="9">
        <v>1</v>
      </c>
      <c r="H333" s="6" t="s">
        <v>1682</v>
      </c>
      <c r="I333" s="9" t="s">
        <v>415</v>
      </c>
      <c r="J333" s="9" t="s">
        <v>145</v>
      </c>
    </row>
    <row r="334" spans="1:10">
      <c r="A334" s="5" t="s">
        <v>797</v>
      </c>
      <c r="B334" s="6" t="s">
        <v>1681</v>
      </c>
      <c r="C334" s="7">
        <v>46141</v>
      </c>
      <c r="D334" s="9" t="s">
        <v>261</v>
      </c>
      <c r="E334" s="8" t="s">
        <v>64</v>
      </c>
      <c r="F334" s="9" t="s">
        <v>242</v>
      </c>
      <c r="G334" s="9">
        <v>2</v>
      </c>
      <c r="H334" s="6" t="s">
        <v>1682</v>
      </c>
      <c r="I334" s="9" t="s">
        <v>415</v>
      </c>
      <c r="J334" s="9" t="s">
        <v>145</v>
      </c>
    </row>
    <row r="335" spans="1:10">
      <c r="A335" s="5" t="s">
        <v>798</v>
      </c>
      <c r="B335" s="6" t="s">
        <v>1681</v>
      </c>
      <c r="C335" s="7">
        <v>46141</v>
      </c>
      <c r="D335" s="9" t="s">
        <v>270</v>
      </c>
      <c r="E335" s="8" t="s">
        <v>271</v>
      </c>
      <c r="F335" s="9" t="s">
        <v>242</v>
      </c>
      <c r="G335" s="9">
        <v>3</v>
      </c>
      <c r="H335" s="6" t="s">
        <v>1682</v>
      </c>
      <c r="I335" s="9" t="s">
        <v>415</v>
      </c>
      <c r="J335" s="9" t="s">
        <v>145</v>
      </c>
    </row>
    <row r="336" spans="1:10">
      <c r="A336" s="5" t="s">
        <v>799</v>
      </c>
      <c r="B336" s="6" t="s">
        <v>1681</v>
      </c>
      <c r="C336" s="7">
        <v>46141</v>
      </c>
      <c r="D336" s="9" t="s">
        <v>261</v>
      </c>
      <c r="E336" s="8" t="s">
        <v>62</v>
      </c>
      <c r="F336" s="9" t="s">
        <v>242</v>
      </c>
      <c r="G336" s="9">
        <v>2</v>
      </c>
      <c r="H336" s="6" t="s">
        <v>1682</v>
      </c>
      <c r="I336" s="9" t="s">
        <v>415</v>
      </c>
      <c r="J336" s="9" t="s">
        <v>145</v>
      </c>
    </row>
    <row r="337" spans="1:10">
      <c r="A337" s="5" t="s">
        <v>800</v>
      </c>
      <c r="B337" s="6" t="s">
        <v>1683</v>
      </c>
      <c r="C337" s="7">
        <v>46142</v>
      </c>
      <c r="D337" s="9" t="s">
        <v>696</v>
      </c>
      <c r="E337" s="8" t="s">
        <v>86</v>
      </c>
      <c r="F337" s="9" t="s">
        <v>242</v>
      </c>
      <c r="G337" s="9">
        <v>30</v>
      </c>
      <c r="H337" s="6" t="s">
        <v>1684</v>
      </c>
      <c r="I337" s="9" t="s">
        <v>514</v>
      </c>
      <c r="J337" s="9" t="s">
        <v>145</v>
      </c>
    </row>
    <row r="338" spans="1:10">
      <c r="A338" s="5" t="s">
        <v>802</v>
      </c>
      <c r="B338" s="6" t="s">
        <v>1683</v>
      </c>
      <c r="C338" s="7">
        <v>46142</v>
      </c>
      <c r="D338" s="9" t="s">
        <v>261</v>
      </c>
      <c r="E338" s="8" t="s">
        <v>62</v>
      </c>
      <c r="F338" s="9" t="s">
        <v>242</v>
      </c>
      <c r="G338" s="9">
        <v>4</v>
      </c>
      <c r="H338" s="6" t="s">
        <v>1684</v>
      </c>
      <c r="I338" s="9" t="s">
        <v>514</v>
      </c>
      <c r="J338" s="9" t="s">
        <v>145</v>
      </c>
    </row>
    <row r="339" spans="1:10">
      <c r="A339" s="5" t="s">
        <v>803</v>
      </c>
      <c r="B339" s="6" t="s">
        <v>1685</v>
      </c>
      <c r="C339" s="7">
        <v>46142</v>
      </c>
      <c r="D339" s="9" t="s">
        <v>500</v>
      </c>
      <c r="E339" s="8" t="s">
        <v>54</v>
      </c>
      <c r="F339" s="9" t="s">
        <v>242</v>
      </c>
      <c r="G339" s="9">
        <v>1</v>
      </c>
      <c r="H339" s="6" t="s">
        <v>876</v>
      </c>
      <c r="I339" s="9" t="s">
        <v>275</v>
      </c>
      <c r="J339" s="9" t="s">
        <v>145</v>
      </c>
    </row>
    <row r="340" spans="1:10">
      <c r="A340" s="5" t="s">
        <v>805</v>
      </c>
      <c r="B340" s="6" t="s">
        <v>1686</v>
      </c>
      <c r="C340" s="7">
        <v>46142</v>
      </c>
      <c r="D340" s="9" t="s">
        <v>500</v>
      </c>
      <c r="E340" s="8" t="s">
        <v>53</v>
      </c>
      <c r="F340" s="9" t="s">
        <v>242</v>
      </c>
      <c r="G340" s="9">
        <v>1</v>
      </c>
      <c r="H340" s="6" t="s">
        <v>1666</v>
      </c>
      <c r="I340" s="9" t="s">
        <v>311</v>
      </c>
      <c r="J340" s="9" t="s">
        <v>145</v>
      </c>
    </row>
    <row r="341" spans="1:10">
      <c r="A341" s="5" t="s">
        <v>808</v>
      </c>
      <c r="B341" s="6" t="s">
        <v>1686</v>
      </c>
      <c r="C341" s="7">
        <v>46142</v>
      </c>
      <c r="D341" s="9" t="s">
        <v>261</v>
      </c>
      <c r="E341" s="8" t="s">
        <v>62</v>
      </c>
      <c r="F341" s="9" t="s">
        <v>242</v>
      </c>
      <c r="G341" s="9">
        <v>6</v>
      </c>
      <c r="H341" s="6" t="s">
        <v>1666</v>
      </c>
      <c r="I341" s="9" t="s">
        <v>311</v>
      </c>
      <c r="J341" s="9" t="s">
        <v>145</v>
      </c>
    </row>
    <row r="342" spans="1:10">
      <c r="A342" s="5" t="s">
        <v>809</v>
      </c>
      <c r="B342" s="6" t="s">
        <v>1687</v>
      </c>
      <c r="C342" s="7">
        <v>46146</v>
      </c>
      <c r="D342" s="9" t="s">
        <v>503</v>
      </c>
      <c r="E342" s="8" t="s">
        <v>74</v>
      </c>
      <c r="F342" s="9" t="s">
        <v>242</v>
      </c>
      <c r="G342" s="9">
        <v>1</v>
      </c>
      <c r="H342" s="6" t="s">
        <v>1688</v>
      </c>
      <c r="I342" s="9" t="s">
        <v>415</v>
      </c>
      <c r="J342" s="9" t="s">
        <v>145</v>
      </c>
    </row>
    <row r="343" spans="1:10">
      <c r="A343" s="5" t="s">
        <v>810</v>
      </c>
      <c r="B343" s="6" t="s">
        <v>1687</v>
      </c>
      <c r="C343" s="7">
        <v>46146</v>
      </c>
      <c r="D343" s="9" t="s">
        <v>503</v>
      </c>
      <c r="E343" s="8" t="s">
        <v>71</v>
      </c>
      <c r="F343" s="9" t="s">
        <v>242</v>
      </c>
      <c r="G343" s="9">
        <v>1</v>
      </c>
      <c r="H343" s="6" t="s">
        <v>1688</v>
      </c>
      <c r="I343" s="9" t="s">
        <v>415</v>
      </c>
      <c r="J343" s="9" t="s">
        <v>145</v>
      </c>
    </row>
    <row r="344" spans="1:10">
      <c r="A344" s="5" t="s">
        <v>812</v>
      </c>
      <c r="B344" s="6" t="s">
        <v>1687</v>
      </c>
      <c r="C344" s="7">
        <v>46146</v>
      </c>
      <c r="D344" s="9" t="s">
        <v>503</v>
      </c>
      <c r="E344" s="4" t="s">
        <v>78</v>
      </c>
      <c r="F344" s="9" t="s">
        <v>242</v>
      </c>
      <c r="G344" s="9">
        <v>3</v>
      </c>
      <c r="H344" s="6" t="s">
        <v>1688</v>
      </c>
      <c r="I344" s="9" t="s">
        <v>415</v>
      </c>
      <c r="J344" s="9" t="s">
        <v>145</v>
      </c>
    </row>
    <row r="345" spans="1:10">
      <c r="A345" s="5" t="s">
        <v>813</v>
      </c>
      <c r="B345" s="6" t="s">
        <v>1687</v>
      </c>
      <c r="C345" s="7">
        <v>46146</v>
      </c>
      <c r="D345" s="9" t="s">
        <v>503</v>
      </c>
      <c r="E345" s="4" t="s">
        <v>76</v>
      </c>
      <c r="F345" s="9" t="s">
        <v>242</v>
      </c>
      <c r="G345" s="9">
        <v>4</v>
      </c>
      <c r="H345" s="6" t="s">
        <v>1688</v>
      </c>
      <c r="I345" s="9" t="s">
        <v>415</v>
      </c>
      <c r="J345" s="9" t="s">
        <v>145</v>
      </c>
    </row>
    <row r="346" spans="1:10">
      <c r="A346" s="5" t="s">
        <v>815</v>
      </c>
      <c r="B346" s="6" t="s">
        <v>1687</v>
      </c>
      <c r="C346" s="7">
        <v>46146</v>
      </c>
      <c r="D346" s="9" t="s">
        <v>503</v>
      </c>
      <c r="E346" s="8" t="s">
        <v>181</v>
      </c>
      <c r="F346" s="9" t="s">
        <v>242</v>
      </c>
      <c r="G346" s="9">
        <v>1</v>
      </c>
      <c r="H346" s="6" t="s">
        <v>1688</v>
      </c>
      <c r="I346" s="9" t="s">
        <v>415</v>
      </c>
      <c r="J346" s="9" t="s">
        <v>145</v>
      </c>
    </row>
    <row r="347" spans="1:10">
      <c r="A347" s="5" t="s">
        <v>816</v>
      </c>
      <c r="B347" s="6" t="s">
        <v>1687</v>
      </c>
      <c r="C347" s="7">
        <v>46146</v>
      </c>
      <c r="D347" s="9" t="s">
        <v>503</v>
      </c>
      <c r="E347" s="8" t="s">
        <v>190</v>
      </c>
      <c r="F347" s="9" t="s">
        <v>242</v>
      </c>
      <c r="G347" s="9">
        <v>1</v>
      </c>
      <c r="H347" s="6" t="s">
        <v>1688</v>
      </c>
      <c r="I347" s="9" t="s">
        <v>415</v>
      </c>
      <c r="J347" s="9" t="s">
        <v>145</v>
      </c>
    </row>
    <row r="348" spans="1:10">
      <c r="A348" s="5" t="s">
        <v>817</v>
      </c>
      <c r="B348" s="6" t="s">
        <v>1689</v>
      </c>
      <c r="C348" s="7">
        <v>46146</v>
      </c>
      <c r="D348" s="9" t="s">
        <v>500</v>
      </c>
      <c r="E348" s="8" t="s">
        <v>4</v>
      </c>
      <c r="F348" s="9" t="s">
        <v>242</v>
      </c>
      <c r="G348" s="9">
        <v>1</v>
      </c>
      <c r="H348" s="6" t="s">
        <v>1690</v>
      </c>
      <c r="I348" s="9" t="s">
        <v>258</v>
      </c>
      <c r="J348" s="9" t="s">
        <v>145</v>
      </c>
    </row>
    <row r="349" spans="1:10">
      <c r="A349" s="5" t="s">
        <v>818</v>
      </c>
      <c r="B349" s="6" t="s">
        <v>1689</v>
      </c>
      <c r="C349" s="7">
        <v>46146</v>
      </c>
      <c r="D349" s="9" t="s">
        <v>270</v>
      </c>
      <c r="E349" s="4" t="s">
        <v>271</v>
      </c>
      <c r="F349" s="9" t="s">
        <v>242</v>
      </c>
      <c r="G349" s="9">
        <v>2</v>
      </c>
      <c r="H349" s="6" t="s">
        <v>1690</v>
      </c>
      <c r="I349" s="9" t="s">
        <v>258</v>
      </c>
      <c r="J349" s="9" t="s">
        <v>145</v>
      </c>
    </row>
    <row r="350" spans="1:10">
      <c r="A350" s="5" t="s">
        <v>820</v>
      </c>
      <c r="B350" s="6" t="s">
        <v>1689</v>
      </c>
      <c r="C350" s="7">
        <v>46146</v>
      </c>
      <c r="D350" s="9" t="s">
        <v>503</v>
      </c>
      <c r="E350" s="8" t="s">
        <v>162</v>
      </c>
      <c r="F350" s="9" t="s">
        <v>242</v>
      </c>
      <c r="G350" s="9">
        <v>1</v>
      </c>
      <c r="H350" s="6" t="s">
        <v>1690</v>
      </c>
      <c r="I350" s="9" t="s">
        <v>258</v>
      </c>
      <c r="J350" s="9" t="s">
        <v>145</v>
      </c>
    </row>
    <row r="351" spans="1:10">
      <c r="A351" s="5" t="s">
        <v>821</v>
      </c>
      <c r="B351" s="6" t="s">
        <v>1691</v>
      </c>
      <c r="C351" s="7">
        <v>46146</v>
      </c>
      <c r="D351" s="9" t="s">
        <v>270</v>
      </c>
      <c r="E351" s="4" t="s">
        <v>271</v>
      </c>
      <c r="F351" s="9" t="s">
        <v>242</v>
      </c>
      <c r="G351" s="9">
        <v>3</v>
      </c>
      <c r="H351" s="6" t="s">
        <v>1692</v>
      </c>
      <c r="I351" s="9" t="s">
        <v>258</v>
      </c>
      <c r="J351" s="9" t="s">
        <v>145</v>
      </c>
    </row>
    <row r="352" spans="1:10">
      <c r="A352" s="5" t="s">
        <v>822</v>
      </c>
      <c r="B352" s="6" t="s">
        <v>1571</v>
      </c>
      <c r="C352" s="7">
        <v>46146</v>
      </c>
      <c r="D352" s="9" t="s">
        <v>500</v>
      </c>
      <c r="E352" s="8" t="s">
        <v>54</v>
      </c>
      <c r="F352" s="9" t="s">
        <v>242</v>
      </c>
      <c r="G352" s="9">
        <v>1</v>
      </c>
      <c r="H352" s="6" t="s">
        <v>759</v>
      </c>
      <c r="I352" s="9" t="s">
        <v>609</v>
      </c>
      <c r="J352" s="9" t="s">
        <v>145</v>
      </c>
    </row>
    <row r="353" spans="1:10">
      <c r="A353" s="5" t="s">
        <v>824</v>
      </c>
      <c r="B353" s="6" t="s">
        <v>1571</v>
      </c>
      <c r="C353" s="7">
        <v>46146</v>
      </c>
      <c r="D353" s="9" t="s">
        <v>261</v>
      </c>
      <c r="E353" s="4" t="s">
        <v>62</v>
      </c>
      <c r="F353" s="9" t="s">
        <v>242</v>
      </c>
      <c r="G353" s="9">
        <v>1</v>
      </c>
      <c r="H353" s="6" t="s">
        <v>759</v>
      </c>
      <c r="I353" s="9" t="s">
        <v>609</v>
      </c>
      <c r="J353" s="9" t="s">
        <v>145</v>
      </c>
    </row>
    <row r="354" spans="1:10">
      <c r="A354" s="5" t="s">
        <v>828</v>
      </c>
      <c r="B354" s="6" t="s">
        <v>1693</v>
      </c>
      <c r="C354" s="7">
        <v>46148</v>
      </c>
      <c r="D354" s="9" t="s">
        <v>261</v>
      </c>
      <c r="E354" s="8" t="s">
        <v>62</v>
      </c>
      <c r="F354" s="9" t="s">
        <v>242</v>
      </c>
      <c r="G354" s="9">
        <v>5</v>
      </c>
      <c r="H354" s="6" t="s">
        <v>722</v>
      </c>
      <c r="I354" s="9" t="s">
        <v>628</v>
      </c>
      <c r="J354" s="9" t="s">
        <v>145</v>
      </c>
    </row>
    <row r="355" spans="1:10">
      <c r="A355" s="5" t="s">
        <v>831</v>
      </c>
      <c r="B355" s="6" t="s">
        <v>1694</v>
      </c>
      <c r="C355" s="7">
        <v>46149</v>
      </c>
      <c r="D355" s="9" t="s">
        <v>261</v>
      </c>
      <c r="E355" s="8" t="s">
        <v>62</v>
      </c>
      <c r="F355" s="9" t="s">
        <v>242</v>
      </c>
      <c r="G355" s="9">
        <v>5</v>
      </c>
      <c r="H355" s="6" t="s">
        <v>722</v>
      </c>
      <c r="I355" s="9" t="s">
        <v>609</v>
      </c>
      <c r="J355" s="9" t="s">
        <v>145</v>
      </c>
    </row>
    <row r="356" spans="1:10">
      <c r="A356" s="5" t="s">
        <v>833</v>
      </c>
      <c r="B356" s="6" t="s">
        <v>1695</v>
      </c>
      <c r="C356" s="7">
        <v>46150</v>
      </c>
      <c r="D356" s="9" t="s">
        <v>500</v>
      </c>
      <c r="E356" s="8" t="s">
        <v>53</v>
      </c>
      <c r="F356" s="9" t="s">
        <v>242</v>
      </c>
      <c r="G356" s="9">
        <v>1</v>
      </c>
      <c r="H356" s="6" t="s">
        <v>693</v>
      </c>
      <c r="I356" s="9" t="s">
        <v>609</v>
      </c>
      <c r="J356" s="9" t="s">
        <v>145</v>
      </c>
    </row>
    <row r="357" spans="1:10">
      <c r="A357" s="5" t="s">
        <v>836</v>
      </c>
      <c r="B357" s="6" t="s">
        <v>1695</v>
      </c>
      <c r="C357" s="7">
        <v>46150</v>
      </c>
      <c r="D357" s="9" t="s">
        <v>261</v>
      </c>
      <c r="E357" s="8" t="s">
        <v>64</v>
      </c>
      <c r="F357" s="9" t="s">
        <v>242</v>
      </c>
      <c r="G357" s="9">
        <v>1</v>
      </c>
      <c r="H357" s="6" t="s">
        <v>693</v>
      </c>
      <c r="I357" s="9" t="s">
        <v>609</v>
      </c>
      <c r="J357" s="9" t="s">
        <v>145</v>
      </c>
    </row>
    <row r="358" spans="1:10">
      <c r="A358" s="5" t="s">
        <v>839</v>
      </c>
      <c r="B358" s="6" t="s">
        <v>1695</v>
      </c>
      <c r="C358" s="7">
        <v>46150</v>
      </c>
      <c r="D358" s="9" t="s">
        <v>270</v>
      </c>
      <c r="E358" s="8" t="s">
        <v>271</v>
      </c>
      <c r="F358" s="9" t="s">
        <v>242</v>
      </c>
      <c r="G358" s="9">
        <v>1</v>
      </c>
      <c r="H358" s="6" t="s">
        <v>693</v>
      </c>
      <c r="I358" s="9" t="s">
        <v>609</v>
      </c>
      <c r="J358" s="9" t="s">
        <v>145</v>
      </c>
    </row>
    <row r="359" spans="1:10">
      <c r="A359" s="5" t="s">
        <v>840</v>
      </c>
      <c r="B359" s="6" t="s">
        <v>1696</v>
      </c>
      <c r="C359" s="7">
        <v>46153</v>
      </c>
      <c r="D359" s="9" t="s">
        <v>261</v>
      </c>
      <c r="E359" s="4" t="s">
        <v>62</v>
      </c>
      <c r="F359" s="9" t="s">
        <v>242</v>
      </c>
      <c r="G359" s="9">
        <v>15</v>
      </c>
      <c r="H359" s="6" t="s">
        <v>722</v>
      </c>
      <c r="I359" s="9" t="s">
        <v>284</v>
      </c>
      <c r="J359" s="9" t="s">
        <v>145</v>
      </c>
    </row>
    <row r="360" spans="1:10">
      <c r="A360" s="5" t="s">
        <v>841</v>
      </c>
      <c r="B360" s="6" t="s">
        <v>1697</v>
      </c>
      <c r="C360" s="7">
        <v>46153</v>
      </c>
      <c r="D360" s="9" t="s">
        <v>500</v>
      </c>
      <c r="E360" s="8" t="s">
        <v>48</v>
      </c>
      <c r="F360" s="9" t="s">
        <v>242</v>
      </c>
      <c r="G360" s="9">
        <v>1</v>
      </c>
      <c r="H360" s="6" t="s">
        <v>1698</v>
      </c>
      <c r="I360" s="9" t="s">
        <v>357</v>
      </c>
      <c r="J360" s="9" t="s">
        <v>145</v>
      </c>
    </row>
    <row r="361" spans="1:10">
      <c r="A361" s="5" t="s">
        <v>842</v>
      </c>
      <c r="B361" s="6" t="s">
        <v>1697</v>
      </c>
      <c r="C361" s="7">
        <v>46153</v>
      </c>
      <c r="D361" s="9" t="s">
        <v>261</v>
      </c>
      <c r="E361" s="8" t="s">
        <v>64</v>
      </c>
      <c r="F361" s="9" t="s">
        <v>242</v>
      </c>
      <c r="G361" s="9">
        <v>2</v>
      </c>
      <c r="H361" s="6" t="s">
        <v>1698</v>
      </c>
      <c r="I361" s="9" t="s">
        <v>357</v>
      </c>
      <c r="J361" s="9" t="s">
        <v>145</v>
      </c>
    </row>
    <row r="362" spans="1:10">
      <c r="A362" s="5" t="s">
        <v>844</v>
      </c>
      <c r="B362" s="6" t="s">
        <v>1697</v>
      </c>
      <c r="C362" s="7">
        <v>46153</v>
      </c>
      <c r="D362" s="9" t="s">
        <v>270</v>
      </c>
      <c r="E362" s="8" t="s">
        <v>271</v>
      </c>
      <c r="F362" s="9" t="s">
        <v>242</v>
      </c>
      <c r="G362" s="9">
        <v>2</v>
      </c>
      <c r="H362" s="6" t="s">
        <v>1698</v>
      </c>
      <c r="I362" s="9" t="s">
        <v>357</v>
      </c>
      <c r="J362" s="9" t="s">
        <v>145</v>
      </c>
    </row>
    <row r="363" spans="1:10">
      <c r="A363" s="5" t="s">
        <v>847</v>
      </c>
      <c r="B363" s="6" t="s">
        <v>1697</v>
      </c>
      <c r="C363" s="7">
        <v>46153</v>
      </c>
      <c r="D363" s="9" t="s">
        <v>503</v>
      </c>
      <c r="E363" s="8" t="s">
        <v>162</v>
      </c>
      <c r="F363" s="9" t="s">
        <v>242</v>
      </c>
      <c r="G363" s="9">
        <v>1</v>
      </c>
      <c r="H363" s="6" t="s">
        <v>1698</v>
      </c>
      <c r="I363" s="9" t="s">
        <v>357</v>
      </c>
      <c r="J363" s="9" t="s">
        <v>145</v>
      </c>
    </row>
    <row r="364" spans="1:10">
      <c r="A364" s="5" t="s">
        <v>849</v>
      </c>
      <c r="B364" s="6" t="s">
        <v>1699</v>
      </c>
      <c r="C364" s="7">
        <v>46153</v>
      </c>
      <c r="D364" s="9" t="s">
        <v>696</v>
      </c>
      <c r="E364" s="8" t="s">
        <v>843</v>
      </c>
      <c r="F364" s="9" t="s">
        <v>242</v>
      </c>
      <c r="G364" s="9">
        <v>15</v>
      </c>
      <c r="H364" s="6" t="s">
        <v>1700</v>
      </c>
      <c r="I364" s="9" t="s">
        <v>258</v>
      </c>
      <c r="J364" s="9" t="s">
        <v>145</v>
      </c>
    </row>
    <row r="365" spans="1:10">
      <c r="A365" s="5" t="s">
        <v>852</v>
      </c>
      <c r="B365" s="6" t="s">
        <v>1699</v>
      </c>
      <c r="C365" s="7">
        <v>46153</v>
      </c>
      <c r="D365" s="9" t="s">
        <v>261</v>
      </c>
      <c r="E365" s="8" t="s">
        <v>65</v>
      </c>
      <c r="F365" s="9" t="s">
        <v>242</v>
      </c>
      <c r="G365" s="9">
        <v>1</v>
      </c>
      <c r="H365" s="6" t="s">
        <v>1700</v>
      </c>
      <c r="I365" s="9" t="s">
        <v>258</v>
      </c>
      <c r="J365" s="9" t="s">
        <v>145</v>
      </c>
    </row>
    <row r="366" spans="1:10">
      <c r="A366" s="5" t="s">
        <v>853</v>
      </c>
      <c r="B366" s="6" t="s">
        <v>1699</v>
      </c>
      <c r="C366" s="7">
        <v>46153</v>
      </c>
      <c r="D366" s="9" t="s">
        <v>270</v>
      </c>
      <c r="E366" s="8" t="s">
        <v>271</v>
      </c>
      <c r="F366" s="9" t="s">
        <v>242</v>
      </c>
      <c r="G366" s="9">
        <v>3</v>
      </c>
      <c r="H366" s="6" t="s">
        <v>1700</v>
      </c>
      <c r="I366" s="9" t="s">
        <v>258</v>
      </c>
      <c r="J366" s="9" t="s">
        <v>145</v>
      </c>
    </row>
    <row r="367" spans="1:10">
      <c r="A367" s="5" t="s">
        <v>856</v>
      </c>
      <c r="B367" s="6" t="s">
        <v>1701</v>
      </c>
      <c r="C367" s="7">
        <v>46154</v>
      </c>
      <c r="D367" s="9" t="s">
        <v>711</v>
      </c>
      <c r="E367" s="8" t="s">
        <v>111</v>
      </c>
      <c r="F367" s="9" t="s">
        <v>242</v>
      </c>
      <c r="G367" s="9">
        <v>1</v>
      </c>
      <c r="H367" s="6" t="s">
        <v>1702</v>
      </c>
      <c r="I367" s="9" t="s">
        <v>258</v>
      </c>
      <c r="J367" s="9" t="s">
        <v>145</v>
      </c>
    </row>
    <row r="368" spans="1:10">
      <c r="A368" s="5" t="s">
        <v>857</v>
      </c>
      <c r="B368" s="6" t="s">
        <v>1701</v>
      </c>
      <c r="C368" s="7">
        <v>46154</v>
      </c>
      <c r="D368" s="9" t="s">
        <v>714</v>
      </c>
      <c r="E368" s="4" t="s">
        <v>715</v>
      </c>
      <c r="F368" s="9" t="s">
        <v>242</v>
      </c>
      <c r="G368" s="9">
        <v>1</v>
      </c>
      <c r="H368" s="6" t="s">
        <v>1702</v>
      </c>
      <c r="I368" s="9" t="s">
        <v>258</v>
      </c>
      <c r="J368" s="9" t="s">
        <v>145</v>
      </c>
    </row>
    <row r="369" spans="1:10">
      <c r="A369" s="5" t="s">
        <v>858</v>
      </c>
      <c r="B369" s="6" t="s">
        <v>1703</v>
      </c>
      <c r="C369" s="7">
        <v>46155</v>
      </c>
      <c r="D369" s="9" t="s">
        <v>696</v>
      </c>
      <c r="E369" s="8" t="s">
        <v>86</v>
      </c>
      <c r="F369" s="9" t="s">
        <v>242</v>
      </c>
      <c r="G369" s="9">
        <v>25</v>
      </c>
      <c r="H369" s="6" t="s">
        <v>1704</v>
      </c>
      <c r="I369" s="9" t="s">
        <v>363</v>
      </c>
      <c r="J369" s="9" t="s">
        <v>145</v>
      </c>
    </row>
    <row r="370" spans="1:10">
      <c r="A370" s="5" t="s">
        <v>860</v>
      </c>
      <c r="B370" s="6" t="s">
        <v>1703</v>
      </c>
      <c r="C370" s="7">
        <v>46155</v>
      </c>
      <c r="D370" s="9" t="s">
        <v>500</v>
      </c>
      <c r="E370" s="8" t="s">
        <v>54</v>
      </c>
      <c r="F370" s="9" t="s">
        <v>242</v>
      </c>
      <c r="G370" s="9">
        <v>1</v>
      </c>
      <c r="H370" s="6" t="s">
        <v>1704</v>
      </c>
      <c r="I370" s="9" t="s">
        <v>363</v>
      </c>
      <c r="J370" s="9" t="s">
        <v>145</v>
      </c>
    </row>
    <row r="371" spans="1:10">
      <c r="A371" s="5" t="s">
        <v>862</v>
      </c>
      <c r="B371" s="6" t="s">
        <v>1703</v>
      </c>
      <c r="C371" s="7">
        <v>46155</v>
      </c>
      <c r="D371" s="9" t="s">
        <v>261</v>
      </c>
      <c r="E371" s="8" t="s">
        <v>63</v>
      </c>
      <c r="F371" s="9" t="s">
        <v>242</v>
      </c>
      <c r="G371" s="9">
        <v>2</v>
      </c>
      <c r="H371" s="6" t="s">
        <v>1704</v>
      </c>
      <c r="I371" s="9" t="s">
        <v>363</v>
      </c>
      <c r="J371" s="9" t="s">
        <v>145</v>
      </c>
    </row>
    <row r="372" spans="1:10">
      <c r="A372" s="5" t="s">
        <v>863</v>
      </c>
      <c r="B372" s="6" t="s">
        <v>1703</v>
      </c>
      <c r="C372" s="7">
        <v>46155</v>
      </c>
      <c r="D372" s="9" t="s">
        <v>270</v>
      </c>
      <c r="E372" s="8" t="s">
        <v>68</v>
      </c>
      <c r="F372" s="9" t="s">
        <v>242</v>
      </c>
      <c r="G372" s="9">
        <v>2</v>
      </c>
      <c r="H372" s="6" t="s">
        <v>1704</v>
      </c>
      <c r="I372" s="9" t="s">
        <v>363</v>
      </c>
      <c r="J372" s="9" t="s">
        <v>145</v>
      </c>
    </row>
    <row r="373" spans="1:10">
      <c r="A373" s="5" t="s">
        <v>864</v>
      </c>
      <c r="B373" s="6" t="s">
        <v>1703</v>
      </c>
      <c r="C373" s="7">
        <v>46155</v>
      </c>
      <c r="D373" s="9" t="s">
        <v>261</v>
      </c>
      <c r="E373" s="8" t="s">
        <v>62</v>
      </c>
      <c r="F373" s="9" t="s">
        <v>242</v>
      </c>
      <c r="G373" s="9">
        <v>6</v>
      </c>
      <c r="H373" s="6" t="s">
        <v>1704</v>
      </c>
      <c r="I373" s="9" t="s">
        <v>363</v>
      </c>
      <c r="J373" s="9" t="s">
        <v>145</v>
      </c>
    </row>
    <row r="374" spans="1:10">
      <c r="A374" s="5" t="s">
        <v>867</v>
      </c>
      <c r="B374" s="6" t="s">
        <v>1705</v>
      </c>
      <c r="C374" s="7">
        <v>46155</v>
      </c>
      <c r="D374" s="9" t="s">
        <v>500</v>
      </c>
      <c r="E374" s="8" t="s">
        <v>54</v>
      </c>
      <c r="F374" s="9" t="s">
        <v>242</v>
      </c>
      <c r="G374" s="9">
        <v>1</v>
      </c>
      <c r="H374" s="6" t="s">
        <v>1706</v>
      </c>
      <c r="I374" s="9" t="s">
        <v>337</v>
      </c>
      <c r="J374" s="9" t="s">
        <v>145</v>
      </c>
    </row>
    <row r="375" spans="1:10">
      <c r="A375" s="5" t="s">
        <v>868</v>
      </c>
      <c r="B375" s="6" t="s">
        <v>1705</v>
      </c>
      <c r="C375" s="7">
        <v>46155</v>
      </c>
      <c r="D375" s="9" t="s">
        <v>261</v>
      </c>
      <c r="E375" s="8" t="s">
        <v>62</v>
      </c>
      <c r="F375" s="9" t="s">
        <v>242</v>
      </c>
      <c r="G375" s="9">
        <v>6</v>
      </c>
      <c r="H375" s="6" t="s">
        <v>1706</v>
      </c>
      <c r="I375" s="9" t="s">
        <v>337</v>
      </c>
      <c r="J375" s="9" t="s">
        <v>145</v>
      </c>
    </row>
    <row r="376" spans="1:10">
      <c r="A376" s="5" t="s">
        <v>869</v>
      </c>
      <c r="B376" s="6" t="s">
        <v>1707</v>
      </c>
      <c r="C376" s="7">
        <v>46155</v>
      </c>
      <c r="D376" s="9" t="s">
        <v>261</v>
      </c>
      <c r="E376" s="4" t="s">
        <v>62</v>
      </c>
      <c r="F376" s="9" t="s">
        <v>242</v>
      </c>
      <c r="G376" s="9">
        <v>4</v>
      </c>
      <c r="H376" s="6" t="s">
        <v>722</v>
      </c>
      <c r="I376" s="9" t="s">
        <v>628</v>
      </c>
      <c r="J376" s="9" t="s">
        <v>145</v>
      </c>
    </row>
    <row r="377" spans="1:10">
      <c r="A377" s="5" t="s">
        <v>872</v>
      </c>
      <c r="B377" s="6" t="s">
        <v>1708</v>
      </c>
      <c r="C377" s="7">
        <v>46155</v>
      </c>
      <c r="D377" s="9" t="s">
        <v>696</v>
      </c>
      <c r="E377" s="8" t="s">
        <v>86</v>
      </c>
      <c r="F377" s="9" t="s">
        <v>242</v>
      </c>
      <c r="G377" s="9">
        <v>138</v>
      </c>
      <c r="H377" s="6" t="s">
        <v>1709</v>
      </c>
      <c r="I377" s="9" t="s">
        <v>1280</v>
      </c>
      <c r="J377" s="9" t="s">
        <v>145</v>
      </c>
    </row>
    <row r="378" spans="1:10">
      <c r="A378" s="5" t="s">
        <v>874</v>
      </c>
      <c r="B378" s="6" t="s">
        <v>1708</v>
      </c>
      <c r="C378" s="7">
        <v>46155</v>
      </c>
      <c r="D378" s="9" t="s">
        <v>261</v>
      </c>
      <c r="E378" s="8" t="s">
        <v>62</v>
      </c>
      <c r="F378" s="9" t="s">
        <v>242</v>
      </c>
      <c r="G378" s="9">
        <v>4</v>
      </c>
      <c r="H378" s="6" t="s">
        <v>1709</v>
      </c>
      <c r="I378" s="9" t="s">
        <v>1280</v>
      </c>
      <c r="J378" s="9" t="s">
        <v>145</v>
      </c>
    </row>
    <row r="379" spans="1:10">
      <c r="A379" s="5" t="s">
        <v>877</v>
      </c>
      <c r="B379" s="6" t="s">
        <v>1710</v>
      </c>
      <c r="C379" s="7">
        <v>46155</v>
      </c>
      <c r="D379" s="9" t="s">
        <v>500</v>
      </c>
      <c r="E379" s="8" t="s">
        <v>46</v>
      </c>
      <c r="F379" s="9" t="s">
        <v>242</v>
      </c>
      <c r="G379" s="9">
        <v>1</v>
      </c>
      <c r="H379" s="6" t="s">
        <v>1711</v>
      </c>
      <c r="I379" s="9" t="s">
        <v>258</v>
      </c>
      <c r="J379" s="9" t="s">
        <v>145</v>
      </c>
    </row>
    <row r="380" spans="1:10">
      <c r="A380" s="5" t="s">
        <v>878</v>
      </c>
      <c r="B380" s="6" t="s">
        <v>1710</v>
      </c>
      <c r="C380" s="7">
        <v>46155</v>
      </c>
      <c r="D380" s="9" t="s">
        <v>261</v>
      </c>
      <c r="E380" s="8" t="s">
        <v>64</v>
      </c>
      <c r="F380" s="9" t="s">
        <v>242</v>
      </c>
      <c r="G380" s="9">
        <v>4</v>
      </c>
      <c r="H380" s="6" t="s">
        <v>1711</v>
      </c>
      <c r="I380" s="9" t="s">
        <v>258</v>
      </c>
      <c r="J380" s="9" t="s">
        <v>145</v>
      </c>
    </row>
    <row r="381" spans="1:10">
      <c r="A381" s="5" t="s">
        <v>880</v>
      </c>
      <c r="B381" s="6" t="s">
        <v>1710</v>
      </c>
      <c r="C381" s="7">
        <v>46155</v>
      </c>
      <c r="D381" s="9" t="s">
        <v>270</v>
      </c>
      <c r="E381" s="8" t="s">
        <v>271</v>
      </c>
      <c r="F381" s="9" t="s">
        <v>242</v>
      </c>
      <c r="G381" s="9">
        <v>4</v>
      </c>
      <c r="H381" s="6" t="s">
        <v>1711</v>
      </c>
      <c r="I381" s="9" t="s">
        <v>258</v>
      </c>
      <c r="J381" s="9" t="s">
        <v>145</v>
      </c>
    </row>
    <row r="382" spans="1:10">
      <c r="A382" s="5" t="s">
        <v>882</v>
      </c>
      <c r="B382" s="6" t="s">
        <v>1712</v>
      </c>
      <c r="C382" s="7">
        <v>46156</v>
      </c>
      <c r="D382" s="9" t="s">
        <v>500</v>
      </c>
      <c r="E382" s="8" t="s">
        <v>51</v>
      </c>
      <c r="F382" s="9" t="s">
        <v>242</v>
      </c>
      <c r="G382" s="9">
        <v>1</v>
      </c>
      <c r="H382" s="6" t="s">
        <v>1713</v>
      </c>
      <c r="I382" s="9" t="s">
        <v>415</v>
      </c>
      <c r="J382" s="9" t="s">
        <v>145</v>
      </c>
    </row>
    <row r="383" spans="1:10">
      <c r="A383" s="5" t="s">
        <v>884</v>
      </c>
      <c r="B383" s="6" t="s">
        <v>1712</v>
      </c>
      <c r="C383" s="7">
        <v>46156</v>
      </c>
      <c r="D383" s="9" t="s">
        <v>261</v>
      </c>
      <c r="E383" s="8" t="s">
        <v>64</v>
      </c>
      <c r="F383" s="9" t="s">
        <v>242</v>
      </c>
      <c r="G383" s="9">
        <v>2</v>
      </c>
      <c r="H383" s="6" t="s">
        <v>1713</v>
      </c>
      <c r="I383" s="9" t="s">
        <v>415</v>
      </c>
      <c r="J383" s="9" t="s">
        <v>145</v>
      </c>
    </row>
    <row r="384" spans="1:10">
      <c r="A384" s="5" t="s">
        <v>886</v>
      </c>
      <c r="B384" s="6" t="s">
        <v>1712</v>
      </c>
      <c r="C384" s="7">
        <v>46156</v>
      </c>
      <c r="D384" s="9" t="s">
        <v>270</v>
      </c>
      <c r="E384" s="8" t="s">
        <v>271</v>
      </c>
      <c r="F384" s="9" t="s">
        <v>242</v>
      </c>
      <c r="G384" s="9">
        <v>2</v>
      </c>
      <c r="H384" s="6" t="s">
        <v>1713</v>
      </c>
      <c r="I384" s="9" t="s">
        <v>415</v>
      </c>
      <c r="J384" s="9" t="s">
        <v>145</v>
      </c>
    </row>
    <row r="385" spans="1:10">
      <c r="A385" s="5" t="s">
        <v>887</v>
      </c>
      <c r="B385" s="6" t="s">
        <v>1712</v>
      </c>
      <c r="C385" s="7">
        <v>46156</v>
      </c>
      <c r="D385" s="9" t="s">
        <v>261</v>
      </c>
      <c r="E385" s="8" t="s">
        <v>62</v>
      </c>
      <c r="F385" s="9" t="s">
        <v>242</v>
      </c>
      <c r="G385" s="9">
        <v>6</v>
      </c>
      <c r="H385" s="6" t="s">
        <v>1713</v>
      </c>
      <c r="I385" s="9" t="s">
        <v>415</v>
      </c>
      <c r="J385" s="9" t="s">
        <v>145</v>
      </c>
    </row>
    <row r="386" spans="1:10">
      <c r="A386" s="5" t="s">
        <v>889</v>
      </c>
      <c r="B386" s="6" t="s">
        <v>1714</v>
      </c>
      <c r="C386" s="7">
        <v>46156</v>
      </c>
      <c r="D386" s="9" t="s">
        <v>500</v>
      </c>
      <c r="E386" s="8" t="s">
        <v>3</v>
      </c>
      <c r="F386" s="9" t="s">
        <v>242</v>
      </c>
      <c r="G386" s="9">
        <v>1</v>
      </c>
      <c r="H386" s="6" t="s">
        <v>1306</v>
      </c>
      <c r="I386" s="9" t="s">
        <v>415</v>
      </c>
      <c r="J386" s="9" t="s">
        <v>145</v>
      </c>
    </row>
    <row r="387" spans="1:10">
      <c r="A387" s="5" t="s">
        <v>891</v>
      </c>
      <c r="B387" s="6" t="s">
        <v>1714</v>
      </c>
      <c r="C387" s="7">
        <v>46156</v>
      </c>
      <c r="D387" s="9" t="s">
        <v>261</v>
      </c>
      <c r="E387" s="8" t="s">
        <v>64</v>
      </c>
      <c r="F387" s="9" t="s">
        <v>242</v>
      </c>
      <c r="G387" s="9">
        <v>3</v>
      </c>
      <c r="H387" s="6" t="s">
        <v>1306</v>
      </c>
      <c r="I387" s="9" t="s">
        <v>415</v>
      </c>
      <c r="J387" s="9" t="s">
        <v>145</v>
      </c>
    </row>
    <row r="388" spans="1:10">
      <c r="A388" s="5" t="s">
        <v>893</v>
      </c>
      <c r="B388" s="6" t="s">
        <v>1714</v>
      </c>
      <c r="C388" s="7">
        <v>46156</v>
      </c>
      <c r="D388" s="9" t="s">
        <v>270</v>
      </c>
      <c r="E388" s="8" t="s">
        <v>271</v>
      </c>
      <c r="F388" s="9" t="s">
        <v>242</v>
      </c>
      <c r="G388" s="9">
        <v>3</v>
      </c>
      <c r="H388" s="6" t="s">
        <v>1306</v>
      </c>
      <c r="I388" s="9" t="s">
        <v>415</v>
      </c>
      <c r="J388" s="9" t="s">
        <v>145</v>
      </c>
    </row>
    <row r="389" spans="1:10">
      <c r="A389" s="5" t="s">
        <v>895</v>
      </c>
      <c r="B389" s="6" t="s">
        <v>1715</v>
      </c>
      <c r="C389" s="7">
        <v>46156</v>
      </c>
      <c r="D389" s="9" t="s">
        <v>261</v>
      </c>
      <c r="E389" s="4" t="s">
        <v>62</v>
      </c>
      <c r="F389" s="9" t="s">
        <v>242</v>
      </c>
      <c r="G389" s="9">
        <v>6</v>
      </c>
      <c r="H389" s="6" t="s">
        <v>722</v>
      </c>
      <c r="I389" s="9" t="s">
        <v>253</v>
      </c>
      <c r="J389" s="9" t="s">
        <v>145</v>
      </c>
    </row>
    <row r="390" spans="1:10">
      <c r="A390" s="5" t="s">
        <v>897</v>
      </c>
      <c r="B390" s="6" t="s">
        <v>1715</v>
      </c>
      <c r="C390" s="7">
        <v>46156</v>
      </c>
      <c r="D390" s="9" t="s">
        <v>503</v>
      </c>
      <c r="E390" s="8" t="s">
        <v>162</v>
      </c>
      <c r="F390" s="9" t="s">
        <v>242</v>
      </c>
      <c r="G390" s="9">
        <v>1</v>
      </c>
      <c r="H390" s="6" t="s">
        <v>1494</v>
      </c>
      <c r="I390" s="9" t="s">
        <v>253</v>
      </c>
      <c r="J390" s="9" t="s">
        <v>145</v>
      </c>
    </row>
    <row r="391" spans="1:10">
      <c r="A391" s="5" t="s">
        <v>899</v>
      </c>
      <c r="B391" s="6" t="s">
        <v>1716</v>
      </c>
      <c r="C391" s="7">
        <v>46156</v>
      </c>
      <c r="D391" s="9" t="s">
        <v>261</v>
      </c>
      <c r="E391" s="8" t="s">
        <v>62</v>
      </c>
      <c r="F391" s="9" t="s">
        <v>242</v>
      </c>
      <c r="G391" s="9">
        <v>4</v>
      </c>
      <c r="H391" s="6" t="s">
        <v>722</v>
      </c>
      <c r="I391" s="9" t="s">
        <v>253</v>
      </c>
      <c r="J391" s="9" t="s">
        <v>145</v>
      </c>
    </row>
    <row r="392" spans="1:10">
      <c r="A392" s="5" t="s">
        <v>900</v>
      </c>
      <c r="B392" s="6" t="s">
        <v>1716</v>
      </c>
      <c r="C392" s="7">
        <v>46156</v>
      </c>
      <c r="D392" s="9" t="s">
        <v>503</v>
      </c>
      <c r="E392" s="8" t="s">
        <v>162</v>
      </c>
      <c r="F392" s="9" t="s">
        <v>242</v>
      </c>
      <c r="G392" s="9">
        <v>1</v>
      </c>
      <c r="H392" s="6" t="s">
        <v>1494</v>
      </c>
      <c r="I392" s="9" t="s">
        <v>253</v>
      </c>
      <c r="J392" s="9" t="s">
        <v>145</v>
      </c>
    </row>
    <row r="393" spans="1:10">
      <c r="A393" s="5" t="s">
        <v>901</v>
      </c>
      <c r="B393" s="6" t="s">
        <v>1717</v>
      </c>
      <c r="C393" s="7">
        <v>46157</v>
      </c>
      <c r="D393" s="9" t="s">
        <v>500</v>
      </c>
      <c r="E393" s="8" t="s">
        <v>53</v>
      </c>
      <c r="F393" s="9" t="s">
        <v>242</v>
      </c>
      <c r="G393" s="9">
        <v>1</v>
      </c>
      <c r="H393" s="6" t="s">
        <v>693</v>
      </c>
      <c r="I393" s="9" t="s">
        <v>616</v>
      </c>
      <c r="J393" s="9" t="s">
        <v>145</v>
      </c>
    </row>
    <row r="394" spans="1:10">
      <c r="A394" s="5" t="s">
        <v>903</v>
      </c>
      <c r="B394" s="6" t="s">
        <v>1717</v>
      </c>
      <c r="C394" s="7">
        <v>46157</v>
      </c>
      <c r="D394" s="9" t="s">
        <v>261</v>
      </c>
      <c r="E394" s="8" t="s">
        <v>64</v>
      </c>
      <c r="F394" s="9" t="s">
        <v>242</v>
      </c>
      <c r="G394" s="9">
        <v>1</v>
      </c>
      <c r="H394" s="6" t="s">
        <v>693</v>
      </c>
      <c r="I394" s="9" t="s">
        <v>616</v>
      </c>
      <c r="J394" s="9" t="s">
        <v>145</v>
      </c>
    </row>
    <row r="395" spans="1:10">
      <c r="A395" s="5" t="s">
        <v>907</v>
      </c>
      <c r="B395" s="6" t="s">
        <v>1717</v>
      </c>
      <c r="C395" s="7">
        <v>46157</v>
      </c>
      <c r="D395" s="9" t="s">
        <v>270</v>
      </c>
      <c r="E395" s="8" t="s">
        <v>271</v>
      </c>
      <c r="F395" s="9" t="s">
        <v>242</v>
      </c>
      <c r="G395" s="9">
        <v>1</v>
      </c>
      <c r="H395" s="6" t="s">
        <v>693</v>
      </c>
      <c r="I395" s="9" t="s">
        <v>616</v>
      </c>
      <c r="J395" s="9" t="s">
        <v>145</v>
      </c>
    </row>
    <row r="396" spans="1:10">
      <c r="A396" s="5" t="s">
        <v>1530</v>
      </c>
      <c r="B396" s="6" t="s">
        <v>1276</v>
      </c>
      <c r="C396" s="7">
        <v>46157</v>
      </c>
      <c r="D396" s="9" t="s">
        <v>261</v>
      </c>
      <c r="E396" s="8" t="s">
        <v>62</v>
      </c>
      <c r="F396" s="9" t="s">
        <v>242</v>
      </c>
      <c r="G396" s="9">
        <v>3</v>
      </c>
      <c r="H396" s="6" t="s">
        <v>722</v>
      </c>
      <c r="I396" s="9" t="s">
        <v>514</v>
      </c>
      <c r="J396" s="9" t="s">
        <v>145</v>
      </c>
    </row>
    <row r="397" spans="1:10">
      <c r="A397" s="5" t="s">
        <v>1532</v>
      </c>
      <c r="B397" s="6" t="s">
        <v>1718</v>
      </c>
      <c r="C397" s="7">
        <v>46158</v>
      </c>
      <c r="D397" s="9" t="s">
        <v>500</v>
      </c>
      <c r="E397" s="8" t="s">
        <v>52</v>
      </c>
      <c r="F397" s="9" t="s">
        <v>242</v>
      </c>
      <c r="G397" s="9">
        <v>1</v>
      </c>
      <c r="H397" s="6" t="s">
        <v>1666</v>
      </c>
      <c r="I397" s="9" t="s">
        <v>311</v>
      </c>
      <c r="J397" s="9" t="s">
        <v>145</v>
      </c>
    </row>
    <row r="398" spans="1:10">
      <c r="A398" s="5" t="s">
        <v>1533</v>
      </c>
      <c r="B398" s="6" t="s">
        <v>1718</v>
      </c>
      <c r="C398" s="7">
        <v>46158</v>
      </c>
      <c r="D398" s="9" t="s">
        <v>261</v>
      </c>
      <c r="E398" s="8" t="s">
        <v>64</v>
      </c>
      <c r="F398" s="9" t="s">
        <v>242</v>
      </c>
      <c r="G398" s="9">
        <v>2</v>
      </c>
      <c r="H398" s="6" t="s">
        <v>1666</v>
      </c>
      <c r="I398" s="9" t="s">
        <v>311</v>
      </c>
      <c r="J398" s="9" t="s">
        <v>145</v>
      </c>
    </row>
    <row r="399" spans="1:10">
      <c r="A399" s="5" t="s">
        <v>1534</v>
      </c>
      <c r="B399" s="6" t="s">
        <v>1718</v>
      </c>
      <c r="C399" s="7">
        <v>46158</v>
      </c>
      <c r="D399" s="9" t="s">
        <v>270</v>
      </c>
      <c r="E399" s="8" t="s">
        <v>271</v>
      </c>
      <c r="F399" s="9" t="s">
        <v>242</v>
      </c>
      <c r="G399" s="9">
        <v>2</v>
      </c>
      <c r="H399" s="6" t="s">
        <v>1666</v>
      </c>
      <c r="I399" s="9" t="s">
        <v>311</v>
      </c>
      <c r="J399" s="9" t="s">
        <v>145</v>
      </c>
    </row>
    <row r="400" spans="1:10">
      <c r="A400" s="5" t="s">
        <v>1537</v>
      </c>
      <c r="B400" s="6" t="s">
        <v>1719</v>
      </c>
      <c r="C400" s="7">
        <v>46160</v>
      </c>
      <c r="D400" s="9" t="s">
        <v>500</v>
      </c>
      <c r="E400" s="8" t="s">
        <v>51</v>
      </c>
      <c r="F400" s="9" t="s">
        <v>242</v>
      </c>
      <c r="G400" s="9">
        <v>1</v>
      </c>
      <c r="H400" s="6" t="s">
        <v>693</v>
      </c>
      <c r="I400" s="9" t="s">
        <v>258</v>
      </c>
      <c r="J400" s="9" t="s">
        <v>145</v>
      </c>
    </row>
    <row r="401" spans="1:10">
      <c r="A401" s="5" t="s">
        <v>1720</v>
      </c>
      <c r="B401" s="6" t="s">
        <v>1719</v>
      </c>
      <c r="C401" s="7">
        <v>46160</v>
      </c>
      <c r="D401" s="9" t="s">
        <v>261</v>
      </c>
      <c r="E401" s="8" t="s">
        <v>64</v>
      </c>
      <c r="F401" s="9" t="s">
        <v>242</v>
      </c>
      <c r="G401" s="9">
        <v>2</v>
      </c>
      <c r="H401" s="6" t="s">
        <v>693</v>
      </c>
      <c r="I401" s="9" t="s">
        <v>258</v>
      </c>
      <c r="J401" s="9" t="s">
        <v>145</v>
      </c>
    </row>
    <row r="402" spans="1:10">
      <c r="A402" s="5" t="s">
        <v>1721</v>
      </c>
      <c r="B402" s="6" t="s">
        <v>1719</v>
      </c>
      <c r="C402" s="7">
        <v>46160</v>
      </c>
      <c r="D402" s="9" t="s">
        <v>270</v>
      </c>
      <c r="E402" s="8" t="s">
        <v>271</v>
      </c>
      <c r="F402" s="9" t="s">
        <v>242</v>
      </c>
      <c r="G402" s="9">
        <v>2</v>
      </c>
      <c r="H402" s="6" t="s">
        <v>693</v>
      </c>
      <c r="I402" s="9" t="s">
        <v>258</v>
      </c>
      <c r="J402" s="9" t="s">
        <v>145</v>
      </c>
    </row>
    <row r="403" spans="1:10">
      <c r="A403" s="5" t="s">
        <v>1722</v>
      </c>
      <c r="B403" s="6" t="s">
        <v>1723</v>
      </c>
      <c r="C403" s="7">
        <v>46160</v>
      </c>
      <c r="D403" s="9" t="s">
        <v>261</v>
      </c>
      <c r="E403" s="8" t="s">
        <v>62</v>
      </c>
      <c r="F403" s="9" t="s">
        <v>242</v>
      </c>
      <c r="G403" s="9">
        <v>5</v>
      </c>
      <c r="H403" s="6" t="s">
        <v>722</v>
      </c>
      <c r="I403" s="9" t="s">
        <v>258</v>
      </c>
      <c r="J403" s="9" t="s">
        <v>145</v>
      </c>
    </row>
    <row r="404" spans="1:10">
      <c r="A404" s="5" t="s">
        <v>1724</v>
      </c>
      <c r="B404" s="6" t="s">
        <v>1725</v>
      </c>
      <c r="C404" s="7">
        <v>46161</v>
      </c>
      <c r="D404" s="9" t="s">
        <v>500</v>
      </c>
      <c r="E404" s="8" t="s">
        <v>4</v>
      </c>
      <c r="F404" s="9" t="s">
        <v>242</v>
      </c>
      <c r="G404" s="9">
        <v>1</v>
      </c>
      <c r="H404" s="6" t="s">
        <v>866</v>
      </c>
      <c r="I404" s="9" t="s">
        <v>258</v>
      </c>
      <c r="J404" s="9" t="s">
        <v>145</v>
      </c>
    </row>
    <row r="405" spans="1:10">
      <c r="A405" s="5" t="s">
        <v>1726</v>
      </c>
      <c r="B405" s="6" t="s">
        <v>1725</v>
      </c>
      <c r="C405" s="7">
        <v>46161</v>
      </c>
      <c r="D405" s="9" t="s">
        <v>261</v>
      </c>
      <c r="E405" s="4" t="s">
        <v>64</v>
      </c>
      <c r="F405" s="9" t="s">
        <v>242</v>
      </c>
      <c r="G405" s="9">
        <v>3</v>
      </c>
      <c r="H405" s="6" t="s">
        <v>866</v>
      </c>
      <c r="I405" s="9" t="s">
        <v>258</v>
      </c>
      <c r="J405" s="9" t="s">
        <v>145</v>
      </c>
    </row>
    <row r="406" spans="1:10">
      <c r="A406" s="5" t="s">
        <v>1727</v>
      </c>
      <c r="B406" s="6" t="s">
        <v>1725</v>
      </c>
      <c r="C406" s="7">
        <v>46161</v>
      </c>
      <c r="D406" s="9" t="s">
        <v>270</v>
      </c>
      <c r="E406" s="8" t="s">
        <v>271</v>
      </c>
      <c r="F406" s="9" t="s">
        <v>242</v>
      </c>
      <c r="G406" s="9">
        <v>5</v>
      </c>
      <c r="H406" s="6" t="s">
        <v>866</v>
      </c>
      <c r="I406" s="9" t="s">
        <v>258</v>
      </c>
      <c r="J406" s="9" t="s">
        <v>145</v>
      </c>
    </row>
    <row r="407" spans="1:10">
      <c r="A407" s="5" t="s">
        <v>1728</v>
      </c>
      <c r="B407" s="6" t="s">
        <v>1729</v>
      </c>
      <c r="C407" s="7">
        <v>46161</v>
      </c>
      <c r="D407" s="9" t="s">
        <v>500</v>
      </c>
      <c r="E407" s="8" t="s">
        <v>54</v>
      </c>
      <c r="F407" s="9" t="s">
        <v>242</v>
      </c>
      <c r="G407" s="9">
        <v>1</v>
      </c>
      <c r="H407" s="6" t="s">
        <v>876</v>
      </c>
      <c r="I407" s="9" t="s">
        <v>628</v>
      </c>
      <c r="J407" s="9" t="s">
        <v>145</v>
      </c>
    </row>
    <row r="408" spans="1:10">
      <c r="A408" s="5" t="s">
        <v>1730</v>
      </c>
      <c r="B408" s="6" t="s">
        <v>1729</v>
      </c>
      <c r="C408" s="7">
        <v>46161</v>
      </c>
      <c r="D408" s="9" t="s">
        <v>261</v>
      </c>
      <c r="E408" s="4" t="s">
        <v>62</v>
      </c>
      <c r="F408" s="9" t="s">
        <v>242</v>
      </c>
      <c r="G408" s="9">
        <v>1</v>
      </c>
      <c r="H408" s="6" t="s">
        <v>876</v>
      </c>
      <c r="I408" s="9" t="s">
        <v>628</v>
      </c>
      <c r="J408" s="9" t="s">
        <v>145</v>
      </c>
    </row>
    <row r="409" spans="1:10">
      <c r="A409" s="5" t="s">
        <v>1731</v>
      </c>
      <c r="B409" s="6" t="s">
        <v>1732</v>
      </c>
      <c r="C409" s="7">
        <v>46161</v>
      </c>
      <c r="D409" s="9" t="s">
        <v>261</v>
      </c>
      <c r="E409" s="8" t="s">
        <v>62</v>
      </c>
      <c r="F409" s="9" t="s">
        <v>242</v>
      </c>
      <c r="G409" s="9">
        <v>2</v>
      </c>
      <c r="H409" s="6" t="s">
        <v>1072</v>
      </c>
      <c r="I409" s="9" t="s">
        <v>514</v>
      </c>
      <c r="J409" s="9" t="s">
        <v>145</v>
      </c>
    </row>
    <row r="410" spans="1:10">
      <c r="A410" s="5" t="s">
        <v>1733</v>
      </c>
      <c r="B410" s="6" t="s">
        <v>1734</v>
      </c>
      <c r="C410" s="7">
        <v>46161</v>
      </c>
      <c r="D410" s="9" t="s">
        <v>696</v>
      </c>
      <c r="E410" s="8" t="s">
        <v>86</v>
      </c>
      <c r="F410" s="9" t="s">
        <v>242</v>
      </c>
      <c r="G410" s="9">
        <v>55</v>
      </c>
      <c r="H410" s="6" t="s">
        <v>1020</v>
      </c>
      <c r="I410" s="9" t="s">
        <v>514</v>
      </c>
      <c r="J410" s="9" t="s">
        <v>145</v>
      </c>
    </row>
    <row r="411" spans="1:10">
      <c r="A411" s="5" t="s">
        <v>1735</v>
      </c>
      <c r="B411" s="6" t="s">
        <v>1734</v>
      </c>
      <c r="C411" s="7">
        <v>46161</v>
      </c>
      <c r="D411" s="9" t="s">
        <v>261</v>
      </c>
      <c r="E411" s="4" t="s">
        <v>62</v>
      </c>
      <c r="F411" s="9" t="s">
        <v>242</v>
      </c>
      <c r="G411" s="9">
        <v>2</v>
      </c>
      <c r="H411" s="6" t="s">
        <v>1020</v>
      </c>
      <c r="I411" s="9" t="s">
        <v>514</v>
      </c>
      <c r="J411" s="9" t="s">
        <v>145</v>
      </c>
    </row>
    <row r="412" spans="1:10">
      <c r="A412" s="5" t="s">
        <v>1736</v>
      </c>
      <c r="B412" s="6" t="s">
        <v>1737</v>
      </c>
      <c r="C412" s="7">
        <v>46161</v>
      </c>
      <c r="D412" s="9" t="s">
        <v>261</v>
      </c>
      <c r="E412" s="8" t="s">
        <v>62</v>
      </c>
      <c r="F412" s="9" t="s">
        <v>242</v>
      </c>
      <c r="G412" s="9">
        <v>4</v>
      </c>
      <c r="H412" s="6" t="s">
        <v>722</v>
      </c>
      <c r="I412" s="9" t="s">
        <v>484</v>
      </c>
      <c r="J412" s="9" t="s">
        <v>145</v>
      </c>
    </row>
    <row r="413" spans="1:10">
      <c r="A413" s="5" t="s">
        <v>1738</v>
      </c>
      <c r="B413" s="6" t="s">
        <v>1739</v>
      </c>
      <c r="C413" s="7">
        <v>46162</v>
      </c>
      <c r="D413" s="9" t="s">
        <v>261</v>
      </c>
      <c r="E413" s="8" t="s">
        <v>62</v>
      </c>
      <c r="F413" s="9" t="s">
        <v>242</v>
      </c>
      <c r="G413" s="9">
        <v>7</v>
      </c>
      <c r="H413" s="6" t="s">
        <v>722</v>
      </c>
      <c r="I413" s="9" t="s">
        <v>289</v>
      </c>
      <c r="J413" s="9" t="s">
        <v>145</v>
      </c>
    </row>
    <row r="414" spans="1:10">
      <c r="A414" s="5" t="s">
        <v>1740</v>
      </c>
      <c r="B414" s="6" t="s">
        <v>1741</v>
      </c>
      <c r="C414" s="7">
        <v>46162</v>
      </c>
      <c r="D414" s="9" t="s">
        <v>261</v>
      </c>
      <c r="E414" s="8" t="s">
        <v>62</v>
      </c>
      <c r="F414" s="9" t="s">
        <v>242</v>
      </c>
      <c r="G414" s="9">
        <v>5</v>
      </c>
      <c r="H414" s="6" t="s">
        <v>722</v>
      </c>
      <c r="I414" s="9" t="s">
        <v>289</v>
      </c>
      <c r="J414" s="9" t="s">
        <v>145</v>
      </c>
    </row>
    <row r="415" spans="1:10">
      <c r="A415" s="5" t="s">
        <v>1742</v>
      </c>
      <c r="B415" s="6" t="s">
        <v>1743</v>
      </c>
      <c r="C415" s="7">
        <v>46163</v>
      </c>
      <c r="D415" s="9" t="s">
        <v>500</v>
      </c>
      <c r="E415" s="8" t="s">
        <v>51</v>
      </c>
      <c r="F415" s="9" t="s">
        <v>242</v>
      </c>
      <c r="G415" s="9">
        <v>1</v>
      </c>
      <c r="H415" s="6" t="s">
        <v>693</v>
      </c>
      <c r="I415" s="9" t="s">
        <v>266</v>
      </c>
      <c r="J415" s="9" t="s">
        <v>145</v>
      </c>
    </row>
    <row r="416" spans="1:10">
      <c r="A416" s="5" t="s">
        <v>1744</v>
      </c>
      <c r="B416" s="6" t="s">
        <v>1743</v>
      </c>
      <c r="C416" s="7">
        <v>46163</v>
      </c>
      <c r="D416" s="9" t="s">
        <v>500</v>
      </c>
      <c r="E416" s="8" t="s">
        <v>52</v>
      </c>
      <c r="F416" s="9" t="s">
        <v>242</v>
      </c>
      <c r="G416" s="9">
        <v>1</v>
      </c>
      <c r="H416" s="6" t="s">
        <v>693</v>
      </c>
      <c r="I416" s="9" t="s">
        <v>266</v>
      </c>
      <c r="J416" s="9" t="s">
        <v>145</v>
      </c>
    </row>
    <row r="417" spans="1:10">
      <c r="A417" s="5" t="s">
        <v>1745</v>
      </c>
      <c r="B417" s="6" t="s">
        <v>1743</v>
      </c>
      <c r="C417" s="7">
        <v>46163</v>
      </c>
      <c r="D417" s="9" t="s">
        <v>500</v>
      </c>
      <c r="E417" s="4" t="s">
        <v>53</v>
      </c>
      <c r="F417" s="9" t="s">
        <v>242</v>
      </c>
      <c r="G417" s="9">
        <v>1</v>
      </c>
      <c r="H417" s="6" t="s">
        <v>693</v>
      </c>
      <c r="I417" s="9" t="s">
        <v>266</v>
      </c>
      <c r="J417" s="9" t="s">
        <v>145</v>
      </c>
    </row>
    <row r="418" spans="1:10">
      <c r="A418" s="5" t="s">
        <v>1746</v>
      </c>
      <c r="B418" s="6" t="s">
        <v>1743</v>
      </c>
      <c r="C418" s="7">
        <v>46163</v>
      </c>
      <c r="D418" s="9" t="s">
        <v>261</v>
      </c>
      <c r="E418" s="8" t="s">
        <v>64</v>
      </c>
      <c r="F418" s="9" t="s">
        <v>242</v>
      </c>
      <c r="G418" s="9">
        <v>5</v>
      </c>
      <c r="H418" s="6" t="s">
        <v>693</v>
      </c>
      <c r="I418" s="9" t="s">
        <v>266</v>
      </c>
      <c r="J418" s="9" t="s">
        <v>145</v>
      </c>
    </row>
    <row r="419" spans="1:10">
      <c r="A419" s="5" t="s">
        <v>1747</v>
      </c>
      <c r="B419" s="6" t="s">
        <v>1743</v>
      </c>
      <c r="C419" s="7">
        <v>46163</v>
      </c>
      <c r="D419" s="9" t="s">
        <v>270</v>
      </c>
      <c r="E419" s="8" t="s">
        <v>271</v>
      </c>
      <c r="F419" s="9" t="s">
        <v>242</v>
      </c>
      <c r="G419" s="9">
        <v>5</v>
      </c>
      <c r="H419" s="6" t="s">
        <v>693</v>
      </c>
      <c r="I419" s="9" t="s">
        <v>266</v>
      </c>
      <c r="J419" s="9" t="s">
        <v>145</v>
      </c>
    </row>
    <row r="420" spans="1:10">
      <c r="A420" s="5" t="s">
        <v>1748</v>
      </c>
      <c r="B420" s="6" t="s">
        <v>1749</v>
      </c>
      <c r="C420" s="7">
        <v>46163</v>
      </c>
      <c r="D420" s="9" t="s">
        <v>500</v>
      </c>
      <c r="E420" s="8" t="s">
        <v>51</v>
      </c>
      <c r="F420" s="9" t="s">
        <v>242</v>
      </c>
      <c r="G420" s="9">
        <v>1</v>
      </c>
      <c r="H420" s="6" t="s">
        <v>693</v>
      </c>
      <c r="I420" s="9" t="s">
        <v>266</v>
      </c>
      <c r="J420" s="9" t="s">
        <v>145</v>
      </c>
    </row>
    <row r="421" spans="1:10">
      <c r="A421" s="5" t="s">
        <v>1750</v>
      </c>
      <c r="B421" s="6" t="s">
        <v>1749</v>
      </c>
      <c r="C421" s="7">
        <v>46163</v>
      </c>
      <c r="D421" s="9" t="s">
        <v>500</v>
      </c>
      <c r="E421" s="8" t="s">
        <v>52</v>
      </c>
      <c r="F421" s="9" t="s">
        <v>242</v>
      </c>
      <c r="G421" s="9">
        <v>1</v>
      </c>
      <c r="H421" s="6" t="s">
        <v>693</v>
      </c>
      <c r="I421" s="9" t="s">
        <v>266</v>
      </c>
      <c r="J421" s="9" t="s">
        <v>145</v>
      </c>
    </row>
    <row r="422" spans="1:10">
      <c r="A422" s="5" t="s">
        <v>1751</v>
      </c>
      <c r="B422" s="6" t="s">
        <v>1749</v>
      </c>
      <c r="C422" s="7">
        <v>46163</v>
      </c>
      <c r="D422" s="9" t="s">
        <v>261</v>
      </c>
      <c r="E422" s="8" t="s">
        <v>64</v>
      </c>
      <c r="F422" s="9" t="s">
        <v>242</v>
      </c>
      <c r="G422" s="9">
        <v>4</v>
      </c>
      <c r="H422" s="6" t="s">
        <v>693</v>
      </c>
      <c r="I422" s="9" t="s">
        <v>266</v>
      </c>
      <c r="J422" s="9" t="s">
        <v>145</v>
      </c>
    </row>
    <row r="423" spans="1:10">
      <c r="A423" s="5" t="s">
        <v>1752</v>
      </c>
      <c r="B423" s="6" t="s">
        <v>1749</v>
      </c>
      <c r="C423" s="7">
        <v>46163</v>
      </c>
      <c r="D423" s="9" t="s">
        <v>270</v>
      </c>
      <c r="E423" s="8" t="s">
        <v>271</v>
      </c>
      <c r="F423" s="9" t="s">
        <v>242</v>
      </c>
      <c r="G423" s="9">
        <v>4</v>
      </c>
      <c r="H423" s="6" t="s">
        <v>693</v>
      </c>
      <c r="I423" s="9" t="s">
        <v>266</v>
      </c>
      <c r="J423" s="9" t="s">
        <v>145</v>
      </c>
    </row>
    <row r="424" spans="1:10">
      <c r="A424" s="5" t="s">
        <v>1753</v>
      </c>
      <c r="B424" s="6" t="s">
        <v>1754</v>
      </c>
      <c r="C424" s="7">
        <v>46163</v>
      </c>
      <c r="D424" s="9" t="s">
        <v>500</v>
      </c>
      <c r="E424" s="8" t="s">
        <v>52</v>
      </c>
      <c r="F424" s="9" t="s">
        <v>242</v>
      </c>
      <c r="G424" s="9">
        <v>1</v>
      </c>
      <c r="H424" s="6" t="s">
        <v>693</v>
      </c>
      <c r="I424" s="9" t="s">
        <v>266</v>
      </c>
      <c r="J424" s="9" t="s">
        <v>145</v>
      </c>
    </row>
    <row r="425" spans="1:10">
      <c r="A425" s="5" t="s">
        <v>1755</v>
      </c>
      <c r="B425" s="6" t="s">
        <v>1754</v>
      </c>
      <c r="C425" s="7">
        <v>46163</v>
      </c>
      <c r="D425" s="9" t="s">
        <v>500</v>
      </c>
      <c r="E425" s="8" t="s">
        <v>53</v>
      </c>
      <c r="F425" s="9" t="s">
        <v>242</v>
      </c>
      <c r="G425" s="9">
        <v>1</v>
      </c>
      <c r="H425" s="6" t="s">
        <v>693</v>
      </c>
      <c r="I425" s="9" t="s">
        <v>266</v>
      </c>
      <c r="J425" s="9" t="s">
        <v>145</v>
      </c>
    </row>
    <row r="426" spans="1:10">
      <c r="A426" s="5" t="s">
        <v>1756</v>
      </c>
      <c r="B426" s="6" t="s">
        <v>1754</v>
      </c>
      <c r="C426" s="7">
        <v>46163</v>
      </c>
      <c r="D426" s="9" t="s">
        <v>261</v>
      </c>
      <c r="E426" s="8" t="s">
        <v>64</v>
      </c>
      <c r="F426" s="9" t="s">
        <v>242</v>
      </c>
      <c r="G426" s="9">
        <v>3</v>
      </c>
      <c r="H426" s="6" t="s">
        <v>693</v>
      </c>
      <c r="I426" s="9" t="s">
        <v>266</v>
      </c>
      <c r="J426" s="9" t="s">
        <v>145</v>
      </c>
    </row>
    <row r="427" spans="1:10">
      <c r="A427" s="5" t="s">
        <v>1757</v>
      </c>
      <c r="B427" s="6" t="s">
        <v>1754</v>
      </c>
      <c r="C427" s="7">
        <v>46163</v>
      </c>
      <c r="D427" s="9" t="s">
        <v>270</v>
      </c>
      <c r="E427" s="8" t="s">
        <v>271</v>
      </c>
      <c r="F427" s="9" t="s">
        <v>242</v>
      </c>
      <c r="G427" s="9">
        <v>3</v>
      </c>
      <c r="H427" s="6" t="s">
        <v>693</v>
      </c>
      <c r="I427" s="9" t="s">
        <v>266</v>
      </c>
      <c r="J427" s="9" t="s">
        <v>145</v>
      </c>
    </row>
    <row r="428" spans="1:10">
      <c r="A428" s="5" t="s">
        <v>1758</v>
      </c>
      <c r="B428" s="6" t="s">
        <v>1759</v>
      </c>
      <c r="C428" s="7">
        <v>46163</v>
      </c>
      <c r="D428" s="9" t="s">
        <v>500</v>
      </c>
      <c r="E428" s="8" t="s">
        <v>53</v>
      </c>
      <c r="F428" s="9" t="s">
        <v>242</v>
      </c>
      <c r="G428" s="9">
        <v>1</v>
      </c>
      <c r="H428" s="6" t="s">
        <v>693</v>
      </c>
      <c r="I428" s="9" t="s">
        <v>266</v>
      </c>
      <c r="J428" s="9" t="s">
        <v>145</v>
      </c>
    </row>
    <row r="429" spans="1:10">
      <c r="A429" s="5" t="s">
        <v>1760</v>
      </c>
      <c r="B429" s="6" t="s">
        <v>1761</v>
      </c>
      <c r="C429" s="7">
        <v>46163</v>
      </c>
      <c r="D429" s="9" t="s">
        <v>500</v>
      </c>
      <c r="E429" s="8" t="s">
        <v>52</v>
      </c>
      <c r="F429" s="9" t="s">
        <v>242</v>
      </c>
      <c r="G429" s="9">
        <v>1</v>
      </c>
      <c r="H429" s="6" t="s">
        <v>693</v>
      </c>
      <c r="I429" s="9" t="s">
        <v>266</v>
      </c>
      <c r="J429" s="9" t="s">
        <v>145</v>
      </c>
    </row>
    <row r="430" spans="1:10">
      <c r="A430" s="5" t="s">
        <v>1762</v>
      </c>
      <c r="B430" s="6" t="s">
        <v>1761</v>
      </c>
      <c r="C430" s="7">
        <v>46163</v>
      </c>
      <c r="D430" s="9" t="s">
        <v>500</v>
      </c>
      <c r="E430" s="8" t="s">
        <v>53</v>
      </c>
      <c r="F430" s="9" t="s">
        <v>242</v>
      </c>
      <c r="G430" s="9">
        <v>1</v>
      </c>
      <c r="H430" s="6" t="s">
        <v>693</v>
      </c>
      <c r="I430" s="9" t="s">
        <v>266</v>
      </c>
      <c r="J430" s="9" t="s">
        <v>145</v>
      </c>
    </row>
    <row r="431" spans="1:10">
      <c r="A431" s="5" t="s">
        <v>1763</v>
      </c>
      <c r="B431" s="6" t="s">
        <v>1761</v>
      </c>
      <c r="C431" s="7">
        <v>46163</v>
      </c>
      <c r="D431" s="9" t="s">
        <v>261</v>
      </c>
      <c r="E431" s="4" t="s">
        <v>64</v>
      </c>
      <c r="F431" s="9" t="s">
        <v>242</v>
      </c>
      <c r="G431" s="9">
        <v>3</v>
      </c>
      <c r="H431" s="6" t="s">
        <v>693</v>
      </c>
      <c r="I431" s="9" t="s">
        <v>266</v>
      </c>
      <c r="J431" s="9" t="s">
        <v>145</v>
      </c>
    </row>
    <row r="432" spans="1:10">
      <c r="A432" s="5" t="s">
        <v>1764</v>
      </c>
      <c r="B432" s="6" t="s">
        <v>1761</v>
      </c>
      <c r="C432" s="7">
        <v>46163</v>
      </c>
      <c r="D432" s="9" t="s">
        <v>270</v>
      </c>
      <c r="E432" s="8" t="s">
        <v>271</v>
      </c>
      <c r="F432" s="9" t="s">
        <v>242</v>
      </c>
      <c r="G432" s="9">
        <v>3</v>
      </c>
      <c r="H432" s="6" t="s">
        <v>693</v>
      </c>
      <c r="I432" s="9" t="s">
        <v>266</v>
      </c>
      <c r="J432" s="9" t="s">
        <v>145</v>
      </c>
    </row>
    <row r="433" spans="1:10">
      <c r="A433" s="5" t="s">
        <v>1765</v>
      </c>
      <c r="B433" s="6" t="s">
        <v>1766</v>
      </c>
      <c r="C433" s="7">
        <v>46163</v>
      </c>
      <c r="D433" s="9" t="s">
        <v>500</v>
      </c>
      <c r="E433" s="8" t="s">
        <v>53</v>
      </c>
      <c r="F433" s="9" t="s">
        <v>242</v>
      </c>
      <c r="G433" s="9">
        <v>1</v>
      </c>
      <c r="H433" s="6" t="s">
        <v>1767</v>
      </c>
      <c r="I433" s="9" t="s">
        <v>415</v>
      </c>
      <c r="J433" s="9" t="s">
        <v>145</v>
      </c>
    </row>
    <row r="434" spans="1:10">
      <c r="A434" s="5" t="s">
        <v>1768</v>
      </c>
      <c r="B434" s="6" t="s">
        <v>1766</v>
      </c>
      <c r="C434" s="7">
        <v>46163</v>
      </c>
      <c r="D434" s="9" t="s">
        <v>500</v>
      </c>
      <c r="E434" s="8" t="s">
        <v>54</v>
      </c>
      <c r="F434" s="9" t="s">
        <v>242</v>
      </c>
      <c r="G434" s="9">
        <v>1</v>
      </c>
      <c r="H434" s="6" t="s">
        <v>1767</v>
      </c>
      <c r="I434" s="9" t="s">
        <v>415</v>
      </c>
      <c r="J434" s="9" t="s">
        <v>145</v>
      </c>
    </row>
    <row r="435" spans="1:10">
      <c r="A435" s="5" t="s">
        <v>1769</v>
      </c>
      <c r="B435" s="6" t="s">
        <v>1766</v>
      </c>
      <c r="C435" s="7">
        <v>46163</v>
      </c>
      <c r="D435" s="9" t="s">
        <v>261</v>
      </c>
      <c r="E435" s="8" t="s">
        <v>62</v>
      </c>
      <c r="F435" s="9" t="s">
        <v>242</v>
      </c>
      <c r="G435" s="9">
        <v>4</v>
      </c>
      <c r="H435" s="6" t="s">
        <v>1072</v>
      </c>
      <c r="I435" s="9" t="s">
        <v>415</v>
      </c>
      <c r="J435" s="9" t="s">
        <v>145</v>
      </c>
    </row>
    <row r="436" spans="1:10">
      <c r="A436" s="5" t="s">
        <v>1770</v>
      </c>
      <c r="B436" s="6" t="s">
        <v>1771</v>
      </c>
      <c r="C436" s="7">
        <v>46164</v>
      </c>
      <c r="D436" s="9" t="s">
        <v>270</v>
      </c>
      <c r="E436" s="8" t="s">
        <v>271</v>
      </c>
      <c r="F436" s="9" t="s">
        <v>242</v>
      </c>
      <c r="G436" s="9">
        <v>6</v>
      </c>
      <c r="H436" s="6" t="s">
        <v>1772</v>
      </c>
      <c r="I436" s="9" t="s">
        <v>616</v>
      </c>
      <c r="J436" s="9" t="s">
        <v>145</v>
      </c>
    </row>
    <row r="437" spans="1:10">
      <c r="A437" s="5" t="s">
        <v>1773</v>
      </c>
      <c r="B437" s="6" t="s">
        <v>1774</v>
      </c>
      <c r="C437" s="7">
        <v>46164</v>
      </c>
      <c r="D437" s="9" t="s">
        <v>500</v>
      </c>
      <c r="E437" s="8" t="s">
        <v>53</v>
      </c>
      <c r="F437" s="9" t="s">
        <v>242</v>
      </c>
      <c r="G437" s="9">
        <v>1</v>
      </c>
      <c r="H437" s="6" t="s">
        <v>1666</v>
      </c>
      <c r="I437" s="9" t="s">
        <v>258</v>
      </c>
      <c r="J437" s="9" t="s">
        <v>145</v>
      </c>
    </row>
    <row r="438" spans="1:10">
      <c r="A438" s="5" t="s">
        <v>1775</v>
      </c>
      <c r="B438" s="6" t="s">
        <v>1774</v>
      </c>
      <c r="C438" s="7">
        <v>46164</v>
      </c>
      <c r="D438" s="9" t="s">
        <v>261</v>
      </c>
      <c r="E438" s="4" t="s">
        <v>64</v>
      </c>
      <c r="F438" s="9" t="s">
        <v>242</v>
      </c>
      <c r="G438" s="9">
        <v>1</v>
      </c>
      <c r="H438" s="6" t="s">
        <v>1666</v>
      </c>
      <c r="I438" s="9" t="s">
        <v>258</v>
      </c>
      <c r="J438" s="9" t="s">
        <v>145</v>
      </c>
    </row>
    <row r="439" spans="1:10">
      <c r="A439" s="5" t="s">
        <v>1776</v>
      </c>
      <c r="B439" s="6" t="s">
        <v>1774</v>
      </c>
      <c r="C439" s="7">
        <v>46164</v>
      </c>
      <c r="D439" s="9" t="s">
        <v>270</v>
      </c>
      <c r="E439" s="4" t="s">
        <v>271</v>
      </c>
      <c r="F439" s="9" t="s">
        <v>242</v>
      </c>
      <c r="G439" s="9">
        <v>1</v>
      </c>
      <c r="H439" s="6" t="s">
        <v>1666</v>
      </c>
      <c r="I439" s="9" t="s">
        <v>258</v>
      </c>
      <c r="J439" s="9" t="s">
        <v>145</v>
      </c>
    </row>
    <row r="440" spans="1:10">
      <c r="A440" s="5" t="s">
        <v>1777</v>
      </c>
      <c r="B440" s="6" t="s">
        <v>1778</v>
      </c>
      <c r="C440" s="7">
        <v>46164</v>
      </c>
      <c r="D440" s="9" t="s">
        <v>500</v>
      </c>
      <c r="E440" s="8" t="s">
        <v>48</v>
      </c>
      <c r="F440" s="9" t="s">
        <v>242</v>
      </c>
      <c r="G440" s="9">
        <v>1</v>
      </c>
      <c r="H440" s="6" t="s">
        <v>1682</v>
      </c>
      <c r="I440" s="9" t="s">
        <v>258</v>
      </c>
      <c r="J440" s="9" t="s">
        <v>145</v>
      </c>
    </row>
    <row r="441" spans="1:10">
      <c r="A441" s="5" t="s">
        <v>1779</v>
      </c>
      <c r="B441" s="6" t="s">
        <v>1778</v>
      </c>
      <c r="C441" s="7">
        <v>46164</v>
      </c>
      <c r="D441" s="9" t="s">
        <v>261</v>
      </c>
      <c r="E441" s="8" t="s">
        <v>64</v>
      </c>
      <c r="F441" s="9" t="s">
        <v>242</v>
      </c>
      <c r="G441" s="9">
        <v>3</v>
      </c>
      <c r="H441" s="6" t="s">
        <v>1682</v>
      </c>
      <c r="I441" s="9" t="s">
        <v>258</v>
      </c>
      <c r="J441" s="9" t="s">
        <v>145</v>
      </c>
    </row>
    <row r="442" spans="1:10">
      <c r="A442" s="5" t="s">
        <v>1780</v>
      </c>
      <c r="B442" s="6" t="s">
        <v>1778</v>
      </c>
      <c r="C442" s="7">
        <v>46164</v>
      </c>
      <c r="D442" s="9" t="s">
        <v>270</v>
      </c>
      <c r="E442" s="8" t="s">
        <v>271</v>
      </c>
      <c r="F442" s="9" t="s">
        <v>242</v>
      </c>
      <c r="G442" s="9">
        <v>3</v>
      </c>
      <c r="H442" s="6" t="s">
        <v>1682</v>
      </c>
      <c r="I442" s="9" t="s">
        <v>258</v>
      </c>
      <c r="J442" s="9" t="s">
        <v>145</v>
      </c>
    </row>
    <row r="443" spans="1:10">
      <c r="A443" s="5" t="s">
        <v>1781</v>
      </c>
      <c r="B443" s="6" t="s">
        <v>1782</v>
      </c>
      <c r="C443" s="7">
        <v>46164</v>
      </c>
      <c r="D443" s="9" t="s">
        <v>696</v>
      </c>
      <c r="E443" s="4" t="s">
        <v>88</v>
      </c>
      <c r="F443" s="9" t="s">
        <v>242</v>
      </c>
      <c r="G443" s="9">
        <v>65</v>
      </c>
      <c r="H443" s="6" t="s">
        <v>1783</v>
      </c>
      <c r="I443" s="9" t="s">
        <v>258</v>
      </c>
      <c r="J443" s="9" t="s">
        <v>145</v>
      </c>
    </row>
    <row r="444" spans="1:10">
      <c r="A444" s="5" t="s">
        <v>1784</v>
      </c>
      <c r="B444" s="6" t="s">
        <v>1782</v>
      </c>
      <c r="C444" s="7">
        <v>46164</v>
      </c>
      <c r="D444" s="9" t="s">
        <v>261</v>
      </c>
      <c r="E444" s="8" t="s">
        <v>281</v>
      </c>
      <c r="F444" s="9" t="s">
        <v>242</v>
      </c>
      <c r="G444" s="9">
        <v>5</v>
      </c>
      <c r="H444" s="6" t="s">
        <v>1783</v>
      </c>
      <c r="I444" s="9" t="s">
        <v>258</v>
      </c>
      <c r="J444" s="9" t="s">
        <v>145</v>
      </c>
    </row>
    <row r="445" spans="1:10">
      <c r="A445" s="5" t="s">
        <v>1785</v>
      </c>
      <c r="B445" s="6" t="s">
        <v>1786</v>
      </c>
      <c r="C445" s="7">
        <v>46164</v>
      </c>
      <c r="D445" s="9" t="s">
        <v>261</v>
      </c>
      <c r="E445" s="8" t="s">
        <v>62</v>
      </c>
      <c r="F445" s="9" t="s">
        <v>242</v>
      </c>
      <c r="G445" s="9">
        <v>2</v>
      </c>
      <c r="H445" s="6" t="s">
        <v>1072</v>
      </c>
      <c r="I445" s="9" t="s">
        <v>628</v>
      </c>
      <c r="J445" s="9" t="s">
        <v>145</v>
      </c>
    </row>
    <row r="446" spans="1:10">
      <c r="A446" s="5" t="s">
        <v>1787</v>
      </c>
      <c r="B446" s="6" t="s">
        <v>1788</v>
      </c>
      <c r="C446" s="7">
        <v>46165</v>
      </c>
      <c r="D446" s="9" t="s">
        <v>500</v>
      </c>
      <c r="E446" s="8" t="s">
        <v>51</v>
      </c>
      <c r="F446" s="9" t="s">
        <v>242</v>
      </c>
      <c r="G446" s="9">
        <v>1</v>
      </c>
      <c r="H446" s="6" t="s">
        <v>693</v>
      </c>
      <c r="I446" s="9" t="s">
        <v>289</v>
      </c>
      <c r="J446" s="9" t="s">
        <v>145</v>
      </c>
    </row>
    <row r="447" spans="1:10">
      <c r="A447" s="5" t="s">
        <v>1789</v>
      </c>
      <c r="B447" s="6" t="s">
        <v>1788</v>
      </c>
      <c r="C447" s="7">
        <v>46165</v>
      </c>
      <c r="D447" s="9" t="s">
        <v>261</v>
      </c>
      <c r="E447" s="4" t="s">
        <v>64</v>
      </c>
      <c r="F447" s="9" t="s">
        <v>242</v>
      </c>
      <c r="G447" s="9">
        <v>2</v>
      </c>
      <c r="H447" s="6" t="s">
        <v>693</v>
      </c>
      <c r="I447" s="9" t="s">
        <v>289</v>
      </c>
      <c r="J447" s="9" t="s">
        <v>145</v>
      </c>
    </row>
    <row r="448" spans="1:10">
      <c r="A448" s="5" t="s">
        <v>1790</v>
      </c>
      <c r="B448" s="6" t="s">
        <v>1788</v>
      </c>
      <c r="C448" s="7">
        <v>46165</v>
      </c>
      <c r="D448" s="9" t="s">
        <v>270</v>
      </c>
      <c r="E448" s="8" t="s">
        <v>271</v>
      </c>
      <c r="F448" s="9" t="s">
        <v>242</v>
      </c>
      <c r="G448" s="9">
        <v>2</v>
      </c>
      <c r="H448" s="6" t="s">
        <v>693</v>
      </c>
      <c r="I448" s="9" t="s">
        <v>289</v>
      </c>
      <c r="J448" s="9" t="s">
        <v>145</v>
      </c>
    </row>
    <row r="449" spans="1:10">
      <c r="A449" s="5" t="s">
        <v>1791</v>
      </c>
      <c r="B449" s="6" t="s">
        <v>1788</v>
      </c>
      <c r="C449" s="7">
        <v>46165</v>
      </c>
      <c r="D449" s="9" t="s">
        <v>261</v>
      </c>
      <c r="E449" s="4" t="s">
        <v>62</v>
      </c>
      <c r="F449" s="9" t="s">
        <v>242</v>
      </c>
      <c r="G449" s="9">
        <v>2</v>
      </c>
      <c r="H449" s="6" t="s">
        <v>693</v>
      </c>
      <c r="I449" s="9" t="s">
        <v>289</v>
      </c>
      <c r="J449" s="9" t="s">
        <v>145</v>
      </c>
    </row>
    <row r="450" spans="1:10">
      <c r="A450" s="5" t="s">
        <v>1792</v>
      </c>
      <c r="B450" s="6" t="s">
        <v>1793</v>
      </c>
      <c r="C450" s="7">
        <v>46165</v>
      </c>
      <c r="D450" s="9" t="s">
        <v>1024</v>
      </c>
      <c r="E450" s="8" t="s">
        <v>164</v>
      </c>
      <c r="F450" s="9" t="s">
        <v>242</v>
      </c>
      <c r="G450" s="9">
        <v>1</v>
      </c>
      <c r="H450" s="6" t="s">
        <v>1794</v>
      </c>
      <c r="I450" s="9" t="s">
        <v>415</v>
      </c>
      <c r="J450" s="9" t="s">
        <v>145</v>
      </c>
    </row>
    <row r="451" spans="1:10">
      <c r="A451" s="5" t="s">
        <v>1795</v>
      </c>
      <c r="B451" s="6" t="s">
        <v>1793</v>
      </c>
      <c r="C451" s="7">
        <v>46168</v>
      </c>
      <c r="D451" s="9" t="s">
        <v>503</v>
      </c>
      <c r="E451" s="4" t="s">
        <v>1497</v>
      </c>
      <c r="F451" s="9" t="s">
        <v>242</v>
      </c>
      <c r="G451" s="9">
        <v>85</v>
      </c>
      <c r="H451" s="6" t="s">
        <v>1794</v>
      </c>
      <c r="I451" s="9" t="s">
        <v>415</v>
      </c>
      <c r="J451" s="9" t="s">
        <v>145</v>
      </c>
    </row>
    <row r="452" spans="1:10">
      <c r="A452" s="5" t="s">
        <v>1796</v>
      </c>
      <c r="B452" s="6" t="s">
        <v>1797</v>
      </c>
      <c r="C452" s="7">
        <v>46168</v>
      </c>
      <c r="D452" s="9" t="s">
        <v>500</v>
      </c>
      <c r="E452" s="8" t="s">
        <v>54</v>
      </c>
      <c r="F452" s="9" t="s">
        <v>242</v>
      </c>
      <c r="G452" s="9">
        <v>1</v>
      </c>
      <c r="H452" s="6" t="s">
        <v>759</v>
      </c>
      <c r="I452" s="9" t="s">
        <v>363</v>
      </c>
      <c r="J452" s="9" t="s">
        <v>145</v>
      </c>
    </row>
    <row r="453" spans="1:10">
      <c r="A453" s="5" t="s">
        <v>1798</v>
      </c>
      <c r="B453" s="6" t="s">
        <v>1797</v>
      </c>
      <c r="C453" s="7">
        <v>46168</v>
      </c>
      <c r="D453" s="9" t="s">
        <v>261</v>
      </c>
      <c r="E453" s="8" t="s">
        <v>62</v>
      </c>
      <c r="F453" s="9" t="s">
        <v>242</v>
      </c>
      <c r="G453" s="9">
        <v>4</v>
      </c>
      <c r="H453" s="6" t="s">
        <v>759</v>
      </c>
      <c r="I453" s="9" t="s">
        <v>363</v>
      </c>
      <c r="J453" s="9" t="s">
        <v>145</v>
      </c>
    </row>
    <row r="454" spans="1:10">
      <c r="A454" s="5" t="s">
        <v>1799</v>
      </c>
      <c r="B454" s="6" t="s">
        <v>1800</v>
      </c>
      <c r="C454" s="7">
        <v>46168</v>
      </c>
      <c r="D454" s="9" t="s">
        <v>500</v>
      </c>
      <c r="E454" s="4" t="s">
        <v>54</v>
      </c>
      <c r="F454" s="9" t="s">
        <v>242</v>
      </c>
      <c r="G454" s="9">
        <v>1</v>
      </c>
      <c r="H454" s="6" t="s">
        <v>1304</v>
      </c>
      <c r="I454" s="9" t="s">
        <v>484</v>
      </c>
      <c r="J454" s="9" t="s">
        <v>145</v>
      </c>
    </row>
    <row r="455" spans="1:10">
      <c r="A455" s="5" t="s">
        <v>1801</v>
      </c>
      <c r="B455" s="6" t="s">
        <v>1800</v>
      </c>
      <c r="C455" s="7">
        <v>46168</v>
      </c>
      <c r="D455" s="9" t="s">
        <v>261</v>
      </c>
      <c r="E455" s="8" t="s">
        <v>62</v>
      </c>
      <c r="F455" s="9" t="s">
        <v>242</v>
      </c>
      <c r="G455" s="9">
        <v>2</v>
      </c>
      <c r="H455" s="6" t="s">
        <v>1304</v>
      </c>
      <c r="I455" s="9" t="s">
        <v>484</v>
      </c>
      <c r="J455" s="9" t="s">
        <v>145</v>
      </c>
    </row>
    <row r="456" spans="1:10">
      <c r="A456" s="5" t="s">
        <v>1802</v>
      </c>
      <c r="B456" s="6" t="s">
        <v>1803</v>
      </c>
      <c r="C456" s="7">
        <v>46168</v>
      </c>
      <c r="D456" s="9" t="s">
        <v>500</v>
      </c>
      <c r="E456" s="8" t="s">
        <v>52</v>
      </c>
      <c r="F456" s="9" t="s">
        <v>242</v>
      </c>
      <c r="G456" s="9">
        <v>1</v>
      </c>
      <c r="H456" s="6" t="s">
        <v>693</v>
      </c>
      <c r="I456" s="9" t="s">
        <v>415</v>
      </c>
      <c r="J456" s="9" t="s">
        <v>145</v>
      </c>
    </row>
    <row r="457" spans="1:10">
      <c r="A457" s="5" t="s">
        <v>1804</v>
      </c>
      <c r="B457" s="6" t="s">
        <v>1803</v>
      </c>
      <c r="C457" s="7">
        <v>46168</v>
      </c>
      <c r="D457" s="9" t="s">
        <v>261</v>
      </c>
      <c r="E457" s="8" t="s">
        <v>64</v>
      </c>
      <c r="F457" s="9" t="s">
        <v>242</v>
      </c>
      <c r="G457" s="9">
        <v>2</v>
      </c>
      <c r="H457" s="6" t="s">
        <v>693</v>
      </c>
      <c r="I457" s="9" t="s">
        <v>415</v>
      </c>
      <c r="J457" s="9" t="s">
        <v>145</v>
      </c>
    </row>
    <row r="458" spans="1:10">
      <c r="A458" s="5" t="s">
        <v>1805</v>
      </c>
      <c r="B458" s="6" t="s">
        <v>1803</v>
      </c>
      <c r="C458" s="7">
        <v>46168</v>
      </c>
      <c r="D458" s="9" t="s">
        <v>270</v>
      </c>
      <c r="E458" s="8" t="s">
        <v>271</v>
      </c>
      <c r="F458" s="9" t="s">
        <v>242</v>
      </c>
      <c r="G458" s="9">
        <v>2</v>
      </c>
      <c r="H458" s="6" t="s">
        <v>693</v>
      </c>
      <c r="I458" s="9" t="s">
        <v>415</v>
      </c>
      <c r="J458" s="9" t="s">
        <v>145</v>
      </c>
    </row>
    <row r="459" spans="1:10">
      <c r="A459" s="5" t="s">
        <v>1806</v>
      </c>
      <c r="B459" s="6" t="s">
        <v>1807</v>
      </c>
      <c r="C459" s="7">
        <v>46168</v>
      </c>
      <c r="D459" s="9" t="s">
        <v>905</v>
      </c>
      <c r="E459" s="8" t="s">
        <v>189</v>
      </c>
      <c r="F459" s="9" t="s">
        <v>242</v>
      </c>
      <c r="G459" s="9">
        <v>30</v>
      </c>
      <c r="H459" s="6" t="s">
        <v>1808</v>
      </c>
      <c r="I459" s="9" t="s">
        <v>830</v>
      </c>
      <c r="J459" s="9" t="s">
        <v>145</v>
      </c>
    </row>
    <row r="460" spans="1:10">
      <c r="A460" s="5" t="s">
        <v>1809</v>
      </c>
      <c r="B460" s="6" t="s">
        <v>1807</v>
      </c>
      <c r="C460" s="7">
        <v>46168</v>
      </c>
      <c r="D460" s="9" t="s">
        <v>905</v>
      </c>
      <c r="E460" s="8" t="s">
        <v>208</v>
      </c>
      <c r="F460" s="9" t="s">
        <v>242</v>
      </c>
      <c r="G460" s="9">
        <v>10</v>
      </c>
      <c r="H460" s="6" t="s">
        <v>1808</v>
      </c>
      <c r="I460" s="9" t="s">
        <v>830</v>
      </c>
      <c r="J460" s="9" t="s">
        <v>145</v>
      </c>
    </row>
    <row r="461" spans="1:10">
      <c r="A461" s="5" t="s">
        <v>1810</v>
      </c>
      <c r="B461" s="6" t="s">
        <v>1811</v>
      </c>
      <c r="C461" s="7">
        <v>46168</v>
      </c>
      <c r="D461" s="9" t="s">
        <v>905</v>
      </c>
      <c r="E461" s="4" t="s">
        <v>207</v>
      </c>
      <c r="F461" s="9" t="s">
        <v>242</v>
      </c>
      <c r="G461" s="9">
        <v>15</v>
      </c>
      <c r="H461" s="6" t="s">
        <v>1812</v>
      </c>
      <c r="I461" s="9" t="s">
        <v>311</v>
      </c>
      <c r="J461" s="9" t="s">
        <v>145</v>
      </c>
    </row>
    <row r="462" spans="1:10">
      <c r="A462" s="5" t="s">
        <v>1813</v>
      </c>
      <c r="B462" s="6" t="s">
        <v>1814</v>
      </c>
      <c r="C462" s="7">
        <v>46168</v>
      </c>
      <c r="D462" s="9" t="s">
        <v>905</v>
      </c>
      <c r="E462" s="4" t="s">
        <v>208</v>
      </c>
      <c r="F462" s="9" t="s">
        <v>242</v>
      </c>
      <c r="G462" s="9">
        <v>15</v>
      </c>
      <c r="H462" s="6" t="s">
        <v>1812</v>
      </c>
      <c r="I462" s="9" t="s">
        <v>918</v>
      </c>
      <c r="J462" s="9" t="s">
        <v>145</v>
      </c>
    </row>
    <row r="463" spans="1:10">
      <c r="A463" s="5" t="s">
        <v>1815</v>
      </c>
      <c r="B463" s="6" t="s">
        <v>1811</v>
      </c>
      <c r="C463" s="7">
        <v>46168</v>
      </c>
      <c r="D463" s="9" t="s">
        <v>905</v>
      </c>
      <c r="E463" s="8" t="s">
        <v>216</v>
      </c>
      <c r="F463" s="9" t="s">
        <v>242</v>
      </c>
      <c r="G463" s="9">
        <v>20</v>
      </c>
      <c r="H463" s="6" t="s">
        <v>1812</v>
      </c>
      <c r="I463" s="9" t="s">
        <v>311</v>
      </c>
      <c r="J463" s="9" t="s">
        <v>145</v>
      </c>
    </row>
    <row r="464" spans="1:10">
      <c r="A464" s="5" t="s">
        <v>1816</v>
      </c>
      <c r="B464" s="6" t="s">
        <v>1811</v>
      </c>
      <c r="C464" s="7">
        <v>46168</v>
      </c>
      <c r="D464" s="9" t="s">
        <v>905</v>
      </c>
      <c r="E464" s="8" t="s">
        <v>66</v>
      </c>
      <c r="F464" s="9" t="s">
        <v>242</v>
      </c>
      <c r="G464" s="9">
        <v>20</v>
      </c>
      <c r="H464" s="6" t="s">
        <v>1817</v>
      </c>
      <c r="I464" s="9" t="s">
        <v>311</v>
      </c>
      <c r="J464" s="9" t="s">
        <v>145</v>
      </c>
    </row>
    <row r="465" spans="1:10">
      <c r="A465" s="5" t="s">
        <v>1818</v>
      </c>
      <c r="B465" s="6" t="s">
        <v>1814</v>
      </c>
      <c r="C465" s="7">
        <v>46168</v>
      </c>
      <c r="D465" s="9" t="s">
        <v>905</v>
      </c>
      <c r="E465" s="8" t="s">
        <v>66</v>
      </c>
      <c r="F465" s="9" t="s">
        <v>242</v>
      </c>
      <c r="G465" s="9">
        <v>30</v>
      </c>
      <c r="H465" s="6" t="s">
        <v>1817</v>
      </c>
      <c r="I465" s="9" t="s">
        <v>918</v>
      </c>
      <c r="J465" s="9" t="s">
        <v>145</v>
      </c>
    </row>
    <row r="466" spans="1:10">
      <c r="A466" s="5" t="s">
        <v>1819</v>
      </c>
      <c r="B466" s="6" t="s">
        <v>1811</v>
      </c>
      <c r="C466" s="7">
        <v>46168</v>
      </c>
      <c r="D466" s="9" t="s">
        <v>696</v>
      </c>
      <c r="E466" s="4" t="s">
        <v>88</v>
      </c>
      <c r="F466" s="9" t="s">
        <v>242</v>
      </c>
      <c r="G466" s="9">
        <v>700</v>
      </c>
      <c r="H466" s="6" t="s">
        <v>1820</v>
      </c>
      <c r="I466" s="9" t="s">
        <v>827</v>
      </c>
      <c r="J466" s="9" t="s">
        <v>145</v>
      </c>
    </row>
    <row r="467" spans="1:10">
      <c r="A467" s="5" t="s">
        <v>1821</v>
      </c>
      <c r="B467" s="6" t="s">
        <v>1814</v>
      </c>
      <c r="C467" s="7">
        <v>46168</v>
      </c>
      <c r="D467" s="9" t="s">
        <v>696</v>
      </c>
      <c r="E467" s="8" t="s">
        <v>88</v>
      </c>
      <c r="F467" s="9" t="s">
        <v>242</v>
      </c>
      <c r="G467" s="9">
        <v>680</v>
      </c>
      <c r="H467" s="6" t="s">
        <v>1820</v>
      </c>
      <c r="I467" s="9" t="s">
        <v>830</v>
      </c>
      <c r="J467" s="9" t="s">
        <v>145</v>
      </c>
    </row>
    <row r="468" spans="1:10">
      <c r="A468" s="5" t="s">
        <v>1822</v>
      </c>
      <c r="B468" s="6" t="s">
        <v>1823</v>
      </c>
      <c r="C468" s="7">
        <v>46168</v>
      </c>
      <c r="D468" s="9" t="s">
        <v>500</v>
      </c>
      <c r="E468" s="8" t="s">
        <v>51</v>
      </c>
      <c r="F468" s="9" t="s">
        <v>242</v>
      </c>
      <c r="G468" s="9">
        <v>1</v>
      </c>
      <c r="H468" s="6" t="s">
        <v>693</v>
      </c>
      <c r="I468" s="9" t="s">
        <v>616</v>
      </c>
      <c r="J468" s="9" t="s">
        <v>145</v>
      </c>
    </row>
    <row r="469" spans="1:10">
      <c r="A469" s="5" t="s">
        <v>1824</v>
      </c>
      <c r="B469" s="6" t="s">
        <v>1823</v>
      </c>
      <c r="C469" s="7">
        <v>46168</v>
      </c>
      <c r="D469" s="9" t="s">
        <v>270</v>
      </c>
      <c r="E469" s="8" t="s">
        <v>271</v>
      </c>
      <c r="F469" s="9" t="s">
        <v>242</v>
      </c>
      <c r="G469" s="9">
        <v>2</v>
      </c>
      <c r="H469" s="6" t="s">
        <v>693</v>
      </c>
      <c r="I469" s="9" t="s">
        <v>616</v>
      </c>
      <c r="J469" s="9" t="s">
        <v>145</v>
      </c>
    </row>
    <row r="470" spans="1:10">
      <c r="A470" s="5" t="s">
        <v>1825</v>
      </c>
      <c r="B470" s="6" t="s">
        <v>1826</v>
      </c>
      <c r="C470" s="7">
        <v>46168</v>
      </c>
      <c r="D470" s="9" t="s">
        <v>500</v>
      </c>
      <c r="E470" s="4" t="s">
        <v>51</v>
      </c>
      <c r="F470" s="9" t="s">
        <v>242</v>
      </c>
      <c r="G470" s="9">
        <v>1</v>
      </c>
      <c r="H470" s="6" t="s">
        <v>1666</v>
      </c>
      <c r="I470" s="9" t="s">
        <v>253</v>
      </c>
      <c r="J470" s="9" t="s">
        <v>145</v>
      </c>
    </row>
    <row r="471" spans="1:10">
      <c r="A471" s="5" t="s">
        <v>1827</v>
      </c>
      <c r="B471" s="6" t="s">
        <v>1826</v>
      </c>
      <c r="C471" s="7">
        <v>46168</v>
      </c>
      <c r="D471" s="9" t="s">
        <v>261</v>
      </c>
      <c r="E471" s="8" t="s">
        <v>64</v>
      </c>
      <c r="F471" s="9" t="s">
        <v>242</v>
      </c>
      <c r="G471" s="9">
        <v>2</v>
      </c>
      <c r="H471" s="6" t="s">
        <v>1666</v>
      </c>
      <c r="I471" s="9" t="s">
        <v>253</v>
      </c>
      <c r="J471" s="9" t="s">
        <v>145</v>
      </c>
    </row>
    <row r="472" spans="1:10">
      <c r="A472" s="5" t="s">
        <v>1828</v>
      </c>
      <c r="B472" s="6" t="s">
        <v>1826</v>
      </c>
      <c r="C472" s="7">
        <v>46168</v>
      </c>
      <c r="D472" s="9" t="s">
        <v>270</v>
      </c>
      <c r="E472" s="4" t="s">
        <v>271</v>
      </c>
      <c r="F472" s="9" t="s">
        <v>242</v>
      </c>
      <c r="G472" s="9">
        <v>2</v>
      </c>
      <c r="H472" s="6" t="s">
        <v>1666</v>
      </c>
      <c r="I472" s="9" t="s">
        <v>253</v>
      </c>
      <c r="J472" s="9" t="s">
        <v>145</v>
      </c>
    </row>
    <row r="473" spans="1:10">
      <c r="A473" s="5" t="s">
        <v>1829</v>
      </c>
      <c r="B473" s="6" t="s">
        <v>1830</v>
      </c>
      <c r="C473" s="7">
        <v>46168</v>
      </c>
      <c r="D473" s="9" t="s">
        <v>500</v>
      </c>
      <c r="E473" s="8" t="s">
        <v>48</v>
      </c>
      <c r="F473" s="9" t="s">
        <v>242</v>
      </c>
      <c r="G473" s="9">
        <v>1</v>
      </c>
      <c r="H473" s="6" t="s">
        <v>1682</v>
      </c>
      <c r="I473" s="9" t="s">
        <v>253</v>
      </c>
      <c r="J473" s="9" t="s">
        <v>145</v>
      </c>
    </row>
    <row r="474" spans="1:10">
      <c r="A474" s="5" t="s">
        <v>1831</v>
      </c>
      <c r="B474" s="6" t="s">
        <v>1830</v>
      </c>
      <c r="C474" s="7">
        <v>46168</v>
      </c>
      <c r="D474" s="9" t="s">
        <v>261</v>
      </c>
      <c r="E474" s="4" t="s">
        <v>64</v>
      </c>
      <c r="F474" s="9" t="s">
        <v>242</v>
      </c>
      <c r="G474" s="9">
        <v>3</v>
      </c>
      <c r="H474" s="6" t="s">
        <v>1682</v>
      </c>
      <c r="I474" s="9" t="s">
        <v>253</v>
      </c>
      <c r="J474" s="9" t="s">
        <v>145</v>
      </c>
    </row>
    <row r="475" spans="1:10">
      <c r="A475" s="5" t="s">
        <v>1832</v>
      </c>
      <c r="B475" s="6" t="s">
        <v>1830</v>
      </c>
      <c r="C475" s="7">
        <v>46168</v>
      </c>
      <c r="D475" s="9" t="s">
        <v>270</v>
      </c>
      <c r="E475" s="4" t="s">
        <v>271</v>
      </c>
      <c r="F475" s="9" t="s">
        <v>242</v>
      </c>
      <c r="G475" s="9">
        <v>3</v>
      </c>
      <c r="H475" s="6" t="s">
        <v>1682</v>
      </c>
      <c r="I475" s="9" t="s">
        <v>253</v>
      </c>
    </row>
    <row r="476" spans="1:10">
      <c r="A476" s="5" t="s">
        <v>1833</v>
      </c>
      <c r="B476" s="6" t="s">
        <v>1834</v>
      </c>
      <c r="C476" s="7">
        <v>46168</v>
      </c>
      <c r="D476" s="9" t="s">
        <v>500</v>
      </c>
      <c r="E476" s="4" t="s">
        <v>48</v>
      </c>
      <c r="F476" s="9" t="s">
        <v>242</v>
      </c>
      <c r="G476" s="9">
        <v>1</v>
      </c>
      <c r="H476" s="6" t="s">
        <v>1682</v>
      </c>
      <c r="I476" s="9" t="s">
        <v>258</v>
      </c>
    </row>
    <row r="477" spans="1:10">
      <c r="A477" s="5" t="s">
        <v>1835</v>
      </c>
      <c r="B477" s="6" t="s">
        <v>1834</v>
      </c>
      <c r="C477" s="7">
        <v>46168</v>
      </c>
      <c r="D477" s="9" t="s">
        <v>261</v>
      </c>
      <c r="E477" s="4" t="s">
        <v>64</v>
      </c>
      <c r="F477" s="9" t="s">
        <v>242</v>
      </c>
      <c r="G477" s="9">
        <v>4</v>
      </c>
      <c r="H477" s="6" t="s">
        <v>1682</v>
      </c>
      <c r="I477" s="9" t="s">
        <v>258</v>
      </c>
    </row>
    <row r="478" spans="1:10">
      <c r="A478" s="5" t="s">
        <v>1836</v>
      </c>
      <c r="B478" s="6" t="s">
        <v>1834</v>
      </c>
      <c r="C478" s="7">
        <v>46168</v>
      </c>
      <c r="D478" s="9" t="s">
        <v>270</v>
      </c>
      <c r="E478" s="4" t="s">
        <v>271</v>
      </c>
      <c r="F478" s="9" t="s">
        <v>242</v>
      </c>
      <c r="G478" s="9">
        <v>4</v>
      </c>
      <c r="H478" s="6" t="s">
        <v>1682</v>
      </c>
      <c r="I478" s="9" t="s">
        <v>258</v>
      </c>
    </row>
    <row r="479" spans="1:10">
      <c r="A479" s="5" t="s">
        <v>1837</v>
      </c>
      <c r="B479" s="6" t="s">
        <v>1838</v>
      </c>
      <c r="C479" s="7">
        <v>46168</v>
      </c>
      <c r="D479" s="9" t="s">
        <v>500</v>
      </c>
      <c r="E479" s="4" t="s">
        <v>48</v>
      </c>
      <c r="F479" s="9" t="s">
        <v>242</v>
      </c>
      <c r="G479" s="9">
        <v>1</v>
      </c>
      <c r="H479" s="6" t="s">
        <v>328</v>
      </c>
      <c r="I479" s="9" t="s">
        <v>258</v>
      </c>
    </row>
    <row r="480" spans="1:10">
      <c r="A480" s="5" t="s">
        <v>1839</v>
      </c>
      <c r="B480" s="6" t="s">
        <v>1838</v>
      </c>
      <c r="C480" s="7">
        <v>46168</v>
      </c>
      <c r="D480" s="9" t="s">
        <v>261</v>
      </c>
      <c r="E480" s="4" t="s">
        <v>64</v>
      </c>
      <c r="F480" s="9" t="s">
        <v>242</v>
      </c>
      <c r="G480" s="9">
        <v>3</v>
      </c>
      <c r="H480" s="6" t="s">
        <v>328</v>
      </c>
      <c r="I480" s="9" t="s">
        <v>258</v>
      </c>
    </row>
    <row r="481" spans="1:9">
      <c r="A481" s="5" t="s">
        <v>1840</v>
      </c>
      <c r="B481" s="6" t="s">
        <v>1838</v>
      </c>
      <c r="C481" s="7">
        <v>46168</v>
      </c>
      <c r="D481" s="9" t="s">
        <v>261</v>
      </c>
      <c r="E481" s="4" t="s">
        <v>65</v>
      </c>
      <c r="F481" s="9" t="s">
        <v>242</v>
      </c>
      <c r="G481" s="9">
        <v>1</v>
      </c>
      <c r="H481" s="6" t="s">
        <v>328</v>
      </c>
      <c r="I481" s="9" t="s">
        <v>258</v>
      </c>
    </row>
    <row r="482" spans="1:9">
      <c r="A482" s="5" t="s">
        <v>1841</v>
      </c>
      <c r="B482" s="6" t="s">
        <v>1838</v>
      </c>
      <c r="C482" s="7">
        <v>46168</v>
      </c>
      <c r="D482" s="9" t="s">
        <v>270</v>
      </c>
      <c r="E482" s="4" t="s">
        <v>271</v>
      </c>
      <c r="F482" s="9" t="s">
        <v>242</v>
      </c>
      <c r="G482" s="9">
        <v>6</v>
      </c>
      <c r="H482" s="6" t="s">
        <v>328</v>
      </c>
      <c r="I482" s="9" t="s">
        <v>258</v>
      </c>
    </row>
    <row r="483" spans="1:9">
      <c r="A483" s="5" t="s">
        <v>1842</v>
      </c>
      <c r="B483" s="6" t="s">
        <v>1843</v>
      </c>
      <c r="C483" s="7">
        <v>46168</v>
      </c>
      <c r="D483" s="9" t="s">
        <v>696</v>
      </c>
      <c r="E483" s="4" t="s">
        <v>86</v>
      </c>
      <c r="F483" s="9" t="s">
        <v>242</v>
      </c>
      <c r="G483" s="9">
        <v>40</v>
      </c>
      <c r="H483" s="6" t="s">
        <v>1844</v>
      </c>
      <c r="I483" s="9" t="s">
        <v>1280</v>
      </c>
    </row>
    <row r="484" spans="1:9">
      <c r="A484" s="5" t="s">
        <v>1845</v>
      </c>
      <c r="B484" s="6" t="s">
        <v>1843</v>
      </c>
      <c r="C484" s="7">
        <v>46168</v>
      </c>
      <c r="D484" s="9" t="s">
        <v>261</v>
      </c>
      <c r="E484" s="4" t="s">
        <v>62</v>
      </c>
      <c r="F484" s="9" t="s">
        <v>242</v>
      </c>
      <c r="G484" s="9">
        <v>4</v>
      </c>
      <c r="H484" s="6" t="s">
        <v>1844</v>
      </c>
      <c r="I484" s="9" t="s">
        <v>1280</v>
      </c>
    </row>
    <row r="485" spans="1:9">
      <c r="A485" s="5" t="s">
        <v>1846</v>
      </c>
      <c r="B485" s="6" t="s">
        <v>1847</v>
      </c>
      <c r="C485" s="7">
        <v>46168</v>
      </c>
      <c r="D485" s="9" t="s">
        <v>500</v>
      </c>
      <c r="E485" s="4" t="s">
        <v>51</v>
      </c>
      <c r="F485" s="9" t="s">
        <v>242</v>
      </c>
      <c r="G485" s="9">
        <v>1</v>
      </c>
      <c r="H485" s="6" t="s">
        <v>693</v>
      </c>
      <c r="I485" s="9" t="s">
        <v>514</v>
      </c>
    </row>
    <row r="486" spans="1:9">
      <c r="A486" s="5" t="s">
        <v>1848</v>
      </c>
      <c r="B486" s="6" t="s">
        <v>1847</v>
      </c>
      <c r="C486" s="7">
        <v>46168</v>
      </c>
      <c r="D486" s="9" t="s">
        <v>261</v>
      </c>
      <c r="E486" s="4" t="s">
        <v>64</v>
      </c>
      <c r="F486" s="9" t="s">
        <v>242</v>
      </c>
      <c r="G486" s="9">
        <v>2</v>
      </c>
      <c r="H486" s="6" t="s">
        <v>693</v>
      </c>
      <c r="I486" s="9" t="s">
        <v>514</v>
      </c>
    </row>
    <row r="487" spans="1:9">
      <c r="A487" s="5" t="s">
        <v>1849</v>
      </c>
      <c r="B487" s="6" t="s">
        <v>1847</v>
      </c>
      <c r="C487" s="7">
        <v>46168</v>
      </c>
      <c r="D487" s="9" t="s">
        <v>270</v>
      </c>
      <c r="E487" s="4" t="s">
        <v>271</v>
      </c>
      <c r="F487" s="9" t="s">
        <v>242</v>
      </c>
      <c r="G487" s="9">
        <v>2</v>
      </c>
      <c r="H487" s="6" t="s">
        <v>693</v>
      </c>
      <c r="I487" s="9" t="s">
        <v>514</v>
      </c>
    </row>
  </sheetData>
  <autoFilter ref="A6:M454" xr:uid="{B7411325-D959-40C5-9F01-09913600F1C6}"/>
  <mergeCells count="2">
    <mergeCell ref="A2:J2"/>
    <mergeCell ref="A3:B3"/>
  </mergeCells>
  <phoneticPr fontId="5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0D57D-70C2-4DAE-A0DA-13F62715C8D2}">
  <dimension ref="A2:M614"/>
  <sheetViews>
    <sheetView topLeftCell="A32" workbookViewId="0">
      <selection activeCell="A32" sqref="A1:A1048576"/>
    </sheetView>
  </sheetViews>
  <sheetFormatPr defaultColWidth="9.81640625" defaultRowHeight="17"/>
  <cols>
    <col min="1" max="1" width="7.81640625" style="10" customWidth="1"/>
    <col min="2" max="2" width="35.81640625" style="3" bestFit="1" customWidth="1"/>
    <col min="3" max="3" width="16.453125" style="10" customWidth="1"/>
    <col min="4" max="4" width="20.1796875" style="10" customWidth="1"/>
    <col min="5" max="5" width="27.453125" style="11" customWidth="1"/>
    <col min="6" max="7" width="10.54296875" style="10" customWidth="1"/>
    <col min="8" max="8" width="52.1796875" style="3" customWidth="1"/>
    <col min="9" max="9" width="8.7265625" style="10" customWidth="1"/>
    <col min="10" max="10" width="20" style="10" hidden="1" customWidth="1"/>
    <col min="11" max="16384" width="9.81640625" style="3"/>
  </cols>
  <sheetData>
    <row r="2" spans="1:13" s="31" customFormat="1" ht="35.15" customHeight="1">
      <c r="A2" s="96"/>
      <c r="B2" s="96"/>
      <c r="C2" s="96"/>
      <c r="D2" s="96"/>
      <c r="E2" s="96"/>
      <c r="F2" s="96"/>
      <c r="G2" s="96"/>
      <c r="H2" s="96"/>
      <c r="I2" s="96"/>
      <c r="J2" s="96"/>
      <c r="K2" s="30"/>
      <c r="L2" s="30"/>
      <c r="M2" s="30"/>
    </row>
    <row r="3" spans="1:13" s="31" customFormat="1" ht="23.15" customHeight="1">
      <c r="A3" s="97" t="s">
        <v>231</v>
      </c>
      <c r="B3" s="97"/>
      <c r="C3" s="32"/>
      <c r="D3" s="33"/>
      <c r="E3" s="32"/>
      <c r="F3" s="32"/>
      <c r="G3" s="32"/>
      <c r="H3" s="32"/>
      <c r="I3" s="32"/>
      <c r="J3" s="32"/>
      <c r="K3" s="32"/>
      <c r="L3" s="32"/>
      <c r="M3" s="34"/>
    </row>
    <row r="4" spans="1:13" ht="5.15" customHeight="1"/>
    <row r="5" spans="1:13">
      <c r="G5" s="10">
        <f>SUBTOTAL(3,G7:G933)</f>
        <v>606</v>
      </c>
    </row>
    <row r="6" spans="1:13" ht="25.5" customHeight="1">
      <c r="A6" s="1" t="s">
        <v>102</v>
      </c>
      <c r="B6" s="2" t="s">
        <v>103</v>
      </c>
      <c r="C6" s="1" t="s">
        <v>104</v>
      </c>
      <c r="D6" s="1" t="s">
        <v>105</v>
      </c>
      <c r="E6" s="2" t="s">
        <v>106</v>
      </c>
      <c r="F6" s="1" t="s">
        <v>107</v>
      </c>
      <c r="G6" s="1" t="s">
        <v>6</v>
      </c>
      <c r="H6" s="1" t="s">
        <v>108</v>
      </c>
      <c r="I6" s="1" t="s">
        <v>109</v>
      </c>
      <c r="J6" s="1" t="s">
        <v>110</v>
      </c>
    </row>
    <row r="7" spans="1:13">
      <c r="A7" s="5" t="s">
        <v>239</v>
      </c>
      <c r="B7" s="6" t="s">
        <v>1851</v>
      </c>
      <c r="C7" s="7">
        <v>46170</v>
      </c>
      <c r="D7" s="9" t="s">
        <v>241</v>
      </c>
      <c r="E7" s="8" t="s">
        <v>1152</v>
      </c>
      <c r="F7" s="9" t="s">
        <v>242</v>
      </c>
      <c r="G7" s="9">
        <v>1</v>
      </c>
      <c r="H7" s="6" t="s">
        <v>423</v>
      </c>
      <c r="I7" s="9" t="s">
        <v>258</v>
      </c>
      <c r="J7" s="9" t="s">
        <v>145</v>
      </c>
    </row>
    <row r="8" spans="1:13">
      <c r="A8" s="5" t="s">
        <v>245</v>
      </c>
      <c r="B8" s="6" t="s">
        <v>1851</v>
      </c>
      <c r="C8" s="7">
        <v>46170</v>
      </c>
      <c r="D8" s="9" t="s">
        <v>241</v>
      </c>
      <c r="E8" s="4" t="s">
        <v>27</v>
      </c>
      <c r="F8" s="9" t="s">
        <v>246</v>
      </c>
      <c r="G8" s="9">
        <v>1</v>
      </c>
      <c r="H8" s="6" t="s">
        <v>423</v>
      </c>
      <c r="I8" s="9" t="s">
        <v>258</v>
      </c>
      <c r="J8" s="9" t="s">
        <v>145</v>
      </c>
    </row>
    <row r="9" spans="1:13">
      <c r="A9" s="5" t="s">
        <v>247</v>
      </c>
      <c r="B9" s="6" t="s">
        <v>1851</v>
      </c>
      <c r="C9" s="7">
        <v>46170</v>
      </c>
      <c r="D9" s="9" t="s">
        <v>261</v>
      </c>
      <c r="E9" s="8" t="s">
        <v>281</v>
      </c>
      <c r="F9" s="9" t="s">
        <v>242</v>
      </c>
      <c r="G9" s="9">
        <v>2</v>
      </c>
      <c r="H9" s="6" t="s">
        <v>423</v>
      </c>
      <c r="I9" s="9" t="s">
        <v>258</v>
      </c>
      <c r="J9" s="9" t="s">
        <v>145</v>
      </c>
    </row>
    <row r="10" spans="1:13">
      <c r="A10" s="5" t="s">
        <v>250</v>
      </c>
      <c r="B10" s="6" t="s">
        <v>1852</v>
      </c>
      <c r="C10" s="7">
        <v>46170</v>
      </c>
      <c r="D10" s="9" t="s">
        <v>299</v>
      </c>
      <c r="E10" s="4" t="s">
        <v>22</v>
      </c>
      <c r="F10" s="9" t="s">
        <v>242</v>
      </c>
      <c r="G10" s="9">
        <v>1</v>
      </c>
      <c r="H10" s="6" t="s">
        <v>526</v>
      </c>
      <c r="I10" s="9" t="s">
        <v>605</v>
      </c>
      <c r="J10" s="9" t="s">
        <v>145</v>
      </c>
    </row>
    <row r="11" spans="1:13">
      <c r="A11" s="5" t="s">
        <v>251</v>
      </c>
      <c r="B11" s="6" t="s">
        <v>1852</v>
      </c>
      <c r="C11" s="7">
        <v>46170</v>
      </c>
      <c r="D11" s="9" t="s">
        <v>299</v>
      </c>
      <c r="E11" s="8" t="s">
        <v>22</v>
      </c>
      <c r="F11" s="9" t="s">
        <v>246</v>
      </c>
      <c r="G11" s="9">
        <v>1</v>
      </c>
      <c r="H11" s="6" t="s">
        <v>526</v>
      </c>
      <c r="I11" s="9" t="s">
        <v>605</v>
      </c>
      <c r="J11" s="9" t="s">
        <v>145</v>
      </c>
    </row>
    <row r="12" spans="1:13">
      <c r="A12" s="5" t="s">
        <v>254</v>
      </c>
      <c r="B12" s="6" t="s">
        <v>1853</v>
      </c>
      <c r="C12" s="7">
        <v>46174</v>
      </c>
      <c r="D12" s="9" t="s">
        <v>1</v>
      </c>
      <c r="E12" s="8" t="s">
        <v>16</v>
      </c>
      <c r="F12" s="9" t="s">
        <v>242</v>
      </c>
      <c r="G12" s="9">
        <v>1</v>
      </c>
      <c r="H12" s="6" t="s">
        <v>1854</v>
      </c>
      <c r="I12" s="9" t="s">
        <v>357</v>
      </c>
      <c r="J12" s="9" t="s">
        <v>145</v>
      </c>
    </row>
    <row r="13" spans="1:13">
      <c r="A13" s="5" t="s">
        <v>255</v>
      </c>
      <c r="B13" s="6" t="s">
        <v>1853</v>
      </c>
      <c r="C13" s="7">
        <v>46174</v>
      </c>
      <c r="D13" s="9" t="s">
        <v>1</v>
      </c>
      <c r="E13" s="8" t="s">
        <v>147</v>
      </c>
      <c r="F13" s="9" t="s">
        <v>246</v>
      </c>
      <c r="G13" s="9">
        <v>1</v>
      </c>
      <c r="H13" s="6" t="s">
        <v>1854</v>
      </c>
      <c r="I13" s="9" t="s">
        <v>357</v>
      </c>
      <c r="J13" s="9" t="s">
        <v>145</v>
      </c>
    </row>
    <row r="14" spans="1:13">
      <c r="A14" s="5" t="s">
        <v>259</v>
      </c>
      <c r="B14" s="6" t="s">
        <v>1853</v>
      </c>
      <c r="C14" s="7">
        <v>46174</v>
      </c>
      <c r="D14" s="9" t="s">
        <v>1024</v>
      </c>
      <c r="E14" s="8" t="s">
        <v>83</v>
      </c>
      <c r="F14" s="9" t="s">
        <v>242</v>
      </c>
      <c r="G14" s="9">
        <v>1</v>
      </c>
      <c r="H14" s="6" t="s">
        <v>1854</v>
      </c>
      <c r="I14" s="9" t="s">
        <v>357</v>
      </c>
      <c r="J14" s="9" t="s">
        <v>145</v>
      </c>
    </row>
    <row r="15" spans="1:13">
      <c r="A15" s="5" t="s">
        <v>260</v>
      </c>
      <c r="B15" s="6" t="s">
        <v>1853</v>
      </c>
      <c r="C15" s="7">
        <v>46174</v>
      </c>
      <c r="D15" s="9" t="s">
        <v>261</v>
      </c>
      <c r="E15" s="8" t="s">
        <v>64</v>
      </c>
      <c r="F15" s="9" t="s">
        <v>242</v>
      </c>
      <c r="G15" s="9">
        <v>4</v>
      </c>
      <c r="H15" s="6" t="s">
        <v>1854</v>
      </c>
      <c r="I15" s="9" t="s">
        <v>357</v>
      </c>
      <c r="J15" s="9" t="s">
        <v>145</v>
      </c>
    </row>
    <row r="16" spans="1:13">
      <c r="A16" s="5" t="s">
        <v>262</v>
      </c>
      <c r="B16" s="6" t="s">
        <v>1853</v>
      </c>
      <c r="C16" s="7">
        <v>46174</v>
      </c>
      <c r="D16" s="9" t="s">
        <v>270</v>
      </c>
      <c r="E16" s="8" t="s">
        <v>271</v>
      </c>
      <c r="F16" s="9" t="s">
        <v>242</v>
      </c>
      <c r="G16" s="9">
        <v>4</v>
      </c>
      <c r="H16" s="6" t="s">
        <v>1854</v>
      </c>
      <c r="I16" s="9" t="s">
        <v>357</v>
      </c>
      <c r="J16" s="9" t="s">
        <v>145</v>
      </c>
    </row>
    <row r="17" spans="1:10">
      <c r="A17" s="5" t="s">
        <v>267</v>
      </c>
      <c r="B17" s="6" t="s">
        <v>1853</v>
      </c>
      <c r="C17" s="7">
        <v>46174</v>
      </c>
      <c r="D17" s="9" t="s">
        <v>270</v>
      </c>
      <c r="E17" s="8" t="s">
        <v>663</v>
      </c>
      <c r="F17" s="9" t="s">
        <v>242</v>
      </c>
      <c r="G17" s="9">
        <v>1</v>
      </c>
      <c r="H17" s="6" t="s">
        <v>1854</v>
      </c>
      <c r="I17" s="9" t="s">
        <v>357</v>
      </c>
      <c r="J17" s="9" t="s">
        <v>145</v>
      </c>
    </row>
    <row r="18" spans="1:10">
      <c r="A18" s="5" t="s">
        <v>268</v>
      </c>
      <c r="B18" s="6" t="s">
        <v>1853</v>
      </c>
      <c r="C18" s="7">
        <v>46171</v>
      </c>
      <c r="D18" s="9" t="s">
        <v>299</v>
      </c>
      <c r="E18" s="8" t="s">
        <v>22</v>
      </c>
      <c r="F18" s="9" t="s">
        <v>242</v>
      </c>
      <c r="G18" s="9">
        <v>1</v>
      </c>
      <c r="H18" s="6" t="s">
        <v>954</v>
      </c>
      <c r="I18" s="9" t="s">
        <v>357</v>
      </c>
      <c r="J18" s="9" t="s">
        <v>145</v>
      </c>
    </row>
    <row r="19" spans="1:10">
      <c r="A19" s="5" t="s">
        <v>269</v>
      </c>
      <c r="B19" s="6" t="s">
        <v>1853</v>
      </c>
      <c r="C19" s="7">
        <v>46171</v>
      </c>
      <c r="D19" s="9" t="s">
        <v>299</v>
      </c>
      <c r="E19" s="8" t="s">
        <v>22</v>
      </c>
      <c r="F19" s="9" t="s">
        <v>246</v>
      </c>
      <c r="G19" s="9">
        <v>1</v>
      </c>
      <c r="H19" s="6" t="s">
        <v>954</v>
      </c>
      <c r="I19" s="9" t="s">
        <v>357</v>
      </c>
      <c r="J19" s="9" t="s">
        <v>145</v>
      </c>
    </row>
    <row r="20" spans="1:10">
      <c r="A20" s="5" t="s">
        <v>272</v>
      </c>
      <c r="B20" s="6" t="s">
        <v>1855</v>
      </c>
      <c r="C20" s="7">
        <v>46174</v>
      </c>
      <c r="D20" s="9" t="s">
        <v>241</v>
      </c>
      <c r="E20" s="4" t="s">
        <v>1152</v>
      </c>
      <c r="F20" s="9" t="s">
        <v>242</v>
      </c>
      <c r="G20" s="9">
        <v>1</v>
      </c>
      <c r="H20" s="6" t="s">
        <v>931</v>
      </c>
      <c r="I20" s="9" t="s">
        <v>357</v>
      </c>
      <c r="J20" s="9" t="s">
        <v>145</v>
      </c>
    </row>
    <row r="21" spans="1:10">
      <c r="A21" s="5" t="s">
        <v>276</v>
      </c>
      <c r="B21" s="6" t="s">
        <v>1855</v>
      </c>
      <c r="C21" s="7">
        <v>46174</v>
      </c>
      <c r="D21" s="9" t="s">
        <v>241</v>
      </c>
      <c r="E21" s="8" t="s">
        <v>29</v>
      </c>
      <c r="F21" s="9" t="s">
        <v>246</v>
      </c>
      <c r="G21" s="9">
        <v>1</v>
      </c>
      <c r="H21" s="6" t="s">
        <v>931</v>
      </c>
      <c r="I21" s="9" t="s">
        <v>357</v>
      </c>
      <c r="J21" s="9" t="s">
        <v>145</v>
      </c>
    </row>
    <row r="22" spans="1:10">
      <c r="A22" s="5" t="s">
        <v>277</v>
      </c>
      <c r="B22" s="6" t="s">
        <v>1855</v>
      </c>
      <c r="C22" s="7">
        <v>46174</v>
      </c>
      <c r="D22" s="9" t="s">
        <v>261</v>
      </c>
      <c r="E22" s="8" t="s">
        <v>281</v>
      </c>
      <c r="F22" s="9" t="s">
        <v>242</v>
      </c>
      <c r="G22" s="9">
        <v>2</v>
      </c>
      <c r="H22" s="6" t="s">
        <v>931</v>
      </c>
      <c r="I22" s="9" t="s">
        <v>357</v>
      </c>
      <c r="J22" s="9" t="s">
        <v>145</v>
      </c>
    </row>
    <row r="23" spans="1:10">
      <c r="A23" s="5" t="s">
        <v>279</v>
      </c>
      <c r="B23" s="6" t="s">
        <v>1856</v>
      </c>
      <c r="C23" s="7">
        <v>46171</v>
      </c>
      <c r="D23" s="9" t="s">
        <v>241</v>
      </c>
      <c r="E23" s="8" t="s">
        <v>1152</v>
      </c>
      <c r="F23" s="9" t="s">
        <v>242</v>
      </c>
      <c r="G23" s="9">
        <v>1</v>
      </c>
      <c r="H23" s="6" t="s">
        <v>243</v>
      </c>
      <c r="I23" s="9" t="s">
        <v>363</v>
      </c>
      <c r="J23" s="9" t="s">
        <v>145</v>
      </c>
    </row>
    <row r="24" spans="1:10">
      <c r="A24" s="5" t="s">
        <v>280</v>
      </c>
      <c r="B24" s="6" t="s">
        <v>1856</v>
      </c>
      <c r="C24" s="7">
        <v>46171</v>
      </c>
      <c r="D24" s="9" t="s">
        <v>241</v>
      </c>
      <c r="E24" s="8" t="s">
        <v>27</v>
      </c>
      <c r="F24" s="9" t="s">
        <v>246</v>
      </c>
      <c r="G24" s="9">
        <v>1</v>
      </c>
      <c r="H24" s="6" t="s">
        <v>243</v>
      </c>
      <c r="I24" s="9" t="s">
        <v>363</v>
      </c>
      <c r="J24" s="9" t="s">
        <v>145</v>
      </c>
    </row>
    <row r="25" spans="1:10">
      <c r="A25" s="5" t="s">
        <v>282</v>
      </c>
      <c r="B25" s="6" t="s">
        <v>1857</v>
      </c>
      <c r="C25" s="7">
        <v>46171</v>
      </c>
      <c r="D25" s="9" t="s">
        <v>299</v>
      </c>
      <c r="E25" s="8" t="s">
        <v>376</v>
      </c>
      <c r="F25" s="9" t="s">
        <v>242</v>
      </c>
      <c r="G25" s="9">
        <v>1</v>
      </c>
      <c r="H25" s="6" t="s">
        <v>328</v>
      </c>
      <c r="I25" s="9" t="s">
        <v>363</v>
      </c>
      <c r="J25" s="9" t="s">
        <v>145</v>
      </c>
    </row>
    <row r="26" spans="1:10">
      <c r="A26" s="5" t="s">
        <v>285</v>
      </c>
      <c r="B26" s="6" t="s">
        <v>1857</v>
      </c>
      <c r="C26" s="7">
        <v>46171</v>
      </c>
      <c r="D26" s="9" t="s">
        <v>299</v>
      </c>
      <c r="E26" s="4" t="s">
        <v>376</v>
      </c>
      <c r="F26" s="9" t="s">
        <v>246</v>
      </c>
      <c r="G26" s="9">
        <v>1</v>
      </c>
      <c r="H26" s="6" t="s">
        <v>328</v>
      </c>
      <c r="I26" s="9" t="s">
        <v>363</v>
      </c>
      <c r="J26" s="9" t="s">
        <v>145</v>
      </c>
    </row>
    <row r="27" spans="1:10">
      <c r="A27" s="5" t="s">
        <v>286</v>
      </c>
      <c r="B27" s="6" t="s">
        <v>1858</v>
      </c>
      <c r="C27" s="7">
        <v>46174</v>
      </c>
      <c r="D27" s="9" t="s">
        <v>241</v>
      </c>
      <c r="E27" s="8" t="s">
        <v>28</v>
      </c>
      <c r="F27" s="9" t="s">
        <v>242</v>
      </c>
      <c r="G27" s="9">
        <v>1</v>
      </c>
      <c r="H27" s="6" t="s">
        <v>243</v>
      </c>
      <c r="I27" s="9" t="s">
        <v>616</v>
      </c>
      <c r="J27" s="9" t="s">
        <v>145</v>
      </c>
    </row>
    <row r="28" spans="1:10">
      <c r="A28" s="5" t="s">
        <v>287</v>
      </c>
      <c r="B28" s="6" t="s">
        <v>1858</v>
      </c>
      <c r="C28" s="7">
        <v>46174</v>
      </c>
      <c r="D28" s="9" t="s">
        <v>241</v>
      </c>
      <c r="E28" s="8" t="s">
        <v>27</v>
      </c>
      <c r="F28" s="9" t="s">
        <v>246</v>
      </c>
      <c r="G28" s="9">
        <v>1</v>
      </c>
      <c r="H28" s="6" t="s">
        <v>243</v>
      </c>
      <c r="I28" s="9" t="s">
        <v>616</v>
      </c>
      <c r="J28" s="9" t="s">
        <v>145</v>
      </c>
    </row>
    <row r="29" spans="1:10">
      <c r="A29" s="5" t="s">
        <v>290</v>
      </c>
      <c r="B29" s="6" t="s">
        <v>1858</v>
      </c>
      <c r="C29" s="7">
        <v>46174</v>
      </c>
      <c r="D29" s="9" t="s">
        <v>261</v>
      </c>
      <c r="E29" s="8" t="s">
        <v>281</v>
      </c>
      <c r="F29" s="9" t="s">
        <v>242</v>
      </c>
      <c r="G29" s="9">
        <v>2</v>
      </c>
      <c r="H29" s="6" t="s">
        <v>243</v>
      </c>
      <c r="I29" s="9" t="s">
        <v>616</v>
      </c>
      <c r="J29" s="9" t="s">
        <v>145</v>
      </c>
    </row>
    <row r="30" spans="1:10">
      <c r="A30" s="5" t="s">
        <v>291</v>
      </c>
      <c r="B30" s="6" t="s">
        <v>1859</v>
      </c>
      <c r="C30" s="7">
        <v>46174</v>
      </c>
      <c r="D30" s="9" t="s">
        <v>264</v>
      </c>
      <c r="E30" s="4" t="s">
        <v>35</v>
      </c>
      <c r="F30" s="9" t="s">
        <v>242</v>
      </c>
      <c r="G30" s="9">
        <v>1</v>
      </c>
      <c r="H30" s="6" t="s">
        <v>1860</v>
      </c>
      <c r="I30" s="9" t="s">
        <v>253</v>
      </c>
      <c r="J30" s="9" t="s">
        <v>145</v>
      </c>
    </row>
    <row r="31" spans="1:10">
      <c r="A31" s="5" t="s">
        <v>293</v>
      </c>
      <c r="B31" s="6" t="s">
        <v>1859</v>
      </c>
      <c r="C31" s="7">
        <v>46174</v>
      </c>
      <c r="D31" s="9" t="s">
        <v>264</v>
      </c>
      <c r="E31" s="8" t="s">
        <v>35</v>
      </c>
      <c r="F31" s="9" t="s">
        <v>246</v>
      </c>
      <c r="G31" s="9">
        <v>1</v>
      </c>
      <c r="H31" s="6" t="s">
        <v>1860</v>
      </c>
      <c r="I31" s="9" t="s">
        <v>253</v>
      </c>
      <c r="J31" s="9" t="s">
        <v>145</v>
      </c>
    </row>
    <row r="32" spans="1:10">
      <c r="A32" s="5" t="s">
        <v>294</v>
      </c>
      <c r="B32" s="6" t="s">
        <v>1211</v>
      </c>
      <c r="C32" s="7">
        <v>46174</v>
      </c>
      <c r="D32" s="9" t="s">
        <v>665</v>
      </c>
      <c r="E32" s="8" t="s">
        <v>666</v>
      </c>
      <c r="F32" s="9" t="s">
        <v>242</v>
      </c>
      <c r="G32" s="9">
        <v>1</v>
      </c>
      <c r="H32" s="6" t="s">
        <v>1861</v>
      </c>
      <c r="I32" s="9" t="s">
        <v>253</v>
      </c>
      <c r="J32" s="9" t="s">
        <v>145</v>
      </c>
    </row>
    <row r="33" spans="1:10">
      <c r="A33" s="5" t="s">
        <v>296</v>
      </c>
      <c r="B33" s="6" t="s">
        <v>1211</v>
      </c>
      <c r="C33" s="7">
        <v>46174</v>
      </c>
      <c r="D33" s="9" t="s">
        <v>665</v>
      </c>
      <c r="E33" s="8" t="s">
        <v>666</v>
      </c>
      <c r="F33" s="9" t="s">
        <v>246</v>
      </c>
      <c r="G33" s="9">
        <v>1</v>
      </c>
      <c r="H33" s="6" t="s">
        <v>1861</v>
      </c>
      <c r="I33" s="9" t="s">
        <v>253</v>
      </c>
      <c r="J33" s="9" t="s">
        <v>145</v>
      </c>
    </row>
    <row r="34" spans="1:10">
      <c r="A34" s="5" t="s">
        <v>297</v>
      </c>
      <c r="B34" s="6" t="s">
        <v>1211</v>
      </c>
      <c r="C34" s="7">
        <v>46174</v>
      </c>
      <c r="D34" s="9" t="s">
        <v>261</v>
      </c>
      <c r="E34" s="8" t="s">
        <v>63</v>
      </c>
      <c r="F34" s="9" t="s">
        <v>242</v>
      </c>
      <c r="G34" s="9">
        <v>1</v>
      </c>
      <c r="H34" s="6" t="s">
        <v>1861</v>
      </c>
      <c r="I34" s="9" t="s">
        <v>253</v>
      </c>
      <c r="J34" s="9" t="s">
        <v>145</v>
      </c>
    </row>
    <row r="35" spans="1:10">
      <c r="A35" s="5" t="s">
        <v>300</v>
      </c>
      <c r="B35" s="6" t="s">
        <v>1211</v>
      </c>
      <c r="C35" s="7">
        <v>46174</v>
      </c>
      <c r="D35" s="9" t="s">
        <v>270</v>
      </c>
      <c r="E35" s="8" t="s">
        <v>271</v>
      </c>
      <c r="F35" s="9" t="s">
        <v>242</v>
      </c>
      <c r="G35" s="9">
        <v>1</v>
      </c>
      <c r="H35" s="6" t="s">
        <v>1861</v>
      </c>
      <c r="I35" s="9" t="s">
        <v>253</v>
      </c>
      <c r="J35" s="9" t="s">
        <v>145</v>
      </c>
    </row>
    <row r="36" spans="1:10">
      <c r="A36" s="5" t="s">
        <v>301</v>
      </c>
      <c r="B36" s="6" t="s">
        <v>1211</v>
      </c>
      <c r="C36" s="7">
        <v>46174</v>
      </c>
      <c r="D36" s="9" t="s">
        <v>503</v>
      </c>
      <c r="E36" s="8" t="s">
        <v>75</v>
      </c>
      <c r="F36" s="9" t="s">
        <v>242</v>
      </c>
      <c r="G36" s="9">
        <v>2</v>
      </c>
      <c r="H36" s="6" t="s">
        <v>1861</v>
      </c>
      <c r="I36" s="9" t="s">
        <v>253</v>
      </c>
      <c r="J36" s="9" t="s">
        <v>145</v>
      </c>
    </row>
    <row r="37" spans="1:10">
      <c r="A37" s="5" t="s">
        <v>302</v>
      </c>
      <c r="B37" s="6" t="s">
        <v>1211</v>
      </c>
      <c r="C37" s="7">
        <v>46174</v>
      </c>
      <c r="D37" s="9" t="s">
        <v>503</v>
      </c>
      <c r="E37" s="8" t="s">
        <v>1429</v>
      </c>
      <c r="F37" s="9" t="s">
        <v>242</v>
      </c>
      <c r="G37" s="9">
        <v>10</v>
      </c>
      <c r="H37" s="6" t="s">
        <v>1861</v>
      </c>
      <c r="I37" s="9" t="s">
        <v>253</v>
      </c>
      <c r="J37" s="9" t="s">
        <v>145</v>
      </c>
    </row>
    <row r="38" spans="1:10">
      <c r="A38" s="5" t="s">
        <v>303</v>
      </c>
      <c r="B38" s="6" t="s">
        <v>1862</v>
      </c>
      <c r="C38" s="7">
        <v>46174</v>
      </c>
      <c r="D38" s="9" t="s">
        <v>241</v>
      </c>
      <c r="E38" s="8" t="s">
        <v>1152</v>
      </c>
      <c r="F38" s="9" t="s">
        <v>242</v>
      </c>
      <c r="G38" s="9">
        <v>1</v>
      </c>
      <c r="H38" s="6" t="s">
        <v>243</v>
      </c>
      <c r="I38" s="9" t="s">
        <v>1546</v>
      </c>
      <c r="J38" s="9" t="s">
        <v>145</v>
      </c>
    </row>
    <row r="39" spans="1:10">
      <c r="A39" s="5" t="s">
        <v>305</v>
      </c>
      <c r="B39" s="6" t="s">
        <v>1862</v>
      </c>
      <c r="C39" s="7">
        <v>46174</v>
      </c>
      <c r="D39" s="9" t="s">
        <v>241</v>
      </c>
      <c r="E39" s="8" t="s">
        <v>27</v>
      </c>
      <c r="F39" s="9" t="s">
        <v>246</v>
      </c>
      <c r="G39" s="9">
        <v>1</v>
      </c>
      <c r="H39" s="6" t="s">
        <v>243</v>
      </c>
      <c r="I39" s="9" t="s">
        <v>1546</v>
      </c>
      <c r="J39" s="9" t="s">
        <v>145</v>
      </c>
    </row>
    <row r="40" spans="1:10">
      <c r="A40" s="5" t="s">
        <v>306</v>
      </c>
      <c r="B40" s="6" t="s">
        <v>1862</v>
      </c>
      <c r="C40" s="7">
        <v>46174</v>
      </c>
      <c r="D40" s="9" t="s">
        <v>261</v>
      </c>
      <c r="E40" s="8" t="s">
        <v>281</v>
      </c>
      <c r="F40" s="9" t="s">
        <v>242</v>
      </c>
      <c r="G40" s="9">
        <v>2</v>
      </c>
      <c r="H40" s="6" t="s">
        <v>243</v>
      </c>
      <c r="I40" s="9" t="s">
        <v>1546</v>
      </c>
      <c r="J40" s="9" t="s">
        <v>145</v>
      </c>
    </row>
    <row r="41" spans="1:10">
      <c r="A41" s="5" t="s">
        <v>307</v>
      </c>
      <c r="B41" s="6" t="s">
        <v>1863</v>
      </c>
      <c r="C41" s="7">
        <v>46174</v>
      </c>
      <c r="D41" s="9" t="s">
        <v>241</v>
      </c>
      <c r="E41" s="8" t="s">
        <v>1152</v>
      </c>
      <c r="F41" s="9" t="s">
        <v>242</v>
      </c>
      <c r="G41" s="9">
        <v>1</v>
      </c>
      <c r="H41" s="6" t="s">
        <v>310</v>
      </c>
      <c r="I41" s="9" t="s">
        <v>605</v>
      </c>
      <c r="J41" s="9" t="s">
        <v>145</v>
      </c>
    </row>
    <row r="42" spans="1:10">
      <c r="A42" s="5" t="s">
        <v>308</v>
      </c>
      <c r="B42" s="6" t="s">
        <v>1863</v>
      </c>
      <c r="C42" s="7">
        <v>46174</v>
      </c>
      <c r="D42" s="9" t="s">
        <v>241</v>
      </c>
      <c r="E42" s="8" t="s">
        <v>29</v>
      </c>
      <c r="F42" s="9" t="s">
        <v>246</v>
      </c>
      <c r="G42" s="9">
        <v>1</v>
      </c>
      <c r="H42" s="6" t="s">
        <v>310</v>
      </c>
      <c r="I42" s="9" t="s">
        <v>605</v>
      </c>
      <c r="J42" s="9" t="s">
        <v>145</v>
      </c>
    </row>
    <row r="43" spans="1:10">
      <c r="A43" s="5" t="s">
        <v>312</v>
      </c>
      <c r="B43" s="6" t="s">
        <v>1864</v>
      </c>
      <c r="C43" s="7">
        <v>46174</v>
      </c>
      <c r="D43" s="9" t="s">
        <v>241</v>
      </c>
      <c r="E43" s="8" t="s">
        <v>1152</v>
      </c>
      <c r="F43" s="9" t="s">
        <v>242</v>
      </c>
      <c r="G43" s="9">
        <v>1</v>
      </c>
      <c r="H43" s="6" t="s">
        <v>1865</v>
      </c>
      <c r="I43" s="9" t="s">
        <v>616</v>
      </c>
      <c r="J43" s="9" t="s">
        <v>145</v>
      </c>
    </row>
    <row r="44" spans="1:10">
      <c r="A44" s="5" t="s">
        <v>313</v>
      </c>
      <c r="B44" s="6" t="s">
        <v>1864</v>
      </c>
      <c r="C44" s="7">
        <v>46174</v>
      </c>
      <c r="D44" s="9" t="s">
        <v>241</v>
      </c>
      <c r="E44" s="8" t="s">
        <v>29</v>
      </c>
      <c r="F44" s="9" t="s">
        <v>246</v>
      </c>
      <c r="G44" s="9">
        <v>1</v>
      </c>
      <c r="H44" s="6" t="s">
        <v>1865</v>
      </c>
      <c r="I44" s="9" t="s">
        <v>616</v>
      </c>
      <c r="J44" s="9" t="s">
        <v>145</v>
      </c>
    </row>
    <row r="45" spans="1:10">
      <c r="A45" s="5" t="s">
        <v>314</v>
      </c>
      <c r="B45" s="6" t="s">
        <v>1866</v>
      </c>
      <c r="C45" s="7">
        <v>46174</v>
      </c>
      <c r="D45" s="9" t="s">
        <v>241</v>
      </c>
      <c r="E45" s="8" t="s">
        <v>1152</v>
      </c>
      <c r="F45" s="9" t="s">
        <v>242</v>
      </c>
      <c r="G45" s="9">
        <v>1</v>
      </c>
      <c r="H45" s="6" t="s">
        <v>310</v>
      </c>
      <c r="I45" s="9" t="s">
        <v>388</v>
      </c>
      <c r="J45" s="9" t="s">
        <v>145</v>
      </c>
    </row>
    <row r="46" spans="1:10">
      <c r="A46" s="5" t="s">
        <v>317</v>
      </c>
      <c r="B46" s="6" t="s">
        <v>1866</v>
      </c>
      <c r="C46" s="7">
        <v>46174</v>
      </c>
      <c r="D46" s="9" t="s">
        <v>241</v>
      </c>
      <c r="E46" s="8" t="s">
        <v>29</v>
      </c>
      <c r="F46" s="9" t="s">
        <v>246</v>
      </c>
      <c r="G46" s="9">
        <v>1</v>
      </c>
      <c r="H46" s="6" t="s">
        <v>310</v>
      </c>
      <c r="I46" s="9" t="s">
        <v>388</v>
      </c>
      <c r="J46" s="9" t="s">
        <v>145</v>
      </c>
    </row>
    <row r="47" spans="1:10">
      <c r="A47" s="5" t="s">
        <v>318</v>
      </c>
      <c r="B47" s="6" t="s">
        <v>1867</v>
      </c>
      <c r="C47" s="7">
        <v>46174</v>
      </c>
      <c r="D47" s="9" t="s">
        <v>241</v>
      </c>
      <c r="E47" s="8" t="s">
        <v>1152</v>
      </c>
      <c r="F47" s="9" t="s">
        <v>242</v>
      </c>
      <c r="G47" s="9">
        <v>1</v>
      </c>
      <c r="H47" s="6" t="s">
        <v>931</v>
      </c>
      <c r="I47" s="9" t="s">
        <v>628</v>
      </c>
      <c r="J47" s="9" t="s">
        <v>145</v>
      </c>
    </row>
    <row r="48" spans="1:10">
      <c r="A48" s="5" t="s">
        <v>321</v>
      </c>
      <c r="B48" s="6" t="s">
        <v>1867</v>
      </c>
      <c r="C48" s="7">
        <v>46174</v>
      </c>
      <c r="D48" s="9" t="s">
        <v>241</v>
      </c>
      <c r="E48" s="4" t="s">
        <v>29</v>
      </c>
      <c r="F48" s="9" t="s">
        <v>246</v>
      </c>
      <c r="G48" s="9">
        <v>1</v>
      </c>
      <c r="H48" s="6" t="s">
        <v>931</v>
      </c>
      <c r="I48" s="9" t="s">
        <v>628</v>
      </c>
      <c r="J48" s="9" t="s">
        <v>145</v>
      </c>
    </row>
    <row r="49" spans="1:10">
      <c r="A49" s="5" t="s">
        <v>322</v>
      </c>
      <c r="B49" s="6" t="s">
        <v>1867</v>
      </c>
      <c r="C49" s="7">
        <v>46174</v>
      </c>
      <c r="D49" s="9" t="s">
        <v>261</v>
      </c>
      <c r="E49" s="4" t="s">
        <v>281</v>
      </c>
      <c r="F49" s="9" t="s">
        <v>242</v>
      </c>
      <c r="G49" s="9">
        <v>3</v>
      </c>
      <c r="H49" s="6" t="s">
        <v>931</v>
      </c>
      <c r="I49" s="9" t="s">
        <v>628</v>
      </c>
      <c r="J49" s="9" t="s">
        <v>145</v>
      </c>
    </row>
    <row r="50" spans="1:10">
      <c r="A50" s="5" t="s">
        <v>324</v>
      </c>
      <c r="B50" s="6" t="s">
        <v>1868</v>
      </c>
      <c r="C50" s="7">
        <v>46174</v>
      </c>
      <c r="D50" s="9" t="s">
        <v>241</v>
      </c>
      <c r="E50" s="8" t="s">
        <v>28</v>
      </c>
      <c r="F50" s="9" t="s">
        <v>242</v>
      </c>
      <c r="G50" s="9">
        <v>1</v>
      </c>
      <c r="H50" s="6" t="s">
        <v>931</v>
      </c>
      <c r="I50" s="9" t="s">
        <v>1601</v>
      </c>
      <c r="J50" s="9" t="s">
        <v>145</v>
      </c>
    </row>
    <row r="51" spans="1:10">
      <c r="A51" s="5" t="s">
        <v>325</v>
      </c>
      <c r="B51" s="6" t="s">
        <v>1868</v>
      </c>
      <c r="C51" s="7">
        <v>46174</v>
      </c>
      <c r="D51" s="9" t="s">
        <v>241</v>
      </c>
      <c r="E51" s="8" t="s">
        <v>29</v>
      </c>
      <c r="F51" s="9" t="s">
        <v>246</v>
      </c>
      <c r="G51" s="9">
        <v>1</v>
      </c>
      <c r="H51" s="6" t="s">
        <v>931</v>
      </c>
      <c r="I51" s="9" t="s">
        <v>1601</v>
      </c>
      <c r="J51" s="9" t="s">
        <v>145</v>
      </c>
    </row>
    <row r="52" spans="1:10">
      <c r="A52" s="5" t="s">
        <v>326</v>
      </c>
      <c r="B52" s="6" t="s">
        <v>1869</v>
      </c>
      <c r="C52" s="7">
        <v>46174</v>
      </c>
      <c r="D52" s="9" t="s">
        <v>241</v>
      </c>
      <c r="E52" s="8" t="s">
        <v>1152</v>
      </c>
      <c r="F52" s="9" t="s">
        <v>242</v>
      </c>
      <c r="G52" s="9">
        <v>1</v>
      </c>
      <c r="H52" s="6" t="s">
        <v>328</v>
      </c>
      <c r="I52" s="9" t="s">
        <v>258</v>
      </c>
      <c r="J52" s="9" t="s">
        <v>145</v>
      </c>
    </row>
    <row r="53" spans="1:10">
      <c r="A53" s="5" t="s">
        <v>330</v>
      </c>
      <c r="B53" s="6" t="s">
        <v>1869</v>
      </c>
      <c r="C53" s="7">
        <v>46174</v>
      </c>
      <c r="D53" s="9" t="s">
        <v>241</v>
      </c>
      <c r="E53" s="4" t="s">
        <v>29</v>
      </c>
      <c r="F53" s="9" t="s">
        <v>246</v>
      </c>
      <c r="G53" s="9">
        <v>1</v>
      </c>
      <c r="H53" s="6" t="s">
        <v>328</v>
      </c>
      <c r="I53" s="9" t="s">
        <v>258</v>
      </c>
      <c r="J53" s="9" t="s">
        <v>145</v>
      </c>
    </row>
    <row r="54" spans="1:10">
      <c r="A54" s="5" t="s">
        <v>331</v>
      </c>
      <c r="B54" s="6" t="s">
        <v>1870</v>
      </c>
      <c r="C54" s="7">
        <v>46175</v>
      </c>
      <c r="D54" s="9" t="s">
        <v>241</v>
      </c>
      <c r="E54" s="8" t="s">
        <v>1152</v>
      </c>
      <c r="F54" s="9" t="s">
        <v>242</v>
      </c>
      <c r="G54" s="9">
        <v>1</v>
      </c>
      <c r="H54" s="6" t="s">
        <v>931</v>
      </c>
      <c r="I54" s="9" t="s">
        <v>609</v>
      </c>
      <c r="J54" s="9" t="s">
        <v>145</v>
      </c>
    </row>
    <row r="55" spans="1:10">
      <c r="A55" s="5" t="s">
        <v>332</v>
      </c>
      <c r="B55" s="6" t="s">
        <v>1870</v>
      </c>
      <c r="C55" s="7">
        <v>46175</v>
      </c>
      <c r="D55" s="9" t="s">
        <v>241</v>
      </c>
      <c r="E55" s="4" t="s">
        <v>29</v>
      </c>
      <c r="F55" s="9" t="s">
        <v>246</v>
      </c>
      <c r="G55" s="9">
        <v>1</v>
      </c>
      <c r="H55" s="6" t="s">
        <v>931</v>
      </c>
      <c r="I55" s="9" t="s">
        <v>609</v>
      </c>
      <c r="J55" s="9" t="s">
        <v>145</v>
      </c>
    </row>
    <row r="56" spans="1:10">
      <c r="A56" s="5" t="s">
        <v>334</v>
      </c>
      <c r="B56" s="6" t="s">
        <v>1870</v>
      </c>
      <c r="C56" s="7">
        <v>46175</v>
      </c>
      <c r="D56" s="9" t="s">
        <v>261</v>
      </c>
      <c r="E56" s="8" t="s">
        <v>281</v>
      </c>
      <c r="F56" s="9" t="s">
        <v>242</v>
      </c>
      <c r="G56" s="9">
        <v>4</v>
      </c>
      <c r="H56" s="6" t="s">
        <v>931</v>
      </c>
      <c r="I56" s="9" t="s">
        <v>609</v>
      </c>
      <c r="J56" s="9" t="s">
        <v>145</v>
      </c>
    </row>
    <row r="57" spans="1:10">
      <c r="A57" s="5" t="s">
        <v>335</v>
      </c>
      <c r="B57" s="6" t="s">
        <v>1871</v>
      </c>
      <c r="C57" s="7">
        <v>46175</v>
      </c>
      <c r="D57" s="9" t="s">
        <v>1</v>
      </c>
      <c r="E57" s="4" t="s">
        <v>16</v>
      </c>
      <c r="F57" s="9" t="s">
        <v>242</v>
      </c>
      <c r="G57" s="9">
        <v>1</v>
      </c>
      <c r="H57" s="6" t="s">
        <v>1872</v>
      </c>
      <c r="I57" s="9" t="s">
        <v>415</v>
      </c>
      <c r="J57" s="9" t="s">
        <v>145</v>
      </c>
    </row>
    <row r="58" spans="1:10">
      <c r="A58" s="5" t="s">
        <v>338</v>
      </c>
      <c r="B58" s="6" t="s">
        <v>1871</v>
      </c>
      <c r="C58" s="7">
        <v>46175</v>
      </c>
      <c r="D58" s="9" t="s">
        <v>1</v>
      </c>
      <c r="E58" s="8" t="s">
        <v>147</v>
      </c>
      <c r="F58" s="9" t="s">
        <v>246</v>
      </c>
      <c r="G58" s="9">
        <v>1</v>
      </c>
      <c r="H58" s="6" t="s">
        <v>1872</v>
      </c>
      <c r="I58" s="9" t="s">
        <v>415</v>
      </c>
      <c r="J58" s="9" t="s">
        <v>145</v>
      </c>
    </row>
    <row r="59" spans="1:10">
      <c r="A59" s="5" t="s">
        <v>339</v>
      </c>
      <c r="B59" s="6" t="s">
        <v>1871</v>
      </c>
      <c r="C59" s="7">
        <v>46175</v>
      </c>
      <c r="D59" s="9" t="s">
        <v>500</v>
      </c>
      <c r="E59" s="8" t="s">
        <v>3</v>
      </c>
      <c r="F59" s="9" t="s">
        <v>242</v>
      </c>
      <c r="G59" s="9">
        <v>1</v>
      </c>
      <c r="H59" s="6" t="s">
        <v>1872</v>
      </c>
      <c r="I59" s="9" t="s">
        <v>415</v>
      </c>
      <c r="J59" s="9" t="s">
        <v>145</v>
      </c>
    </row>
    <row r="60" spans="1:10">
      <c r="A60" s="5" t="s">
        <v>342</v>
      </c>
      <c r="B60" s="6" t="s">
        <v>1871</v>
      </c>
      <c r="C60" s="7">
        <v>46175</v>
      </c>
      <c r="D60" s="9" t="s">
        <v>696</v>
      </c>
      <c r="E60" s="8" t="s">
        <v>843</v>
      </c>
      <c r="F60" s="9" t="s">
        <v>242</v>
      </c>
      <c r="G60" s="9">
        <v>80</v>
      </c>
      <c r="H60" s="6" t="s">
        <v>1872</v>
      </c>
      <c r="I60" s="9" t="s">
        <v>415</v>
      </c>
      <c r="J60" s="9" t="s">
        <v>145</v>
      </c>
    </row>
    <row r="61" spans="1:10">
      <c r="A61" s="5" t="s">
        <v>343</v>
      </c>
      <c r="B61" s="6" t="s">
        <v>1871</v>
      </c>
      <c r="C61" s="7">
        <v>46175</v>
      </c>
      <c r="D61" s="9" t="s">
        <v>261</v>
      </c>
      <c r="E61" s="8" t="s">
        <v>63</v>
      </c>
      <c r="F61" s="9" t="s">
        <v>242</v>
      </c>
      <c r="G61" s="9">
        <v>3</v>
      </c>
      <c r="H61" s="6" t="s">
        <v>1872</v>
      </c>
      <c r="I61" s="9" t="s">
        <v>415</v>
      </c>
      <c r="J61" s="9" t="s">
        <v>145</v>
      </c>
    </row>
    <row r="62" spans="1:10">
      <c r="A62" s="5" t="s">
        <v>345</v>
      </c>
      <c r="B62" s="6" t="s">
        <v>1871</v>
      </c>
      <c r="C62" s="7">
        <v>46175</v>
      </c>
      <c r="D62" s="9" t="s">
        <v>270</v>
      </c>
      <c r="E62" s="8" t="s">
        <v>271</v>
      </c>
      <c r="F62" s="9" t="s">
        <v>242</v>
      </c>
      <c r="G62" s="9">
        <v>7</v>
      </c>
      <c r="H62" s="6" t="s">
        <v>1872</v>
      </c>
      <c r="I62" s="9" t="s">
        <v>415</v>
      </c>
      <c r="J62" s="9" t="s">
        <v>145</v>
      </c>
    </row>
    <row r="63" spans="1:10">
      <c r="A63" s="5" t="s">
        <v>346</v>
      </c>
      <c r="B63" s="6" t="s">
        <v>1871</v>
      </c>
      <c r="C63" s="7">
        <v>46175</v>
      </c>
      <c r="D63" s="9" t="s">
        <v>270</v>
      </c>
      <c r="E63" s="4" t="s">
        <v>663</v>
      </c>
      <c r="F63" s="9" t="s">
        <v>242</v>
      </c>
      <c r="G63" s="9">
        <v>1</v>
      </c>
      <c r="H63" s="6" t="s">
        <v>1872</v>
      </c>
      <c r="I63" s="9" t="s">
        <v>415</v>
      </c>
      <c r="J63" s="9" t="s">
        <v>145</v>
      </c>
    </row>
    <row r="64" spans="1:10">
      <c r="A64" s="5" t="s">
        <v>349</v>
      </c>
      <c r="B64" s="6" t="s">
        <v>1873</v>
      </c>
      <c r="C64" s="7">
        <v>46175</v>
      </c>
      <c r="D64" s="9" t="s">
        <v>241</v>
      </c>
      <c r="E64" s="8" t="s">
        <v>1152</v>
      </c>
      <c r="F64" s="9" t="s">
        <v>242</v>
      </c>
      <c r="G64" s="9">
        <v>1</v>
      </c>
      <c r="H64" s="6" t="s">
        <v>1874</v>
      </c>
      <c r="I64" s="9" t="s">
        <v>605</v>
      </c>
      <c r="J64" s="9" t="s">
        <v>145</v>
      </c>
    </row>
    <row r="65" spans="1:10">
      <c r="A65" s="5" t="s">
        <v>350</v>
      </c>
      <c r="B65" s="6" t="s">
        <v>1873</v>
      </c>
      <c r="C65" s="7">
        <v>46175</v>
      </c>
      <c r="D65" s="9" t="s">
        <v>241</v>
      </c>
      <c r="E65" s="8" t="s">
        <v>27</v>
      </c>
      <c r="F65" s="9" t="s">
        <v>246</v>
      </c>
      <c r="G65" s="9">
        <v>1</v>
      </c>
      <c r="H65" s="6" t="s">
        <v>1874</v>
      </c>
      <c r="I65" s="9" t="s">
        <v>605</v>
      </c>
      <c r="J65" s="9" t="s">
        <v>145</v>
      </c>
    </row>
    <row r="66" spans="1:10">
      <c r="A66" s="5" t="s">
        <v>353</v>
      </c>
      <c r="B66" s="6" t="s">
        <v>1875</v>
      </c>
      <c r="C66" s="7">
        <v>46175</v>
      </c>
      <c r="D66" s="9" t="s">
        <v>299</v>
      </c>
      <c r="E66" s="8" t="s">
        <v>24</v>
      </c>
      <c r="F66" s="9" t="s">
        <v>242</v>
      </c>
      <c r="G66" s="9">
        <v>1</v>
      </c>
      <c r="H66" s="6" t="s">
        <v>328</v>
      </c>
      <c r="I66" s="9" t="s">
        <v>258</v>
      </c>
      <c r="J66" s="9" t="s">
        <v>145</v>
      </c>
    </row>
    <row r="67" spans="1:10">
      <c r="A67" s="5" t="s">
        <v>354</v>
      </c>
      <c r="B67" s="6" t="s">
        <v>1875</v>
      </c>
      <c r="C67" s="7">
        <v>46175</v>
      </c>
      <c r="D67" s="9" t="s">
        <v>299</v>
      </c>
      <c r="E67" s="8" t="s">
        <v>22</v>
      </c>
      <c r="F67" s="9" t="s">
        <v>246</v>
      </c>
      <c r="G67" s="9">
        <v>1</v>
      </c>
      <c r="H67" s="6" t="s">
        <v>328</v>
      </c>
      <c r="I67" s="9" t="s">
        <v>258</v>
      </c>
      <c r="J67" s="9" t="s">
        <v>145</v>
      </c>
    </row>
    <row r="68" spans="1:10">
      <c r="A68" s="5" t="s">
        <v>355</v>
      </c>
      <c r="B68" s="6" t="s">
        <v>1875</v>
      </c>
      <c r="C68" s="7">
        <v>46175</v>
      </c>
      <c r="D68" s="9" t="s">
        <v>261</v>
      </c>
      <c r="E68" s="8" t="s">
        <v>63</v>
      </c>
      <c r="F68" s="9" t="s">
        <v>242</v>
      </c>
      <c r="G68" s="9">
        <v>2</v>
      </c>
      <c r="H68" s="6" t="s">
        <v>328</v>
      </c>
      <c r="I68" s="9" t="s">
        <v>258</v>
      </c>
      <c r="J68" s="9" t="s">
        <v>145</v>
      </c>
    </row>
    <row r="69" spans="1:10">
      <c r="A69" s="5" t="s">
        <v>358</v>
      </c>
      <c r="B69" s="6" t="s">
        <v>1875</v>
      </c>
      <c r="C69" s="7">
        <v>46175</v>
      </c>
      <c r="D69" s="9" t="s">
        <v>270</v>
      </c>
      <c r="E69" s="8" t="s">
        <v>271</v>
      </c>
      <c r="F69" s="9" t="s">
        <v>242</v>
      </c>
      <c r="G69" s="9">
        <v>2</v>
      </c>
      <c r="H69" s="6" t="s">
        <v>328</v>
      </c>
      <c r="I69" s="9" t="s">
        <v>258</v>
      </c>
      <c r="J69" s="9" t="s">
        <v>145</v>
      </c>
    </row>
    <row r="70" spans="1:10">
      <c r="A70" s="5" t="s">
        <v>359</v>
      </c>
      <c r="B70" s="6" t="s">
        <v>1875</v>
      </c>
      <c r="C70" s="7">
        <v>46175</v>
      </c>
      <c r="D70" s="9" t="s">
        <v>503</v>
      </c>
      <c r="E70" s="8" t="s">
        <v>162</v>
      </c>
      <c r="F70" s="9" t="s">
        <v>242</v>
      </c>
      <c r="G70" s="9">
        <v>2</v>
      </c>
      <c r="H70" s="6" t="s">
        <v>328</v>
      </c>
      <c r="I70" s="9" t="s">
        <v>258</v>
      </c>
      <c r="J70" s="9" t="s">
        <v>145</v>
      </c>
    </row>
    <row r="71" spans="1:10">
      <c r="A71" s="5" t="s">
        <v>361</v>
      </c>
      <c r="B71" s="6" t="s">
        <v>1875</v>
      </c>
      <c r="C71" s="7">
        <v>46175</v>
      </c>
      <c r="D71" s="9" t="s">
        <v>503</v>
      </c>
      <c r="E71" s="8" t="s">
        <v>206</v>
      </c>
      <c r="F71" s="9" t="s">
        <v>242</v>
      </c>
      <c r="G71" s="9">
        <v>2</v>
      </c>
      <c r="H71" s="6" t="s">
        <v>328</v>
      </c>
      <c r="I71" s="9" t="s">
        <v>258</v>
      </c>
      <c r="J71" s="9" t="s">
        <v>145</v>
      </c>
    </row>
    <row r="72" spans="1:10">
      <c r="A72" s="5" t="s">
        <v>364</v>
      </c>
      <c r="B72" s="6" t="s">
        <v>1876</v>
      </c>
      <c r="C72" s="7">
        <v>46175</v>
      </c>
      <c r="D72" s="9" t="s">
        <v>299</v>
      </c>
      <c r="E72" s="4" t="s">
        <v>24</v>
      </c>
      <c r="F72" s="9" t="s">
        <v>242</v>
      </c>
      <c r="G72" s="9">
        <v>1</v>
      </c>
      <c r="H72" s="6" t="s">
        <v>513</v>
      </c>
      <c r="I72" s="9" t="s">
        <v>976</v>
      </c>
      <c r="J72" s="9" t="s">
        <v>145</v>
      </c>
    </row>
    <row r="73" spans="1:10">
      <c r="A73" s="5" t="s">
        <v>365</v>
      </c>
      <c r="B73" s="6" t="s">
        <v>1876</v>
      </c>
      <c r="C73" s="7">
        <v>46175</v>
      </c>
      <c r="D73" s="9" t="s">
        <v>299</v>
      </c>
      <c r="E73" s="8" t="s">
        <v>376</v>
      </c>
      <c r="F73" s="9" t="s">
        <v>246</v>
      </c>
      <c r="G73" s="9">
        <v>1</v>
      </c>
      <c r="H73" s="6" t="s">
        <v>513</v>
      </c>
      <c r="I73" s="9" t="s">
        <v>976</v>
      </c>
      <c r="J73" s="9" t="s">
        <v>145</v>
      </c>
    </row>
    <row r="74" spans="1:10">
      <c r="A74" s="5" t="s">
        <v>368</v>
      </c>
      <c r="B74" s="6" t="s">
        <v>1876</v>
      </c>
      <c r="C74" s="7">
        <v>46175</v>
      </c>
      <c r="D74" s="9" t="s">
        <v>261</v>
      </c>
      <c r="E74" s="8" t="s">
        <v>65</v>
      </c>
      <c r="F74" s="9" t="s">
        <v>242</v>
      </c>
      <c r="G74" s="9">
        <v>4</v>
      </c>
      <c r="H74" s="6" t="s">
        <v>513</v>
      </c>
      <c r="I74" s="9" t="s">
        <v>976</v>
      </c>
      <c r="J74" s="9" t="s">
        <v>145</v>
      </c>
    </row>
    <row r="75" spans="1:10">
      <c r="A75" s="5" t="s">
        <v>369</v>
      </c>
      <c r="B75" s="6" t="s">
        <v>1876</v>
      </c>
      <c r="C75" s="7">
        <v>46175</v>
      </c>
      <c r="D75" s="9" t="s">
        <v>270</v>
      </c>
      <c r="E75" s="8" t="s">
        <v>271</v>
      </c>
      <c r="F75" s="9" t="s">
        <v>242</v>
      </c>
      <c r="G75" s="9">
        <v>4</v>
      </c>
      <c r="H75" s="6" t="s">
        <v>513</v>
      </c>
      <c r="I75" s="9" t="s">
        <v>976</v>
      </c>
      <c r="J75" s="9" t="s">
        <v>145</v>
      </c>
    </row>
    <row r="76" spans="1:10">
      <c r="A76" s="5" t="s">
        <v>370</v>
      </c>
      <c r="B76" s="6" t="s">
        <v>1876</v>
      </c>
      <c r="C76" s="7">
        <v>46175</v>
      </c>
      <c r="D76" s="9" t="s">
        <v>503</v>
      </c>
      <c r="E76" s="8" t="s">
        <v>206</v>
      </c>
      <c r="F76" s="9" t="s">
        <v>242</v>
      </c>
      <c r="G76" s="9">
        <v>2</v>
      </c>
      <c r="H76" s="6" t="s">
        <v>513</v>
      </c>
      <c r="I76" s="9" t="s">
        <v>976</v>
      </c>
      <c r="J76" s="9" t="s">
        <v>145</v>
      </c>
    </row>
    <row r="77" spans="1:10">
      <c r="A77" s="5" t="s">
        <v>372</v>
      </c>
      <c r="B77" s="6" t="s">
        <v>1877</v>
      </c>
      <c r="C77" s="7">
        <v>46177</v>
      </c>
      <c r="D77" s="9" t="s">
        <v>299</v>
      </c>
      <c r="E77" s="8" t="s">
        <v>22</v>
      </c>
      <c r="F77" s="9" t="s">
        <v>242</v>
      </c>
      <c r="G77" s="9">
        <v>1</v>
      </c>
      <c r="H77" s="6" t="s">
        <v>526</v>
      </c>
      <c r="I77" s="9" t="s">
        <v>258</v>
      </c>
      <c r="J77" s="9" t="s">
        <v>145</v>
      </c>
    </row>
    <row r="78" spans="1:10">
      <c r="A78" s="5" t="s">
        <v>373</v>
      </c>
      <c r="B78" s="6" t="s">
        <v>1877</v>
      </c>
      <c r="C78" s="7">
        <v>46177</v>
      </c>
      <c r="D78" s="9" t="s">
        <v>299</v>
      </c>
      <c r="E78" s="8" t="s">
        <v>22</v>
      </c>
      <c r="F78" s="9" t="s">
        <v>246</v>
      </c>
      <c r="G78" s="9">
        <v>1</v>
      </c>
      <c r="H78" s="6" t="s">
        <v>526</v>
      </c>
      <c r="I78" s="9" t="s">
        <v>258</v>
      </c>
      <c r="J78" s="9" t="s">
        <v>145</v>
      </c>
    </row>
    <row r="79" spans="1:10">
      <c r="A79" s="5" t="s">
        <v>375</v>
      </c>
      <c r="B79" s="6" t="s">
        <v>1877</v>
      </c>
      <c r="C79" s="7">
        <v>46177</v>
      </c>
      <c r="D79" s="9" t="s">
        <v>270</v>
      </c>
      <c r="E79" s="8" t="s">
        <v>271</v>
      </c>
      <c r="F79" s="9" t="s">
        <v>242</v>
      </c>
      <c r="G79" s="9">
        <v>2</v>
      </c>
      <c r="H79" s="6" t="s">
        <v>526</v>
      </c>
      <c r="I79" s="9" t="s">
        <v>258</v>
      </c>
      <c r="J79" s="9" t="s">
        <v>145</v>
      </c>
    </row>
    <row r="80" spans="1:10">
      <c r="A80" s="5" t="s">
        <v>377</v>
      </c>
      <c r="B80" s="6" t="s">
        <v>1878</v>
      </c>
      <c r="C80" s="7">
        <v>46177</v>
      </c>
      <c r="D80" s="9" t="s">
        <v>264</v>
      </c>
      <c r="E80" s="4" t="s">
        <v>35</v>
      </c>
      <c r="F80" s="9" t="s">
        <v>242</v>
      </c>
      <c r="G80" s="9">
        <v>1</v>
      </c>
      <c r="H80" s="6" t="s">
        <v>1879</v>
      </c>
      <c r="I80" s="9" t="s">
        <v>284</v>
      </c>
      <c r="J80" s="9" t="s">
        <v>145</v>
      </c>
    </row>
    <row r="81" spans="1:10">
      <c r="A81" s="5" t="s">
        <v>378</v>
      </c>
      <c r="B81" s="6" t="s">
        <v>1878</v>
      </c>
      <c r="C81" s="7">
        <v>46177</v>
      </c>
      <c r="D81" s="9" t="s">
        <v>264</v>
      </c>
      <c r="E81" s="8" t="s">
        <v>35</v>
      </c>
      <c r="F81" s="9" t="s">
        <v>246</v>
      </c>
      <c r="G81" s="9">
        <v>1</v>
      </c>
      <c r="H81" s="6" t="s">
        <v>1879</v>
      </c>
      <c r="I81" s="9" t="s">
        <v>284</v>
      </c>
      <c r="J81" s="9" t="s">
        <v>145</v>
      </c>
    </row>
    <row r="82" spans="1:10">
      <c r="A82" s="5" t="s">
        <v>379</v>
      </c>
      <c r="B82" s="6" t="s">
        <v>1880</v>
      </c>
      <c r="C82" s="7">
        <v>46177</v>
      </c>
      <c r="D82" s="9" t="s">
        <v>299</v>
      </c>
      <c r="E82" s="8" t="s">
        <v>22</v>
      </c>
      <c r="F82" s="9" t="s">
        <v>242</v>
      </c>
      <c r="G82" s="9">
        <v>1</v>
      </c>
      <c r="H82" s="6" t="s">
        <v>249</v>
      </c>
      <c r="I82" s="9" t="s">
        <v>976</v>
      </c>
      <c r="J82" s="9" t="s">
        <v>145</v>
      </c>
    </row>
    <row r="83" spans="1:10">
      <c r="A83" s="5" t="s">
        <v>381</v>
      </c>
      <c r="B83" s="6" t="s">
        <v>1880</v>
      </c>
      <c r="C83" s="7">
        <v>46177</v>
      </c>
      <c r="D83" s="9" t="s">
        <v>299</v>
      </c>
      <c r="E83" s="8" t="s">
        <v>22</v>
      </c>
      <c r="F83" s="9" t="s">
        <v>246</v>
      </c>
      <c r="G83" s="9">
        <v>1</v>
      </c>
      <c r="H83" s="6" t="s">
        <v>249</v>
      </c>
      <c r="I83" s="9" t="s">
        <v>976</v>
      </c>
      <c r="J83" s="9" t="s">
        <v>145</v>
      </c>
    </row>
    <row r="84" spans="1:10">
      <c r="A84" s="5" t="s">
        <v>382</v>
      </c>
      <c r="B84" s="6" t="s">
        <v>1881</v>
      </c>
      <c r="C84" s="7">
        <v>46177</v>
      </c>
      <c r="D84" s="9" t="s">
        <v>299</v>
      </c>
      <c r="E84" s="8" t="s">
        <v>22</v>
      </c>
      <c r="F84" s="9" t="s">
        <v>242</v>
      </c>
      <c r="G84" s="9">
        <v>1</v>
      </c>
      <c r="H84" s="6" t="s">
        <v>249</v>
      </c>
      <c r="I84" s="9" t="s">
        <v>976</v>
      </c>
      <c r="J84" s="9" t="s">
        <v>145</v>
      </c>
    </row>
    <row r="85" spans="1:10">
      <c r="A85" s="5" t="s">
        <v>384</v>
      </c>
      <c r="B85" s="6" t="s">
        <v>1881</v>
      </c>
      <c r="C85" s="7">
        <v>46177</v>
      </c>
      <c r="D85" s="9" t="s">
        <v>299</v>
      </c>
      <c r="E85" s="8" t="s">
        <v>376</v>
      </c>
      <c r="F85" s="9" t="s">
        <v>246</v>
      </c>
      <c r="G85" s="9">
        <v>1</v>
      </c>
      <c r="H85" s="6" t="s">
        <v>249</v>
      </c>
      <c r="I85" s="9" t="s">
        <v>976</v>
      </c>
      <c r="J85" s="9" t="s">
        <v>145</v>
      </c>
    </row>
    <row r="86" spans="1:10">
      <c r="A86" s="5" t="s">
        <v>385</v>
      </c>
      <c r="B86" s="6" t="s">
        <v>1882</v>
      </c>
      <c r="C86" s="7">
        <v>46178</v>
      </c>
      <c r="D86" s="9" t="s">
        <v>299</v>
      </c>
      <c r="E86" s="8" t="s">
        <v>21</v>
      </c>
      <c r="F86" s="9" t="s">
        <v>242</v>
      </c>
      <c r="G86" s="9">
        <v>1</v>
      </c>
      <c r="H86" s="6" t="s">
        <v>367</v>
      </c>
      <c r="I86" s="9" t="s">
        <v>388</v>
      </c>
      <c r="J86" s="9" t="s">
        <v>145</v>
      </c>
    </row>
    <row r="87" spans="1:10">
      <c r="A87" s="5" t="s">
        <v>389</v>
      </c>
      <c r="B87" s="6" t="s">
        <v>1882</v>
      </c>
      <c r="C87" s="7">
        <v>46178</v>
      </c>
      <c r="D87" s="9" t="s">
        <v>299</v>
      </c>
      <c r="E87" s="8" t="s">
        <v>21</v>
      </c>
      <c r="F87" s="9" t="s">
        <v>246</v>
      </c>
      <c r="G87" s="9">
        <v>1</v>
      </c>
      <c r="H87" s="6" t="s">
        <v>367</v>
      </c>
      <c r="I87" s="9" t="s">
        <v>388</v>
      </c>
      <c r="J87" s="9" t="s">
        <v>145</v>
      </c>
    </row>
    <row r="88" spans="1:10">
      <c r="A88" s="5" t="s">
        <v>390</v>
      </c>
      <c r="B88" s="6" t="s">
        <v>1882</v>
      </c>
      <c r="C88" s="7">
        <v>46178</v>
      </c>
      <c r="D88" s="9" t="s">
        <v>270</v>
      </c>
      <c r="E88" s="8" t="s">
        <v>271</v>
      </c>
      <c r="F88" s="9" t="s">
        <v>242</v>
      </c>
      <c r="G88" s="9">
        <v>3</v>
      </c>
      <c r="H88" s="6" t="s">
        <v>367</v>
      </c>
      <c r="I88" s="9" t="s">
        <v>388</v>
      </c>
      <c r="J88" s="9" t="s">
        <v>145</v>
      </c>
    </row>
    <row r="89" spans="1:10">
      <c r="A89" s="5" t="s">
        <v>391</v>
      </c>
      <c r="B89" s="6" t="s">
        <v>1883</v>
      </c>
      <c r="C89" s="7">
        <v>46178</v>
      </c>
      <c r="D89" s="9" t="s">
        <v>241</v>
      </c>
      <c r="E89" s="8" t="s">
        <v>1152</v>
      </c>
      <c r="F89" s="9" t="s">
        <v>242</v>
      </c>
      <c r="G89" s="9">
        <v>1</v>
      </c>
      <c r="H89" s="6" t="s">
        <v>423</v>
      </c>
      <c r="I89" s="9" t="s">
        <v>1546</v>
      </c>
      <c r="J89" s="9" t="s">
        <v>145</v>
      </c>
    </row>
    <row r="90" spans="1:10">
      <c r="A90" s="5" t="s">
        <v>393</v>
      </c>
      <c r="B90" s="6" t="s">
        <v>1883</v>
      </c>
      <c r="C90" s="7">
        <v>46178</v>
      </c>
      <c r="D90" s="9" t="s">
        <v>241</v>
      </c>
      <c r="E90" s="8" t="s">
        <v>27</v>
      </c>
      <c r="F90" s="9" t="s">
        <v>246</v>
      </c>
      <c r="G90" s="9">
        <v>1</v>
      </c>
      <c r="H90" s="6" t="s">
        <v>423</v>
      </c>
      <c r="I90" s="9" t="s">
        <v>1546</v>
      </c>
      <c r="J90" s="9" t="s">
        <v>145</v>
      </c>
    </row>
    <row r="91" spans="1:10">
      <c r="A91" s="5" t="s">
        <v>394</v>
      </c>
      <c r="B91" s="6" t="s">
        <v>1884</v>
      </c>
      <c r="C91" s="7">
        <v>46178</v>
      </c>
      <c r="D91" s="9" t="s">
        <v>665</v>
      </c>
      <c r="E91" s="8" t="s">
        <v>666</v>
      </c>
      <c r="F91" s="9" t="s">
        <v>242</v>
      </c>
      <c r="G91" s="9">
        <v>1</v>
      </c>
      <c r="H91" s="6" t="s">
        <v>1885</v>
      </c>
      <c r="I91" s="9" t="s">
        <v>258</v>
      </c>
      <c r="J91" s="9" t="s">
        <v>145</v>
      </c>
    </row>
    <row r="92" spans="1:10">
      <c r="A92" s="5" t="s">
        <v>396</v>
      </c>
      <c r="B92" s="6" t="s">
        <v>1884</v>
      </c>
      <c r="C92" s="7">
        <v>46178</v>
      </c>
      <c r="D92" s="9" t="s">
        <v>665</v>
      </c>
      <c r="E92" s="8" t="s">
        <v>42</v>
      </c>
      <c r="F92" s="9" t="s">
        <v>246</v>
      </c>
      <c r="G92" s="9">
        <v>1</v>
      </c>
      <c r="H92" s="6" t="s">
        <v>1885</v>
      </c>
      <c r="I92" s="9" t="s">
        <v>258</v>
      </c>
      <c r="J92" s="9" t="s">
        <v>145</v>
      </c>
    </row>
    <row r="93" spans="1:10">
      <c r="A93" s="5" t="s">
        <v>398</v>
      </c>
      <c r="B93" s="6" t="s">
        <v>1884</v>
      </c>
      <c r="C93" s="7">
        <v>46178</v>
      </c>
      <c r="D93" s="9" t="s">
        <v>261</v>
      </c>
      <c r="E93" s="4" t="s">
        <v>63</v>
      </c>
      <c r="F93" s="9" t="s">
        <v>242</v>
      </c>
      <c r="G93" s="9">
        <v>1</v>
      </c>
      <c r="H93" s="6" t="s">
        <v>1885</v>
      </c>
      <c r="I93" s="9" t="s">
        <v>258</v>
      </c>
      <c r="J93" s="9" t="s">
        <v>145</v>
      </c>
    </row>
    <row r="94" spans="1:10">
      <c r="A94" s="5" t="s">
        <v>399</v>
      </c>
      <c r="B94" s="6" t="s">
        <v>1884</v>
      </c>
      <c r="C94" s="7">
        <v>46178</v>
      </c>
      <c r="D94" s="9" t="s">
        <v>270</v>
      </c>
      <c r="E94" s="8" t="s">
        <v>271</v>
      </c>
      <c r="F94" s="9" t="s">
        <v>242</v>
      </c>
      <c r="G94" s="9">
        <v>1</v>
      </c>
      <c r="H94" s="6" t="s">
        <v>1885</v>
      </c>
      <c r="I94" s="9" t="s">
        <v>258</v>
      </c>
      <c r="J94" s="9" t="s">
        <v>145</v>
      </c>
    </row>
    <row r="95" spans="1:10">
      <c r="A95" s="5" t="s">
        <v>401</v>
      </c>
      <c r="B95" s="6" t="s">
        <v>1884</v>
      </c>
      <c r="C95" s="7">
        <v>46178</v>
      </c>
      <c r="D95" s="9" t="s">
        <v>503</v>
      </c>
      <c r="E95" s="8" t="s">
        <v>75</v>
      </c>
      <c r="F95" s="9" t="s">
        <v>242</v>
      </c>
      <c r="G95" s="9">
        <v>2</v>
      </c>
      <c r="H95" s="6" t="s">
        <v>1885</v>
      </c>
      <c r="I95" s="9" t="s">
        <v>258</v>
      </c>
      <c r="J95" s="9" t="s">
        <v>145</v>
      </c>
    </row>
    <row r="96" spans="1:10">
      <c r="A96" s="5" t="s">
        <v>402</v>
      </c>
      <c r="B96" s="6" t="s">
        <v>1884</v>
      </c>
      <c r="C96" s="7">
        <v>46178</v>
      </c>
      <c r="D96" s="9" t="s">
        <v>503</v>
      </c>
      <c r="E96" s="8" t="s">
        <v>1429</v>
      </c>
      <c r="F96" s="9" t="s">
        <v>242</v>
      </c>
      <c r="G96" s="9">
        <v>10</v>
      </c>
      <c r="H96" s="6" t="s">
        <v>1885</v>
      </c>
      <c r="I96" s="9" t="s">
        <v>258</v>
      </c>
      <c r="J96" s="9" t="s">
        <v>145</v>
      </c>
    </row>
    <row r="97" spans="1:10">
      <c r="A97" s="5" t="s">
        <v>403</v>
      </c>
      <c r="B97" s="6" t="s">
        <v>1886</v>
      </c>
      <c r="C97" s="7">
        <v>46179</v>
      </c>
      <c r="D97" s="9" t="s">
        <v>299</v>
      </c>
      <c r="E97" s="8" t="s">
        <v>21</v>
      </c>
      <c r="F97" s="9" t="s">
        <v>242</v>
      </c>
      <c r="G97" s="9">
        <v>1</v>
      </c>
      <c r="H97" s="6" t="s">
        <v>257</v>
      </c>
      <c r="I97" s="9" t="s">
        <v>609</v>
      </c>
      <c r="J97" s="9" t="s">
        <v>145</v>
      </c>
    </row>
    <row r="98" spans="1:10">
      <c r="A98" s="5" t="s">
        <v>405</v>
      </c>
      <c r="B98" s="6" t="s">
        <v>1886</v>
      </c>
      <c r="C98" s="7">
        <v>46179</v>
      </c>
      <c r="D98" s="9" t="s">
        <v>299</v>
      </c>
      <c r="E98" s="8" t="s">
        <v>21</v>
      </c>
      <c r="F98" s="9" t="s">
        <v>246</v>
      </c>
      <c r="G98" s="9">
        <v>1</v>
      </c>
      <c r="H98" s="6" t="s">
        <v>257</v>
      </c>
      <c r="I98" s="9" t="s">
        <v>609</v>
      </c>
      <c r="J98" s="9" t="s">
        <v>145</v>
      </c>
    </row>
    <row r="99" spans="1:10">
      <c r="A99" s="5" t="s">
        <v>406</v>
      </c>
      <c r="B99" s="6" t="s">
        <v>1887</v>
      </c>
      <c r="C99" s="7">
        <v>46181</v>
      </c>
      <c r="D99" s="9" t="s">
        <v>241</v>
      </c>
      <c r="E99" s="8" t="s">
        <v>1152</v>
      </c>
      <c r="F99" s="9" t="s">
        <v>242</v>
      </c>
      <c r="G99" s="9">
        <v>1</v>
      </c>
      <c r="H99" s="6" t="s">
        <v>931</v>
      </c>
      <c r="I99" s="9" t="s">
        <v>284</v>
      </c>
      <c r="J99" s="9" t="s">
        <v>145</v>
      </c>
    </row>
    <row r="100" spans="1:10">
      <c r="A100" s="5" t="s">
        <v>409</v>
      </c>
      <c r="B100" s="6" t="s">
        <v>1887</v>
      </c>
      <c r="C100" s="7">
        <v>46181</v>
      </c>
      <c r="D100" s="9" t="s">
        <v>241</v>
      </c>
      <c r="E100" s="8" t="s">
        <v>29</v>
      </c>
      <c r="F100" s="9" t="s">
        <v>246</v>
      </c>
      <c r="G100" s="9">
        <v>1</v>
      </c>
      <c r="H100" s="6" t="s">
        <v>931</v>
      </c>
      <c r="I100" s="9" t="s">
        <v>284</v>
      </c>
      <c r="J100" s="9" t="s">
        <v>145</v>
      </c>
    </row>
    <row r="101" spans="1:10">
      <c r="A101" s="5" t="s">
        <v>410</v>
      </c>
      <c r="B101" s="6" t="s">
        <v>1888</v>
      </c>
      <c r="C101" s="7">
        <v>46181</v>
      </c>
      <c r="D101" s="9" t="s">
        <v>241</v>
      </c>
      <c r="E101" s="8" t="s">
        <v>1152</v>
      </c>
      <c r="F101" s="9" t="s">
        <v>242</v>
      </c>
      <c r="G101" s="9">
        <v>1</v>
      </c>
      <c r="H101" s="6" t="s">
        <v>931</v>
      </c>
      <c r="I101" s="9" t="s">
        <v>253</v>
      </c>
      <c r="J101" s="9" t="s">
        <v>145</v>
      </c>
    </row>
    <row r="102" spans="1:10">
      <c r="A102" s="5" t="s">
        <v>412</v>
      </c>
      <c r="B102" s="6" t="s">
        <v>1888</v>
      </c>
      <c r="C102" s="7">
        <v>46181</v>
      </c>
      <c r="D102" s="9" t="s">
        <v>241</v>
      </c>
      <c r="E102" s="8" t="s">
        <v>29</v>
      </c>
      <c r="F102" s="9" t="s">
        <v>246</v>
      </c>
      <c r="G102" s="9">
        <v>1</v>
      </c>
      <c r="H102" s="6" t="s">
        <v>931</v>
      </c>
      <c r="I102" s="9" t="s">
        <v>253</v>
      </c>
      <c r="J102" s="9" t="s">
        <v>145</v>
      </c>
    </row>
    <row r="103" spans="1:10">
      <c r="A103" s="5" t="s">
        <v>413</v>
      </c>
      <c r="B103" s="6" t="s">
        <v>1888</v>
      </c>
      <c r="C103" s="7">
        <v>46181</v>
      </c>
      <c r="D103" s="9" t="s">
        <v>261</v>
      </c>
      <c r="E103" s="8" t="s">
        <v>62</v>
      </c>
      <c r="F103" s="9" t="s">
        <v>242</v>
      </c>
      <c r="G103" s="9">
        <v>1</v>
      </c>
      <c r="H103" s="6" t="s">
        <v>931</v>
      </c>
      <c r="I103" s="9" t="s">
        <v>253</v>
      </c>
      <c r="J103" s="9" t="s">
        <v>145</v>
      </c>
    </row>
    <row r="104" spans="1:10">
      <c r="A104" s="5" t="s">
        <v>416</v>
      </c>
      <c r="B104" s="6" t="s">
        <v>1888</v>
      </c>
      <c r="C104" s="7">
        <v>46181</v>
      </c>
      <c r="D104" s="9" t="s">
        <v>261</v>
      </c>
      <c r="E104" s="8" t="s">
        <v>281</v>
      </c>
      <c r="F104" s="9" t="s">
        <v>242</v>
      </c>
      <c r="G104" s="9">
        <v>3</v>
      </c>
      <c r="H104" s="6" t="s">
        <v>931</v>
      </c>
      <c r="I104" s="9" t="s">
        <v>253</v>
      </c>
      <c r="J104" s="9" t="s">
        <v>145</v>
      </c>
    </row>
    <row r="105" spans="1:10">
      <c r="A105" s="5" t="s">
        <v>417</v>
      </c>
      <c r="B105" s="6" t="s">
        <v>1889</v>
      </c>
      <c r="C105" s="7">
        <v>46181</v>
      </c>
      <c r="D105" s="9" t="s">
        <v>241</v>
      </c>
      <c r="E105" s="8" t="s">
        <v>1152</v>
      </c>
      <c r="F105" s="9" t="s">
        <v>242</v>
      </c>
      <c r="G105" s="9">
        <v>1</v>
      </c>
      <c r="H105" s="6" t="s">
        <v>257</v>
      </c>
      <c r="I105" s="9" t="s">
        <v>258</v>
      </c>
      <c r="J105" s="9" t="s">
        <v>145</v>
      </c>
    </row>
    <row r="106" spans="1:10">
      <c r="A106" s="5" t="s">
        <v>420</v>
      </c>
      <c r="B106" s="6" t="s">
        <v>1889</v>
      </c>
      <c r="C106" s="7">
        <v>46181</v>
      </c>
      <c r="D106" s="9" t="s">
        <v>241</v>
      </c>
      <c r="E106" s="8" t="s">
        <v>27</v>
      </c>
      <c r="F106" s="9" t="s">
        <v>246</v>
      </c>
      <c r="G106" s="9">
        <v>1</v>
      </c>
      <c r="H106" s="6" t="s">
        <v>257</v>
      </c>
      <c r="I106" s="9" t="s">
        <v>258</v>
      </c>
      <c r="J106" s="9" t="s">
        <v>145</v>
      </c>
    </row>
    <row r="107" spans="1:10">
      <c r="A107" s="5" t="s">
        <v>421</v>
      </c>
      <c r="B107" s="6" t="s">
        <v>1890</v>
      </c>
      <c r="C107" s="7">
        <v>46182</v>
      </c>
      <c r="D107" s="9" t="s">
        <v>299</v>
      </c>
      <c r="E107" s="8" t="s">
        <v>24</v>
      </c>
      <c r="F107" s="9" t="s">
        <v>242</v>
      </c>
      <c r="G107" s="9">
        <v>1</v>
      </c>
      <c r="H107" s="6" t="s">
        <v>1891</v>
      </c>
      <c r="I107" s="9" t="s">
        <v>258</v>
      </c>
      <c r="J107" s="9" t="s">
        <v>145</v>
      </c>
    </row>
    <row r="108" spans="1:10">
      <c r="A108" s="5" t="s">
        <v>424</v>
      </c>
      <c r="B108" s="6" t="s">
        <v>1890</v>
      </c>
      <c r="C108" s="7">
        <v>46182</v>
      </c>
      <c r="D108" s="9" t="s">
        <v>299</v>
      </c>
      <c r="E108" s="8" t="s">
        <v>21</v>
      </c>
      <c r="F108" s="9" t="s">
        <v>246</v>
      </c>
      <c r="G108" s="9">
        <v>1</v>
      </c>
      <c r="H108" s="6" t="s">
        <v>1891</v>
      </c>
      <c r="I108" s="9" t="s">
        <v>258</v>
      </c>
      <c r="J108" s="9" t="s">
        <v>145</v>
      </c>
    </row>
    <row r="109" spans="1:10">
      <c r="A109" s="5" t="s">
        <v>425</v>
      </c>
      <c r="B109" s="6" t="s">
        <v>1890</v>
      </c>
      <c r="C109" s="7">
        <v>46182</v>
      </c>
      <c r="D109" s="9" t="s">
        <v>261</v>
      </c>
      <c r="E109" s="4" t="s">
        <v>63</v>
      </c>
      <c r="F109" s="9" t="s">
        <v>242</v>
      </c>
      <c r="G109" s="9">
        <v>3</v>
      </c>
      <c r="H109" s="6" t="s">
        <v>1891</v>
      </c>
      <c r="I109" s="9" t="s">
        <v>258</v>
      </c>
      <c r="J109" s="9" t="s">
        <v>145</v>
      </c>
    </row>
    <row r="110" spans="1:10">
      <c r="A110" s="5" t="s">
        <v>427</v>
      </c>
      <c r="B110" s="6" t="s">
        <v>1890</v>
      </c>
      <c r="C110" s="7">
        <v>46182</v>
      </c>
      <c r="D110" s="9" t="s">
        <v>270</v>
      </c>
      <c r="E110" s="8" t="s">
        <v>271</v>
      </c>
      <c r="F110" s="9" t="s">
        <v>242</v>
      </c>
      <c r="G110" s="9">
        <v>3</v>
      </c>
      <c r="H110" s="6" t="s">
        <v>1891</v>
      </c>
      <c r="I110" s="9" t="s">
        <v>258</v>
      </c>
      <c r="J110" s="9" t="s">
        <v>145</v>
      </c>
    </row>
    <row r="111" spans="1:10" ht="15" customHeight="1">
      <c r="A111" s="5" t="s">
        <v>428</v>
      </c>
      <c r="B111" s="6" t="s">
        <v>1890</v>
      </c>
      <c r="C111" s="7">
        <v>46182</v>
      </c>
      <c r="D111" s="9" t="s">
        <v>503</v>
      </c>
      <c r="E111" s="8" t="s">
        <v>162</v>
      </c>
      <c r="F111" s="9" t="s">
        <v>242</v>
      </c>
      <c r="G111" s="9">
        <v>1</v>
      </c>
      <c r="H111" s="6" t="s">
        <v>1891</v>
      </c>
      <c r="I111" s="9" t="s">
        <v>258</v>
      </c>
      <c r="J111" s="9" t="s">
        <v>145</v>
      </c>
    </row>
    <row r="112" spans="1:10">
      <c r="A112" s="5" t="s">
        <v>430</v>
      </c>
      <c r="B112" s="6" t="s">
        <v>1890</v>
      </c>
      <c r="C112" s="7">
        <v>46182</v>
      </c>
      <c r="D112" s="9" t="s">
        <v>503</v>
      </c>
      <c r="E112" s="4" t="s">
        <v>206</v>
      </c>
      <c r="F112" s="9" t="s">
        <v>242</v>
      </c>
      <c r="G112" s="9">
        <v>2</v>
      </c>
      <c r="H112" s="6" t="s">
        <v>1891</v>
      </c>
      <c r="I112" s="9" t="s">
        <v>258</v>
      </c>
      <c r="J112" s="9" t="s">
        <v>145</v>
      </c>
    </row>
    <row r="113" spans="1:10">
      <c r="A113" s="5" t="s">
        <v>431</v>
      </c>
      <c r="B113" s="6" t="s">
        <v>1892</v>
      </c>
      <c r="C113" s="7">
        <v>46183</v>
      </c>
      <c r="D113" s="9" t="s">
        <v>241</v>
      </c>
      <c r="E113" s="8" t="s">
        <v>1152</v>
      </c>
      <c r="F113" s="9" t="s">
        <v>242</v>
      </c>
      <c r="G113" s="9">
        <v>1</v>
      </c>
      <c r="H113" s="6" t="s">
        <v>243</v>
      </c>
      <c r="I113" s="9" t="s">
        <v>973</v>
      </c>
      <c r="J113" s="9" t="s">
        <v>145</v>
      </c>
    </row>
    <row r="114" spans="1:10">
      <c r="A114" s="5" t="s">
        <v>433</v>
      </c>
      <c r="B114" s="6" t="s">
        <v>1892</v>
      </c>
      <c r="C114" s="7">
        <v>46183</v>
      </c>
      <c r="D114" s="9" t="s">
        <v>241</v>
      </c>
      <c r="E114" s="8" t="s">
        <v>29</v>
      </c>
      <c r="F114" s="9" t="s">
        <v>246</v>
      </c>
      <c r="G114" s="9">
        <v>1</v>
      </c>
      <c r="H114" s="6" t="s">
        <v>243</v>
      </c>
      <c r="I114" s="9" t="s">
        <v>973</v>
      </c>
      <c r="J114" s="9" t="s">
        <v>145</v>
      </c>
    </row>
    <row r="115" spans="1:10">
      <c r="A115" s="5" t="s">
        <v>434</v>
      </c>
      <c r="B115" s="6" t="s">
        <v>1893</v>
      </c>
      <c r="C115" s="7">
        <v>46183</v>
      </c>
      <c r="D115" s="9" t="s">
        <v>241</v>
      </c>
      <c r="E115" s="4" t="s">
        <v>1152</v>
      </c>
      <c r="F115" s="9" t="s">
        <v>242</v>
      </c>
      <c r="G115" s="9">
        <v>1</v>
      </c>
      <c r="H115" s="6" t="s">
        <v>243</v>
      </c>
      <c r="I115" s="9" t="s">
        <v>363</v>
      </c>
      <c r="J115" s="9" t="s">
        <v>145</v>
      </c>
    </row>
    <row r="116" spans="1:10">
      <c r="A116" s="5" t="s">
        <v>435</v>
      </c>
      <c r="B116" s="6" t="s">
        <v>1893</v>
      </c>
      <c r="C116" s="7">
        <v>46183</v>
      </c>
      <c r="D116" s="9" t="s">
        <v>241</v>
      </c>
      <c r="E116" s="8" t="s">
        <v>29</v>
      </c>
      <c r="F116" s="9" t="s">
        <v>246</v>
      </c>
      <c r="G116" s="9">
        <v>1</v>
      </c>
      <c r="H116" s="6" t="s">
        <v>243</v>
      </c>
      <c r="I116" s="9" t="s">
        <v>363</v>
      </c>
      <c r="J116" s="9" t="s">
        <v>145</v>
      </c>
    </row>
    <row r="117" spans="1:10">
      <c r="A117" s="5" t="s">
        <v>437</v>
      </c>
      <c r="B117" s="6" t="s">
        <v>1893</v>
      </c>
      <c r="C117" s="7">
        <v>46183</v>
      </c>
      <c r="D117" s="9" t="s">
        <v>261</v>
      </c>
      <c r="E117" s="8" t="s">
        <v>281</v>
      </c>
      <c r="F117" s="9" t="s">
        <v>242</v>
      </c>
      <c r="G117" s="9">
        <v>4</v>
      </c>
      <c r="H117" s="6" t="s">
        <v>243</v>
      </c>
      <c r="I117" s="9" t="s">
        <v>363</v>
      </c>
      <c r="J117" s="9" t="s">
        <v>145</v>
      </c>
    </row>
    <row r="118" spans="1:10">
      <c r="A118" s="5" t="s">
        <v>438</v>
      </c>
      <c r="B118" s="6" t="s">
        <v>1894</v>
      </c>
      <c r="C118" s="7">
        <v>46183</v>
      </c>
      <c r="D118" s="9" t="s">
        <v>665</v>
      </c>
      <c r="E118" s="8" t="s">
        <v>666</v>
      </c>
      <c r="F118" s="9" t="s">
        <v>242</v>
      </c>
      <c r="G118" s="9">
        <v>1</v>
      </c>
      <c r="H118" s="6" t="s">
        <v>243</v>
      </c>
      <c r="I118" s="9" t="s">
        <v>363</v>
      </c>
      <c r="J118" s="9" t="s">
        <v>145</v>
      </c>
    </row>
    <row r="119" spans="1:10">
      <c r="A119" s="5" t="s">
        <v>439</v>
      </c>
      <c r="B119" s="6" t="s">
        <v>1894</v>
      </c>
      <c r="C119" s="7">
        <v>46183</v>
      </c>
      <c r="D119" s="9" t="s">
        <v>665</v>
      </c>
      <c r="E119" s="8" t="s">
        <v>666</v>
      </c>
      <c r="F119" s="9" t="s">
        <v>246</v>
      </c>
      <c r="G119" s="9">
        <v>1</v>
      </c>
      <c r="H119" s="6" t="s">
        <v>243</v>
      </c>
      <c r="I119" s="9" t="s">
        <v>363</v>
      </c>
      <c r="J119" s="9" t="s">
        <v>145</v>
      </c>
    </row>
    <row r="120" spans="1:10">
      <c r="A120" s="5" t="s">
        <v>441</v>
      </c>
      <c r="B120" s="6" t="s">
        <v>1894</v>
      </c>
      <c r="C120" s="7">
        <v>46183</v>
      </c>
      <c r="D120" s="9" t="s">
        <v>261</v>
      </c>
      <c r="E120" s="8" t="s">
        <v>63</v>
      </c>
      <c r="F120" s="9" t="s">
        <v>242</v>
      </c>
      <c r="G120" s="9">
        <v>1</v>
      </c>
      <c r="H120" s="6" t="s">
        <v>243</v>
      </c>
      <c r="I120" s="9" t="s">
        <v>363</v>
      </c>
      <c r="J120" s="9" t="s">
        <v>145</v>
      </c>
    </row>
    <row r="121" spans="1:10">
      <c r="A121" s="5" t="s">
        <v>442</v>
      </c>
      <c r="B121" s="6" t="s">
        <v>1894</v>
      </c>
      <c r="C121" s="7">
        <v>46183</v>
      </c>
      <c r="D121" s="9" t="s">
        <v>270</v>
      </c>
      <c r="E121" s="4" t="s">
        <v>271</v>
      </c>
      <c r="F121" s="9" t="s">
        <v>242</v>
      </c>
      <c r="G121" s="9">
        <v>1</v>
      </c>
      <c r="H121" s="6" t="s">
        <v>243</v>
      </c>
      <c r="I121" s="9" t="s">
        <v>363</v>
      </c>
      <c r="J121" s="9" t="s">
        <v>145</v>
      </c>
    </row>
    <row r="122" spans="1:10">
      <c r="A122" s="5" t="s">
        <v>444</v>
      </c>
      <c r="B122" s="6" t="s">
        <v>1894</v>
      </c>
      <c r="C122" s="7">
        <v>46183</v>
      </c>
      <c r="D122" s="9" t="s">
        <v>503</v>
      </c>
      <c r="E122" s="8" t="s">
        <v>1429</v>
      </c>
      <c r="F122" s="9" t="s">
        <v>242</v>
      </c>
      <c r="G122" s="9">
        <v>5</v>
      </c>
      <c r="H122" s="6" t="s">
        <v>243</v>
      </c>
      <c r="I122" s="9" t="s">
        <v>363</v>
      </c>
      <c r="J122" s="9" t="s">
        <v>145</v>
      </c>
    </row>
    <row r="123" spans="1:10">
      <c r="A123" s="5" t="s">
        <v>445</v>
      </c>
      <c r="B123" s="6" t="s">
        <v>1895</v>
      </c>
      <c r="C123" s="7">
        <v>46183</v>
      </c>
      <c r="D123" s="9" t="s">
        <v>299</v>
      </c>
      <c r="E123" s="8" t="s">
        <v>22</v>
      </c>
      <c r="F123" s="9" t="s">
        <v>242</v>
      </c>
      <c r="G123" s="9">
        <v>1</v>
      </c>
      <c r="H123" s="6" t="s">
        <v>1653</v>
      </c>
      <c r="I123" s="9" t="s">
        <v>284</v>
      </c>
      <c r="J123" s="9" t="s">
        <v>145</v>
      </c>
    </row>
    <row r="124" spans="1:10">
      <c r="A124" s="5" t="s">
        <v>446</v>
      </c>
      <c r="B124" s="6" t="s">
        <v>1895</v>
      </c>
      <c r="C124" s="7">
        <v>46183</v>
      </c>
      <c r="D124" s="9" t="s">
        <v>299</v>
      </c>
      <c r="E124" s="8" t="s">
        <v>376</v>
      </c>
      <c r="F124" s="9" t="s">
        <v>246</v>
      </c>
      <c r="G124" s="9">
        <v>1</v>
      </c>
      <c r="H124" s="6" t="s">
        <v>1653</v>
      </c>
      <c r="I124" s="9" t="s">
        <v>284</v>
      </c>
      <c r="J124" s="9" t="s">
        <v>145</v>
      </c>
    </row>
    <row r="125" spans="1:10">
      <c r="A125" s="5" t="s">
        <v>448</v>
      </c>
      <c r="B125" s="6" t="s">
        <v>1896</v>
      </c>
      <c r="C125" s="7">
        <v>46183</v>
      </c>
      <c r="D125" s="9" t="s">
        <v>241</v>
      </c>
      <c r="E125" s="8" t="s">
        <v>1152</v>
      </c>
      <c r="F125" s="9" t="s">
        <v>586</v>
      </c>
      <c r="G125" s="9">
        <v>1</v>
      </c>
      <c r="H125" s="6" t="s">
        <v>587</v>
      </c>
      <c r="I125" s="9" t="s">
        <v>266</v>
      </c>
      <c r="J125" s="9" t="s">
        <v>145</v>
      </c>
    </row>
    <row r="126" spans="1:10">
      <c r="A126" s="5" t="s">
        <v>449</v>
      </c>
      <c r="B126" s="6" t="s">
        <v>1897</v>
      </c>
      <c r="C126" s="7">
        <v>46183</v>
      </c>
      <c r="D126" s="9" t="s">
        <v>1</v>
      </c>
      <c r="E126" s="8" t="s">
        <v>16</v>
      </c>
      <c r="F126" s="9" t="s">
        <v>242</v>
      </c>
      <c r="G126" s="9">
        <v>1</v>
      </c>
      <c r="H126" s="6" t="s">
        <v>1898</v>
      </c>
      <c r="I126" s="9" t="s">
        <v>415</v>
      </c>
      <c r="J126" s="9" t="s">
        <v>145</v>
      </c>
    </row>
    <row r="127" spans="1:10">
      <c r="A127" s="5" t="s">
        <v>450</v>
      </c>
      <c r="B127" s="6" t="s">
        <v>1897</v>
      </c>
      <c r="C127" s="7">
        <v>46183</v>
      </c>
      <c r="D127" s="9" t="s">
        <v>1</v>
      </c>
      <c r="E127" s="8" t="s">
        <v>147</v>
      </c>
      <c r="F127" s="9" t="s">
        <v>246</v>
      </c>
      <c r="G127" s="9">
        <v>1</v>
      </c>
      <c r="H127" s="6" t="s">
        <v>1898</v>
      </c>
      <c r="I127" s="9" t="s">
        <v>415</v>
      </c>
      <c r="J127" s="9" t="s">
        <v>145</v>
      </c>
    </row>
    <row r="128" spans="1:10">
      <c r="A128" s="5" t="s">
        <v>451</v>
      </c>
      <c r="B128" s="6" t="s">
        <v>1897</v>
      </c>
      <c r="C128" s="7">
        <v>46183</v>
      </c>
      <c r="D128" s="9" t="s">
        <v>261</v>
      </c>
      <c r="E128" s="8" t="s">
        <v>63</v>
      </c>
      <c r="F128" s="9" t="s">
        <v>242</v>
      </c>
      <c r="G128" s="9">
        <v>6</v>
      </c>
      <c r="H128" s="6" t="s">
        <v>1898</v>
      </c>
      <c r="I128" s="9" t="s">
        <v>415</v>
      </c>
      <c r="J128" s="9" t="s">
        <v>145</v>
      </c>
    </row>
    <row r="129" spans="1:10">
      <c r="A129" s="5" t="s">
        <v>453</v>
      </c>
      <c r="B129" s="6" t="s">
        <v>1897</v>
      </c>
      <c r="C129" s="7">
        <v>46183</v>
      </c>
      <c r="D129" s="9" t="s">
        <v>270</v>
      </c>
      <c r="E129" s="8" t="s">
        <v>271</v>
      </c>
      <c r="F129" s="9" t="s">
        <v>242</v>
      </c>
      <c r="G129" s="9">
        <v>6</v>
      </c>
      <c r="H129" s="6" t="s">
        <v>1898</v>
      </c>
      <c r="I129" s="9" t="s">
        <v>415</v>
      </c>
      <c r="J129" s="9" t="s">
        <v>145</v>
      </c>
    </row>
    <row r="130" spans="1:10">
      <c r="A130" s="5" t="s">
        <v>454</v>
      </c>
      <c r="B130" s="6" t="s">
        <v>1897</v>
      </c>
      <c r="C130" s="7">
        <v>46183</v>
      </c>
      <c r="D130" s="9" t="s">
        <v>270</v>
      </c>
      <c r="E130" s="8" t="s">
        <v>663</v>
      </c>
      <c r="F130" s="9" t="s">
        <v>242</v>
      </c>
      <c r="G130" s="9">
        <v>1</v>
      </c>
      <c r="H130" s="6" t="s">
        <v>1898</v>
      </c>
      <c r="I130" s="9" t="s">
        <v>415</v>
      </c>
      <c r="J130" s="9" t="s">
        <v>145</v>
      </c>
    </row>
    <row r="131" spans="1:10">
      <c r="A131" s="5" t="s">
        <v>456</v>
      </c>
      <c r="B131" s="6" t="s">
        <v>1899</v>
      </c>
      <c r="C131" s="7">
        <v>46183</v>
      </c>
      <c r="D131" s="9" t="s">
        <v>264</v>
      </c>
      <c r="E131" s="8" t="s">
        <v>35</v>
      </c>
      <c r="F131" s="9" t="s">
        <v>242</v>
      </c>
      <c r="G131" s="9">
        <v>1</v>
      </c>
      <c r="H131" s="6" t="s">
        <v>518</v>
      </c>
      <c r="I131" s="9" t="s">
        <v>258</v>
      </c>
      <c r="J131" s="9" t="s">
        <v>145</v>
      </c>
    </row>
    <row r="132" spans="1:10">
      <c r="A132" s="5" t="s">
        <v>457</v>
      </c>
      <c r="B132" s="6" t="s">
        <v>1899</v>
      </c>
      <c r="C132" s="7">
        <v>46183</v>
      </c>
      <c r="D132" s="9" t="s">
        <v>264</v>
      </c>
      <c r="E132" s="8" t="s">
        <v>35</v>
      </c>
      <c r="F132" s="9" t="s">
        <v>246</v>
      </c>
      <c r="G132" s="9">
        <v>1</v>
      </c>
      <c r="H132" s="6" t="s">
        <v>518</v>
      </c>
      <c r="I132" s="9" t="s">
        <v>258</v>
      </c>
      <c r="J132" s="9" t="s">
        <v>145</v>
      </c>
    </row>
    <row r="133" spans="1:10">
      <c r="A133" s="5" t="s">
        <v>458</v>
      </c>
      <c r="B133" s="6" t="s">
        <v>1900</v>
      </c>
      <c r="C133" s="7">
        <v>46184</v>
      </c>
      <c r="D133" s="9" t="s">
        <v>241</v>
      </c>
      <c r="E133" s="8" t="s">
        <v>1152</v>
      </c>
      <c r="F133" s="9" t="s">
        <v>242</v>
      </c>
      <c r="G133" s="9">
        <v>1</v>
      </c>
      <c r="H133" s="6" t="s">
        <v>243</v>
      </c>
      <c r="I133" s="9" t="s">
        <v>363</v>
      </c>
      <c r="J133" s="9" t="s">
        <v>145</v>
      </c>
    </row>
    <row r="134" spans="1:10">
      <c r="A134" s="5" t="s">
        <v>460</v>
      </c>
      <c r="B134" s="6" t="s">
        <v>1900</v>
      </c>
      <c r="C134" s="7">
        <v>46184</v>
      </c>
      <c r="D134" s="9" t="s">
        <v>241</v>
      </c>
      <c r="E134" s="8" t="s">
        <v>29</v>
      </c>
      <c r="F134" s="9" t="s">
        <v>246</v>
      </c>
      <c r="G134" s="9">
        <v>1</v>
      </c>
      <c r="H134" s="6" t="s">
        <v>243</v>
      </c>
      <c r="I134" s="9" t="s">
        <v>363</v>
      </c>
      <c r="J134" s="9" t="s">
        <v>145</v>
      </c>
    </row>
    <row r="135" spans="1:10">
      <c r="A135" s="5" t="s">
        <v>461</v>
      </c>
      <c r="B135" s="6" t="s">
        <v>1901</v>
      </c>
      <c r="C135" s="7">
        <v>46184</v>
      </c>
      <c r="D135" s="9" t="s">
        <v>241</v>
      </c>
      <c r="E135" s="4" t="s">
        <v>1152</v>
      </c>
      <c r="F135" s="9" t="s">
        <v>242</v>
      </c>
      <c r="G135" s="9">
        <v>1</v>
      </c>
      <c r="H135" s="6" t="s">
        <v>1142</v>
      </c>
      <c r="I135" s="9" t="s">
        <v>628</v>
      </c>
      <c r="J135" s="9" t="s">
        <v>145</v>
      </c>
    </row>
    <row r="136" spans="1:10">
      <c r="A136" s="5" t="s">
        <v>463</v>
      </c>
      <c r="B136" s="6" t="s">
        <v>1901</v>
      </c>
      <c r="C136" s="7">
        <v>46184</v>
      </c>
      <c r="D136" s="9" t="s">
        <v>241</v>
      </c>
      <c r="E136" s="8" t="s">
        <v>27</v>
      </c>
      <c r="F136" s="9" t="s">
        <v>246</v>
      </c>
      <c r="G136" s="9">
        <v>1</v>
      </c>
      <c r="H136" s="6" t="s">
        <v>1142</v>
      </c>
      <c r="I136" s="9" t="s">
        <v>628</v>
      </c>
      <c r="J136" s="9" t="s">
        <v>145</v>
      </c>
    </row>
    <row r="137" spans="1:10">
      <c r="A137" s="5" t="s">
        <v>464</v>
      </c>
      <c r="B137" s="6" t="s">
        <v>1901</v>
      </c>
      <c r="C137" s="7">
        <v>46184</v>
      </c>
      <c r="D137" s="9" t="s">
        <v>261</v>
      </c>
      <c r="E137" s="8" t="s">
        <v>281</v>
      </c>
      <c r="F137" s="9" t="s">
        <v>242</v>
      </c>
      <c r="G137" s="9">
        <v>3</v>
      </c>
      <c r="H137" s="6" t="s">
        <v>1142</v>
      </c>
      <c r="I137" s="9" t="s">
        <v>628</v>
      </c>
      <c r="J137" s="9" t="s">
        <v>145</v>
      </c>
    </row>
    <row r="138" spans="1:10">
      <c r="A138" s="5" t="s">
        <v>466</v>
      </c>
      <c r="B138" s="6" t="s">
        <v>1902</v>
      </c>
      <c r="C138" s="7">
        <v>46184</v>
      </c>
      <c r="D138" s="9" t="s">
        <v>564</v>
      </c>
      <c r="E138" s="8" t="s">
        <v>24</v>
      </c>
      <c r="F138" s="9" t="s">
        <v>586</v>
      </c>
      <c r="G138" s="9">
        <v>1</v>
      </c>
      <c r="H138" s="6" t="s">
        <v>1903</v>
      </c>
      <c r="I138" s="9" t="s">
        <v>311</v>
      </c>
      <c r="J138" s="9" t="s">
        <v>145</v>
      </c>
    </row>
    <row r="139" spans="1:10">
      <c r="A139" s="5" t="s">
        <v>467</v>
      </c>
      <c r="B139" s="6" t="s">
        <v>1902</v>
      </c>
      <c r="C139" s="7">
        <v>46184</v>
      </c>
      <c r="D139" s="9" t="s">
        <v>696</v>
      </c>
      <c r="E139" s="8" t="s">
        <v>843</v>
      </c>
      <c r="F139" s="9" t="s">
        <v>586</v>
      </c>
      <c r="G139" s="9">
        <v>30</v>
      </c>
      <c r="H139" s="6" t="s">
        <v>1903</v>
      </c>
      <c r="I139" s="9" t="s">
        <v>311</v>
      </c>
      <c r="J139" s="9" t="s">
        <v>145</v>
      </c>
    </row>
    <row r="140" spans="1:10">
      <c r="A140" s="5" t="s">
        <v>468</v>
      </c>
      <c r="B140" s="6" t="s">
        <v>1902</v>
      </c>
      <c r="C140" s="7">
        <v>46184</v>
      </c>
      <c r="D140" s="9" t="s">
        <v>503</v>
      </c>
      <c r="E140" s="8" t="s">
        <v>1429</v>
      </c>
      <c r="F140" s="9" t="s">
        <v>586</v>
      </c>
      <c r="G140" s="9">
        <v>25</v>
      </c>
      <c r="H140" s="6" t="s">
        <v>1903</v>
      </c>
      <c r="I140" s="9" t="s">
        <v>311</v>
      </c>
      <c r="J140" s="9" t="s">
        <v>145</v>
      </c>
    </row>
    <row r="141" spans="1:10">
      <c r="A141" s="5" t="s">
        <v>471</v>
      </c>
      <c r="B141" s="6" t="s">
        <v>1902</v>
      </c>
      <c r="C141" s="7">
        <v>46184</v>
      </c>
      <c r="D141" s="9" t="s">
        <v>500</v>
      </c>
      <c r="E141" s="8" t="s">
        <v>3</v>
      </c>
      <c r="F141" s="9" t="s">
        <v>586</v>
      </c>
      <c r="G141" s="9">
        <v>1</v>
      </c>
      <c r="H141" s="6" t="s">
        <v>1903</v>
      </c>
      <c r="I141" s="9" t="s">
        <v>311</v>
      </c>
      <c r="J141" s="9" t="s">
        <v>145</v>
      </c>
    </row>
    <row r="142" spans="1:10">
      <c r="A142" s="5" t="s">
        <v>472</v>
      </c>
      <c r="B142" s="6" t="s">
        <v>1902</v>
      </c>
      <c r="C142" s="7">
        <v>46184</v>
      </c>
      <c r="D142" s="9" t="s">
        <v>261</v>
      </c>
      <c r="E142" s="4" t="s">
        <v>63</v>
      </c>
      <c r="F142" s="9" t="s">
        <v>586</v>
      </c>
      <c r="G142" s="9">
        <v>4</v>
      </c>
      <c r="H142" s="6" t="s">
        <v>1903</v>
      </c>
      <c r="I142" s="9" t="s">
        <v>311</v>
      </c>
      <c r="J142" s="9" t="s">
        <v>145</v>
      </c>
    </row>
    <row r="143" spans="1:10">
      <c r="A143" s="5" t="s">
        <v>475</v>
      </c>
      <c r="B143" s="6" t="s">
        <v>1902</v>
      </c>
      <c r="C143" s="7">
        <v>46184</v>
      </c>
      <c r="D143" s="9" t="s">
        <v>270</v>
      </c>
      <c r="E143" s="4" t="s">
        <v>271</v>
      </c>
      <c r="F143" s="9" t="s">
        <v>586</v>
      </c>
      <c r="G143" s="9">
        <v>4</v>
      </c>
      <c r="H143" s="6" t="s">
        <v>1903</v>
      </c>
      <c r="I143" s="9" t="s">
        <v>311</v>
      </c>
      <c r="J143" s="9" t="s">
        <v>145</v>
      </c>
    </row>
    <row r="144" spans="1:10">
      <c r="A144" s="5" t="s">
        <v>476</v>
      </c>
      <c r="B144" s="6" t="s">
        <v>1902</v>
      </c>
      <c r="C144" s="7">
        <v>46184</v>
      </c>
      <c r="D144" s="9" t="s">
        <v>503</v>
      </c>
      <c r="E144" s="8" t="s">
        <v>192</v>
      </c>
      <c r="F144" s="9" t="s">
        <v>586</v>
      </c>
      <c r="G144" s="9">
        <v>1</v>
      </c>
      <c r="H144" s="6" t="s">
        <v>1903</v>
      </c>
      <c r="I144" s="9" t="s">
        <v>311</v>
      </c>
      <c r="J144" s="9" t="s">
        <v>145</v>
      </c>
    </row>
    <row r="145" spans="1:10">
      <c r="A145" s="5" t="s">
        <v>477</v>
      </c>
      <c r="B145" s="6" t="s">
        <v>1904</v>
      </c>
      <c r="C145" s="7">
        <v>46184</v>
      </c>
      <c r="D145" s="9" t="s">
        <v>299</v>
      </c>
      <c r="E145" s="8" t="s">
        <v>22</v>
      </c>
      <c r="F145" s="9" t="s">
        <v>242</v>
      </c>
      <c r="G145" s="9">
        <v>1</v>
      </c>
      <c r="H145" s="6" t="s">
        <v>1905</v>
      </c>
      <c r="I145" s="9" t="s">
        <v>311</v>
      </c>
      <c r="J145" s="9" t="s">
        <v>145</v>
      </c>
    </row>
    <row r="146" spans="1:10">
      <c r="A146" s="5" t="s">
        <v>478</v>
      </c>
      <c r="B146" s="6" t="s">
        <v>1904</v>
      </c>
      <c r="C146" s="7">
        <v>46184</v>
      </c>
      <c r="D146" s="9" t="s">
        <v>299</v>
      </c>
      <c r="E146" s="8" t="s">
        <v>22</v>
      </c>
      <c r="F146" s="9" t="s">
        <v>246</v>
      </c>
      <c r="G146" s="9">
        <v>1</v>
      </c>
      <c r="H146" s="6" t="s">
        <v>1905</v>
      </c>
      <c r="I146" s="9" t="s">
        <v>311</v>
      </c>
      <c r="J146" s="9" t="s">
        <v>145</v>
      </c>
    </row>
    <row r="147" spans="1:10">
      <c r="A147" s="5" t="s">
        <v>480</v>
      </c>
      <c r="B147" s="6" t="s">
        <v>1906</v>
      </c>
      <c r="C147" s="7">
        <v>46184</v>
      </c>
      <c r="D147" s="9" t="s">
        <v>299</v>
      </c>
      <c r="E147" s="4" t="s">
        <v>21</v>
      </c>
      <c r="F147" s="9" t="s">
        <v>242</v>
      </c>
      <c r="G147" s="9">
        <v>1</v>
      </c>
      <c r="H147" s="6" t="s">
        <v>243</v>
      </c>
      <c r="I147" s="9" t="s">
        <v>609</v>
      </c>
      <c r="J147" s="9" t="s">
        <v>145</v>
      </c>
    </row>
    <row r="148" spans="1:10">
      <c r="A148" s="5" t="s">
        <v>481</v>
      </c>
      <c r="B148" s="6" t="s">
        <v>1906</v>
      </c>
      <c r="C148" s="7">
        <v>46184</v>
      </c>
      <c r="D148" s="9" t="s">
        <v>299</v>
      </c>
      <c r="E148" s="8" t="s">
        <v>21</v>
      </c>
      <c r="F148" s="9" t="s">
        <v>246</v>
      </c>
      <c r="G148" s="9">
        <v>1</v>
      </c>
      <c r="H148" s="6" t="s">
        <v>243</v>
      </c>
      <c r="I148" s="9" t="s">
        <v>609</v>
      </c>
      <c r="J148" s="9" t="s">
        <v>145</v>
      </c>
    </row>
    <row r="149" spans="1:10">
      <c r="A149" s="5" t="s">
        <v>482</v>
      </c>
      <c r="B149" s="6" t="s">
        <v>1907</v>
      </c>
      <c r="C149" s="7">
        <v>46184</v>
      </c>
      <c r="D149" s="9" t="s">
        <v>264</v>
      </c>
      <c r="E149" s="8" t="s">
        <v>36</v>
      </c>
      <c r="F149" s="9" t="s">
        <v>586</v>
      </c>
      <c r="G149" s="9">
        <v>1</v>
      </c>
      <c r="H149" s="6" t="s">
        <v>1908</v>
      </c>
      <c r="I149" s="9" t="s">
        <v>258</v>
      </c>
      <c r="J149" s="9" t="s">
        <v>145</v>
      </c>
    </row>
    <row r="150" spans="1:10">
      <c r="A150" s="5" t="s">
        <v>485</v>
      </c>
      <c r="B150" s="6" t="s">
        <v>1907</v>
      </c>
      <c r="C150" s="7">
        <v>46184</v>
      </c>
      <c r="D150" s="9" t="s">
        <v>261</v>
      </c>
      <c r="E150" s="8" t="s">
        <v>63</v>
      </c>
      <c r="F150" s="9" t="s">
        <v>586</v>
      </c>
      <c r="G150" s="9">
        <v>2</v>
      </c>
      <c r="H150" s="6" t="s">
        <v>1908</v>
      </c>
      <c r="I150" s="9" t="s">
        <v>258</v>
      </c>
      <c r="J150" s="9" t="s">
        <v>145</v>
      </c>
    </row>
    <row r="151" spans="1:10">
      <c r="A151" s="5" t="s">
        <v>486</v>
      </c>
      <c r="B151" s="6" t="s">
        <v>1907</v>
      </c>
      <c r="C151" s="7">
        <v>46184</v>
      </c>
      <c r="D151" s="9" t="s">
        <v>270</v>
      </c>
      <c r="E151" s="4" t="s">
        <v>271</v>
      </c>
      <c r="F151" s="9" t="s">
        <v>586</v>
      </c>
      <c r="G151" s="9">
        <v>4</v>
      </c>
      <c r="H151" s="6" t="s">
        <v>1908</v>
      </c>
      <c r="I151" s="9" t="s">
        <v>258</v>
      </c>
      <c r="J151" s="9" t="s">
        <v>145</v>
      </c>
    </row>
    <row r="152" spans="1:10">
      <c r="A152" s="5" t="s">
        <v>488</v>
      </c>
      <c r="B152" s="6" t="s">
        <v>1907</v>
      </c>
      <c r="C152" s="7">
        <v>46184</v>
      </c>
      <c r="D152" s="9" t="s">
        <v>503</v>
      </c>
      <c r="E152" s="8" t="s">
        <v>206</v>
      </c>
      <c r="F152" s="9" t="s">
        <v>586</v>
      </c>
      <c r="G152" s="9">
        <v>2</v>
      </c>
      <c r="H152" s="6" t="s">
        <v>1908</v>
      </c>
      <c r="I152" s="9" t="s">
        <v>258</v>
      </c>
      <c r="J152" s="9" t="s">
        <v>145</v>
      </c>
    </row>
    <row r="153" spans="1:10">
      <c r="A153" s="5" t="s">
        <v>489</v>
      </c>
      <c r="B153" s="6" t="s">
        <v>1909</v>
      </c>
      <c r="C153" s="7">
        <v>46185</v>
      </c>
      <c r="D153" s="9" t="s">
        <v>241</v>
      </c>
      <c r="E153" s="4" t="s">
        <v>1152</v>
      </c>
      <c r="F153" s="9" t="s">
        <v>242</v>
      </c>
      <c r="G153" s="9">
        <v>1</v>
      </c>
      <c r="H153" s="6" t="s">
        <v>931</v>
      </c>
      <c r="I153" s="9" t="s">
        <v>357</v>
      </c>
      <c r="J153" s="9" t="s">
        <v>145</v>
      </c>
    </row>
    <row r="154" spans="1:10">
      <c r="A154" s="5" t="s">
        <v>492</v>
      </c>
      <c r="B154" s="6" t="s">
        <v>1909</v>
      </c>
      <c r="C154" s="7">
        <v>46185</v>
      </c>
      <c r="D154" s="9" t="s">
        <v>241</v>
      </c>
      <c r="E154" s="8" t="s">
        <v>29</v>
      </c>
      <c r="F154" s="9" t="s">
        <v>246</v>
      </c>
      <c r="G154" s="9">
        <v>1</v>
      </c>
      <c r="H154" s="6" t="s">
        <v>931</v>
      </c>
      <c r="I154" s="9" t="s">
        <v>357</v>
      </c>
      <c r="J154" s="9" t="s">
        <v>145</v>
      </c>
    </row>
    <row r="155" spans="1:10">
      <c r="A155" s="5" t="s">
        <v>493</v>
      </c>
      <c r="B155" s="6" t="s">
        <v>1909</v>
      </c>
      <c r="C155" s="7">
        <v>46185</v>
      </c>
      <c r="D155" s="9" t="s">
        <v>261</v>
      </c>
      <c r="E155" s="4" t="s">
        <v>62</v>
      </c>
      <c r="F155" s="9" t="s">
        <v>242</v>
      </c>
      <c r="G155" s="9">
        <v>0</v>
      </c>
      <c r="H155" s="6" t="s">
        <v>931</v>
      </c>
      <c r="I155" s="9" t="s">
        <v>357</v>
      </c>
      <c r="J155" s="9" t="s">
        <v>145</v>
      </c>
    </row>
    <row r="156" spans="1:10">
      <c r="A156" s="5" t="s">
        <v>495</v>
      </c>
      <c r="B156" s="6" t="s">
        <v>1910</v>
      </c>
      <c r="C156" s="7">
        <v>46186</v>
      </c>
      <c r="D156" s="9" t="s">
        <v>299</v>
      </c>
      <c r="E156" s="8" t="s">
        <v>22</v>
      </c>
      <c r="F156" s="9" t="s">
        <v>242</v>
      </c>
      <c r="G156" s="9">
        <v>1</v>
      </c>
      <c r="H156" s="6" t="s">
        <v>243</v>
      </c>
      <c r="I156" s="9" t="s">
        <v>628</v>
      </c>
      <c r="J156" s="9" t="s">
        <v>145</v>
      </c>
    </row>
    <row r="157" spans="1:10">
      <c r="A157" s="5" t="s">
        <v>496</v>
      </c>
      <c r="B157" s="6" t="s">
        <v>1910</v>
      </c>
      <c r="C157" s="7">
        <v>46186</v>
      </c>
      <c r="D157" s="9" t="s">
        <v>299</v>
      </c>
      <c r="E157" s="8" t="s">
        <v>376</v>
      </c>
      <c r="F157" s="9" t="s">
        <v>246</v>
      </c>
      <c r="G157" s="9">
        <v>1</v>
      </c>
      <c r="H157" s="6" t="s">
        <v>243</v>
      </c>
      <c r="I157" s="9" t="s">
        <v>628</v>
      </c>
      <c r="J157" s="9" t="s">
        <v>145</v>
      </c>
    </row>
    <row r="158" spans="1:10">
      <c r="A158" s="5" t="s">
        <v>498</v>
      </c>
      <c r="B158" s="6" t="s">
        <v>1910</v>
      </c>
      <c r="C158" s="7">
        <v>46186</v>
      </c>
      <c r="D158" s="9" t="s">
        <v>261</v>
      </c>
      <c r="E158" s="4" t="s">
        <v>63</v>
      </c>
      <c r="F158" s="9" t="s">
        <v>242</v>
      </c>
      <c r="G158" s="9">
        <v>3</v>
      </c>
      <c r="H158" s="6" t="s">
        <v>243</v>
      </c>
      <c r="I158" s="9" t="s">
        <v>628</v>
      </c>
      <c r="J158" s="9" t="s">
        <v>145</v>
      </c>
    </row>
    <row r="159" spans="1:10">
      <c r="A159" s="5" t="s">
        <v>499</v>
      </c>
      <c r="B159" s="6" t="s">
        <v>1910</v>
      </c>
      <c r="C159" s="7">
        <v>46186</v>
      </c>
      <c r="D159" s="9" t="s">
        <v>270</v>
      </c>
      <c r="E159" s="8" t="s">
        <v>271</v>
      </c>
      <c r="F159" s="9" t="s">
        <v>242</v>
      </c>
      <c r="G159" s="9">
        <v>3</v>
      </c>
      <c r="H159" s="6" t="s">
        <v>243</v>
      </c>
      <c r="I159" s="9" t="s">
        <v>628</v>
      </c>
      <c r="J159" s="9" t="s">
        <v>145</v>
      </c>
    </row>
    <row r="160" spans="1:10">
      <c r="A160" s="5" t="s">
        <v>501</v>
      </c>
      <c r="B160" s="6" t="s">
        <v>1910</v>
      </c>
      <c r="C160" s="7">
        <v>46186</v>
      </c>
      <c r="D160" s="9" t="s">
        <v>503</v>
      </c>
      <c r="E160" s="4" t="s">
        <v>162</v>
      </c>
      <c r="F160" s="9" t="s">
        <v>242</v>
      </c>
      <c r="G160" s="9">
        <v>1</v>
      </c>
      <c r="H160" s="6" t="s">
        <v>243</v>
      </c>
      <c r="I160" s="9" t="s">
        <v>628</v>
      </c>
      <c r="J160" s="9" t="s">
        <v>145</v>
      </c>
    </row>
    <row r="161" spans="1:10">
      <c r="A161" s="5" t="s">
        <v>502</v>
      </c>
      <c r="B161" s="6" t="s">
        <v>1911</v>
      </c>
      <c r="C161" s="7">
        <v>46188</v>
      </c>
      <c r="D161" s="9" t="s">
        <v>241</v>
      </c>
      <c r="E161" s="8" t="s">
        <v>28</v>
      </c>
      <c r="F161" s="9" t="s">
        <v>242</v>
      </c>
      <c r="G161" s="9">
        <v>1</v>
      </c>
      <c r="H161" s="6" t="s">
        <v>243</v>
      </c>
      <c r="I161" s="9" t="s">
        <v>415</v>
      </c>
      <c r="J161" s="9" t="s">
        <v>145</v>
      </c>
    </row>
    <row r="162" spans="1:10">
      <c r="A162" s="5" t="s">
        <v>504</v>
      </c>
      <c r="B162" s="6" t="s">
        <v>1911</v>
      </c>
      <c r="C162" s="7">
        <v>46188</v>
      </c>
      <c r="D162" s="9" t="s">
        <v>241</v>
      </c>
      <c r="E162" s="4" t="s">
        <v>29</v>
      </c>
      <c r="F162" s="9" t="s">
        <v>246</v>
      </c>
      <c r="G162" s="9">
        <v>1</v>
      </c>
      <c r="H162" s="6" t="s">
        <v>243</v>
      </c>
      <c r="I162" s="9" t="s">
        <v>415</v>
      </c>
      <c r="J162" s="9" t="s">
        <v>145</v>
      </c>
    </row>
    <row r="163" spans="1:10">
      <c r="A163" s="5" t="s">
        <v>507</v>
      </c>
      <c r="B163" s="6" t="s">
        <v>1911</v>
      </c>
      <c r="C163" s="7">
        <v>46188</v>
      </c>
      <c r="D163" s="9" t="s">
        <v>261</v>
      </c>
      <c r="E163" s="8" t="s">
        <v>281</v>
      </c>
      <c r="F163" s="9" t="s">
        <v>242</v>
      </c>
      <c r="G163" s="9">
        <v>4</v>
      </c>
      <c r="H163" s="6" t="s">
        <v>243</v>
      </c>
      <c r="I163" s="9" t="s">
        <v>415</v>
      </c>
      <c r="J163" s="9" t="s">
        <v>145</v>
      </c>
    </row>
    <row r="164" spans="1:10">
      <c r="A164" s="5" t="s">
        <v>508</v>
      </c>
      <c r="B164" s="6" t="s">
        <v>1912</v>
      </c>
      <c r="C164" s="7">
        <v>46188</v>
      </c>
      <c r="D164" s="9" t="s">
        <v>665</v>
      </c>
      <c r="E164" s="8" t="s">
        <v>666</v>
      </c>
      <c r="F164" s="9" t="s">
        <v>242</v>
      </c>
      <c r="G164" s="9">
        <v>1</v>
      </c>
      <c r="H164" s="6" t="s">
        <v>1913</v>
      </c>
      <c r="I164" s="9" t="s">
        <v>484</v>
      </c>
      <c r="J164" s="9" t="s">
        <v>145</v>
      </c>
    </row>
    <row r="165" spans="1:10">
      <c r="A165" s="5" t="s">
        <v>510</v>
      </c>
      <c r="B165" s="6" t="s">
        <v>1912</v>
      </c>
      <c r="C165" s="7">
        <v>46188</v>
      </c>
      <c r="D165" s="9" t="s">
        <v>564</v>
      </c>
      <c r="E165" s="8" t="s">
        <v>920</v>
      </c>
      <c r="F165" s="9" t="s">
        <v>246</v>
      </c>
      <c r="G165" s="9">
        <v>1</v>
      </c>
      <c r="H165" s="6" t="s">
        <v>1913</v>
      </c>
      <c r="I165" s="9" t="s">
        <v>484</v>
      </c>
      <c r="J165" s="9" t="s">
        <v>145</v>
      </c>
    </row>
    <row r="166" spans="1:10">
      <c r="A166" s="5" t="s">
        <v>511</v>
      </c>
      <c r="B166" s="6" t="s">
        <v>1912</v>
      </c>
      <c r="C166" s="7">
        <v>46188</v>
      </c>
      <c r="D166" s="9" t="s">
        <v>261</v>
      </c>
      <c r="E166" s="8" t="s">
        <v>63</v>
      </c>
      <c r="F166" s="9" t="s">
        <v>242</v>
      </c>
      <c r="G166" s="9">
        <v>1</v>
      </c>
      <c r="H166" s="6" t="s">
        <v>1913</v>
      </c>
      <c r="I166" s="9" t="s">
        <v>484</v>
      </c>
      <c r="J166" s="9" t="s">
        <v>145</v>
      </c>
    </row>
    <row r="167" spans="1:10">
      <c r="A167" s="5" t="s">
        <v>515</v>
      </c>
      <c r="B167" s="6" t="s">
        <v>1912</v>
      </c>
      <c r="C167" s="7">
        <v>46188</v>
      </c>
      <c r="D167" s="9" t="s">
        <v>270</v>
      </c>
      <c r="E167" s="8" t="s">
        <v>271</v>
      </c>
      <c r="F167" s="9" t="s">
        <v>242</v>
      </c>
      <c r="G167" s="9">
        <v>1</v>
      </c>
      <c r="H167" s="6" t="s">
        <v>1913</v>
      </c>
      <c r="I167" s="9" t="s">
        <v>484</v>
      </c>
      <c r="J167" s="9" t="s">
        <v>145</v>
      </c>
    </row>
    <row r="168" spans="1:10">
      <c r="A168" s="5" t="s">
        <v>516</v>
      </c>
      <c r="B168" s="6" t="s">
        <v>1914</v>
      </c>
      <c r="C168" s="7">
        <v>46188</v>
      </c>
      <c r="D168" s="9" t="s">
        <v>564</v>
      </c>
      <c r="E168" s="8" t="s">
        <v>920</v>
      </c>
      <c r="F168" s="9" t="s">
        <v>242</v>
      </c>
      <c r="G168" s="9">
        <v>1</v>
      </c>
      <c r="H168" s="6" t="s">
        <v>1915</v>
      </c>
      <c r="I168" s="9" t="s">
        <v>609</v>
      </c>
      <c r="J168" s="9" t="s">
        <v>145</v>
      </c>
    </row>
    <row r="169" spans="1:10">
      <c r="A169" s="5" t="s">
        <v>519</v>
      </c>
      <c r="B169" s="6" t="s">
        <v>1914</v>
      </c>
      <c r="C169" s="7">
        <v>46188</v>
      </c>
      <c r="D169" s="9" t="s">
        <v>564</v>
      </c>
      <c r="E169" s="8" t="s">
        <v>920</v>
      </c>
      <c r="F169" s="9" t="s">
        <v>246</v>
      </c>
      <c r="G169" s="9">
        <v>1</v>
      </c>
      <c r="H169" s="6" t="s">
        <v>1915</v>
      </c>
      <c r="I169" s="9" t="s">
        <v>609</v>
      </c>
      <c r="J169" s="9" t="s">
        <v>145</v>
      </c>
    </row>
    <row r="170" spans="1:10">
      <c r="A170" s="5" t="s">
        <v>520</v>
      </c>
      <c r="B170" s="6" t="s">
        <v>1914</v>
      </c>
      <c r="C170" s="7">
        <v>46188</v>
      </c>
      <c r="D170" s="9" t="s">
        <v>261</v>
      </c>
      <c r="E170" s="4" t="s">
        <v>63</v>
      </c>
      <c r="F170" s="9" t="s">
        <v>242</v>
      </c>
      <c r="G170" s="9">
        <v>1</v>
      </c>
      <c r="H170" s="6" t="s">
        <v>1915</v>
      </c>
      <c r="I170" s="9" t="s">
        <v>609</v>
      </c>
      <c r="J170" s="9" t="s">
        <v>145</v>
      </c>
    </row>
    <row r="171" spans="1:10">
      <c r="A171" s="5" t="s">
        <v>521</v>
      </c>
      <c r="B171" s="6" t="s">
        <v>1914</v>
      </c>
      <c r="C171" s="7">
        <v>46188</v>
      </c>
      <c r="D171" s="9" t="s">
        <v>270</v>
      </c>
      <c r="E171" s="8" t="s">
        <v>271</v>
      </c>
      <c r="F171" s="9" t="s">
        <v>242</v>
      </c>
      <c r="G171" s="9">
        <v>1</v>
      </c>
      <c r="H171" s="6" t="s">
        <v>1915</v>
      </c>
      <c r="I171" s="9" t="s">
        <v>609</v>
      </c>
      <c r="J171" s="9" t="s">
        <v>145</v>
      </c>
    </row>
    <row r="172" spans="1:10">
      <c r="A172" s="5" t="s">
        <v>523</v>
      </c>
      <c r="B172" s="6" t="s">
        <v>1914</v>
      </c>
      <c r="C172" s="7">
        <v>46188</v>
      </c>
      <c r="D172" s="9" t="s">
        <v>503</v>
      </c>
      <c r="E172" s="8" t="s">
        <v>1429</v>
      </c>
      <c r="F172" s="9" t="s">
        <v>242</v>
      </c>
      <c r="G172" s="9">
        <v>5</v>
      </c>
      <c r="H172" s="6" t="s">
        <v>1915</v>
      </c>
      <c r="I172" s="9" t="s">
        <v>609</v>
      </c>
      <c r="J172" s="9" t="s">
        <v>145</v>
      </c>
    </row>
    <row r="173" spans="1:10">
      <c r="A173" s="5" t="s">
        <v>524</v>
      </c>
      <c r="B173" s="6" t="s">
        <v>1916</v>
      </c>
      <c r="C173" s="7">
        <v>46188</v>
      </c>
      <c r="D173" s="9" t="s">
        <v>241</v>
      </c>
      <c r="E173" s="8" t="s">
        <v>1152</v>
      </c>
      <c r="F173" s="9" t="s">
        <v>242</v>
      </c>
      <c r="G173" s="9">
        <v>1</v>
      </c>
      <c r="H173" s="6" t="s">
        <v>931</v>
      </c>
      <c r="I173" s="9" t="s">
        <v>258</v>
      </c>
      <c r="J173" s="9" t="s">
        <v>145</v>
      </c>
    </row>
    <row r="174" spans="1:10">
      <c r="A174" s="5" t="s">
        <v>527</v>
      </c>
      <c r="B174" s="6" t="s">
        <v>1916</v>
      </c>
      <c r="C174" s="7">
        <v>46188</v>
      </c>
      <c r="D174" s="9" t="s">
        <v>241</v>
      </c>
      <c r="E174" s="4" t="s">
        <v>29</v>
      </c>
      <c r="F174" s="9" t="s">
        <v>246</v>
      </c>
      <c r="G174" s="9">
        <v>1</v>
      </c>
      <c r="H174" s="6" t="s">
        <v>931</v>
      </c>
      <c r="I174" s="9" t="s">
        <v>258</v>
      </c>
      <c r="J174" s="9" t="s">
        <v>145</v>
      </c>
    </row>
    <row r="175" spans="1:10">
      <c r="A175" s="5" t="s">
        <v>528</v>
      </c>
      <c r="B175" s="6" t="s">
        <v>1916</v>
      </c>
      <c r="C175" s="7">
        <v>46188</v>
      </c>
      <c r="D175" s="9" t="s">
        <v>261</v>
      </c>
      <c r="E175" s="8" t="s">
        <v>281</v>
      </c>
      <c r="F175" s="9" t="s">
        <v>242</v>
      </c>
      <c r="G175" s="9">
        <v>2</v>
      </c>
      <c r="H175" s="6" t="s">
        <v>931</v>
      </c>
      <c r="I175" s="9" t="s">
        <v>258</v>
      </c>
      <c r="J175" s="9" t="s">
        <v>145</v>
      </c>
    </row>
    <row r="176" spans="1:10">
      <c r="A176" s="5" t="s">
        <v>529</v>
      </c>
      <c r="B176" s="6" t="s">
        <v>1917</v>
      </c>
      <c r="C176" s="7">
        <v>46189</v>
      </c>
      <c r="D176" s="9" t="s">
        <v>241</v>
      </c>
      <c r="E176" s="8" t="s">
        <v>1152</v>
      </c>
      <c r="F176" s="9" t="s">
        <v>242</v>
      </c>
      <c r="G176" s="9">
        <v>1</v>
      </c>
      <c r="H176" s="6" t="s">
        <v>518</v>
      </c>
      <c r="I176" s="9" t="s">
        <v>973</v>
      </c>
      <c r="J176" s="9" t="s">
        <v>145</v>
      </c>
    </row>
    <row r="177" spans="1:10">
      <c r="A177" s="5" t="s">
        <v>533</v>
      </c>
      <c r="B177" s="6" t="s">
        <v>1917</v>
      </c>
      <c r="C177" s="7">
        <v>46189</v>
      </c>
      <c r="D177" s="9" t="s">
        <v>241</v>
      </c>
      <c r="E177" s="8" t="s">
        <v>28</v>
      </c>
      <c r="F177" s="9" t="s">
        <v>246</v>
      </c>
      <c r="G177" s="9">
        <v>1</v>
      </c>
      <c r="H177" s="6" t="s">
        <v>518</v>
      </c>
      <c r="I177" s="9" t="s">
        <v>973</v>
      </c>
      <c r="J177" s="9" t="s">
        <v>145</v>
      </c>
    </row>
    <row r="178" spans="1:10">
      <c r="A178" s="5" t="s">
        <v>534</v>
      </c>
      <c r="B178" s="6" t="s">
        <v>1918</v>
      </c>
      <c r="C178" s="7">
        <v>46189</v>
      </c>
      <c r="D178" s="9" t="s">
        <v>299</v>
      </c>
      <c r="E178" s="8" t="s">
        <v>22</v>
      </c>
      <c r="F178" s="9" t="s">
        <v>242</v>
      </c>
      <c r="G178" s="9">
        <v>1</v>
      </c>
      <c r="H178" s="6" t="s">
        <v>1638</v>
      </c>
      <c r="I178" s="9" t="s">
        <v>266</v>
      </c>
      <c r="J178" s="9" t="s">
        <v>145</v>
      </c>
    </row>
    <row r="179" spans="1:10">
      <c r="A179" s="5" t="s">
        <v>537</v>
      </c>
      <c r="B179" s="6" t="s">
        <v>1918</v>
      </c>
      <c r="C179" s="7">
        <v>46189</v>
      </c>
      <c r="D179" s="9" t="s">
        <v>299</v>
      </c>
      <c r="E179" s="8" t="s">
        <v>21</v>
      </c>
      <c r="F179" s="9" t="s">
        <v>246</v>
      </c>
      <c r="G179" s="9">
        <v>1</v>
      </c>
      <c r="H179" s="6" t="s">
        <v>1638</v>
      </c>
      <c r="I179" s="9" t="s">
        <v>266</v>
      </c>
      <c r="J179" s="9" t="s">
        <v>145</v>
      </c>
    </row>
    <row r="180" spans="1:10">
      <c r="A180" s="5" t="s">
        <v>538</v>
      </c>
      <c r="B180" s="6" t="s">
        <v>1919</v>
      </c>
      <c r="C180" s="7">
        <v>46189</v>
      </c>
      <c r="D180" s="9" t="s">
        <v>665</v>
      </c>
      <c r="E180" s="8" t="s">
        <v>666</v>
      </c>
      <c r="F180" s="9" t="s">
        <v>242</v>
      </c>
      <c r="G180" s="9">
        <v>1</v>
      </c>
      <c r="H180" s="6" t="s">
        <v>1920</v>
      </c>
      <c r="I180" s="9" t="s">
        <v>266</v>
      </c>
      <c r="J180" s="9" t="s">
        <v>145</v>
      </c>
    </row>
    <row r="181" spans="1:10">
      <c r="A181" s="5" t="s">
        <v>539</v>
      </c>
      <c r="B181" s="6" t="s">
        <v>1919</v>
      </c>
      <c r="C181" s="7">
        <v>46189</v>
      </c>
      <c r="D181" s="9" t="s">
        <v>261</v>
      </c>
      <c r="E181" s="4" t="s">
        <v>63</v>
      </c>
      <c r="F181" s="9" t="s">
        <v>242</v>
      </c>
      <c r="G181" s="9">
        <v>1</v>
      </c>
      <c r="H181" s="6" t="s">
        <v>1920</v>
      </c>
      <c r="I181" s="9" t="s">
        <v>266</v>
      </c>
      <c r="J181" s="9" t="s">
        <v>145</v>
      </c>
    </row>
    <row r="182" spans="1:10">
      <c r="A182" s="5" t="s">
        <v>541</v>
      </c>
      <c r="B182" s="6" t="s">
        <v>1919</v>
      </c>
      <c r="C182" s="7">
        <v>46189</v>
      </c>
      <c r="D182" s="9" t="s">
        <v>270</v>
      </c>
      <c r="E182" s="8" t="s">
        <v>271</v>
      </c>
      <c r="F182" s="9" t="s">
        <v>242</v>
      </c>
      <c r="G182" s="9">
        <v>1</v>
      </c>
      <c r="H182" s="6" t="s">
        <v>1920</v>
      </c>
      <c r="I182" s="9" t="s">
        <v>266</v>
      </c>
      <c r="J182" s="9" t="s">
        <v>145</v>
      </c>
    </row>
    <row r="183" spans="1:10">
      <c r="A183" s="5" t="s">
        <v>542</v>
      </c>
      <c r="B183" s="6" t="s">
        <v>1919</v>
      </c>
      <c r="C183" s="7">
        <v>46189</v>
      </c>
      <c r="D183" s="9" t="s">
        <v>503</v>
      </c>
      <c r="E183" s="4" t="s">
        <v>75</v>
      </c>
      <c r="F183" s="9" t="s">
        <v>242</v>
      </c>
      <c r="G183" s="9">
        <v>1</v>
      </c>
      <c r="H183" s="6" t="s">
        <v>1920</v>
      </c>
      <c r="I183" s="9" t="s">
        <v>266</v>
      </c>
      <c r="J183" s="9" t="s">
        <v>145</v>
      </c>
    </row>
    <row r="184" spans="1:10">
      <c r="A184" s="5" t="s">
        <v>543</v>
      </c>
      <c r="B184" s="6" t="s">
        <v>1921</v>
      </c>
      <c r="C184" s="7">
        <v>46189</v>
      </c>
      <c r="D184" s="9" t="s">
        <v>241</v>
      </c>
      <c r="E184" s="8" t="s">
        <v>1152</v>
      </c>
      <c r="F184" s="9" t="s">
        <v>586</v>
      </c>
      <c r="G184" s="9">
        <v>1</v>
      </c>
      <c r="H184" s="6" t="s">
        <v>587</v>
      </c>
      <c r="I184" s="9" t="s">
        <v>605</v>
      </c>
      <c r="J184" s="9" t="s">
        <v>145</v>
      </c>
    </row>
    <row r="185" spans="1:10">
      <c r="A185" s="5" t="s">
        <v>544</v>
      </c>
      <c r="B185" s="6" t="s">
        <v>1922</v>
      </c>
      <c r="C185" s="7">
        <v>46189</v>
      </c>
      <c r="D185" s="9" t="s">
        <v>241</v>
      </c>
      <c r="E185" s="8" t="s">
        <v>28</v>
      </c>
      <c r="F185" s="9" t="s">
        <v>242</v>
      </c>
      <c r="G185" s="9">
        <v>1</v>
      </c>
      <c r="H185" s="6" t="s">
        <v>243</v>
      </c>
      <c r="I185" s="9" t="s">
        <v>311</v>
      </c>
      <c r="J185" s="9" t="s">
        <v>145</v>
      </c>
    </row>
    <row r="186" spans="1:10">
      <c r="A186" s="5" t="s">
        <v>545</v>
      </c>
      <c r="B186" s="6" t="s">
        <v>1922</v>
      </c>
      <c r="C186" s="7">
        <v>46189</v>
      </c>
      <c r="D186" s="9" t="s">
        <v>241</v>
      </c>
      <c r="E186" s="8" t="s">
        <v>29</v>
      </c>
      <c r="F186" s="9" t="s">
        <v>246</v>
      </c>
      <c r="G186" s="9">
        <v>1</v>
      </c>
      <c r="H186" s="6" t="s">
        <v>243</v>
      </c>
      <c r="I186" s="9" t="s">
        <v>311</v>
      </c>
      <c r="J186" s="9" t="s">
        <v>145</v>
      </c>
    </row>
    <row r="187" spans="1:10">
      <c r="A187" s="5" t="s">
        <v>546</v>
      </c>
      <c r="B187" s="6" t="s">
        <v>1923</v>
      </c>
      <c r="C187" s="7">
        <v>46189</v>
      </c>
      <c r="D187" s="9" t="s">
        <v>241</v>
      </c>
      <c r="E187" s="8" t="s">
        <v>28</v>
      </c>
      <c r="F187" s="9" t="s">
        <v>242</v>
      </c>
      <c r="G187" s="9">
        <v>1</v>
      </c>
      <c r="H187" s="6" t="s">
        <v>243</v>
      </c>
      <c r="I187" s="9" t="s">
        <v>311</v>
      </c>
      <c r="J187" s="9" t="s">
        <v>145</v>
      </c>
    </row>
    <row r="188" spans="1:10">
      <c r="A188" s="5" t="s">
        <v>549</v>
      </c>
      <c r="B188" s="6" t="s">
        <v>1923</v>
      </c>
      <c r="C188" s="7">
        <v>46189</v>
      </c>
      <c r="D188" s="9" t="s">
        <v>241</v>
      </c>
      <c r="E188" s="8" t="s">
        <v>29</v>
      </c>
      <c r="F188" s="9" t="s">
        <v>246</v>
      </c>
      <c r="G188" s="9">
        <v>1</v>
      </c>
      <c r="H188" s="6" t="s">
        <v>243</v>
      </c>
      <c r="I188" s="9" t="s">
        <v>311</v>
      </c>
      <c r="J188" s="9" t="s">
        <v>145</v>
      </c>
    </row>
    <row r="189" spans="1:10">
      <c r="A189" s="5" t="s">
        <v>550</v>
      </c>
      <c r="B189" s="6" t="s">
        <v>1923</v>
      </c>
      <c r="C189" s="7">
        <v>46189</v>
      </c>
      <c r="D189" s="9" t="s">
        <v>261</v>
      </c>
      <c r="E189" s="8" t="s">
        <v>281</v>
      </c>
      <c r="F189" s="9" t="s">
        <v>242</v>
      </c>
      <c r="G189" s="9">
        <v>2</v>
      </c>
      <c r="H189" s="6" t="s">
        <v>243</v>
      </c>
      <c r="I189" s="9" t="s">
        <v>311</v>
      </c>
      <c r="J189" s="9" t="s">
        <v>145</v>
      </c>
    </row>
    <row r="190" spans="1:10">
      <c r="A190" s="5" t="s">
        <v>551</v>
      </c>
      <c r="B190" s="6" t="s">
        <v>1924</v>
      </c>
      <c r="C190" s="7">
        <v>46189</v>
      </c>
      <c r="D190" s="9" t="s">
        <v>241</v>
      </c>
      <c r="E190" s="8" t="s">
        <v>28</v>
      </c>
      <c r="F190" s="9" t="s">
        <v>242</v>
      </c>
      <c r="G190" s="9">
        <v>1</v>
      </c>
      <c r="H190" s="6" t="s">
        <v>243</v>
      </c>
      <c r="I190" s="9" t="s">
        <v>311</v>
      </c>
      <c r="J190" s="9" t="s">
        <v>145</v>
      </c>
    </row>
    <row r="191" spans="1:10">
      <c r="A191" s="5" t="s">
        <v>553</v>
      </c>
      <c r="B191" s="6" t="s">
        <v>1924</v>
      </c>
      <c r="C191" s="7">
        <v>46189</v>
      </c>
      <c r="D191" s="9" t="s">
        <v>241</v>
      </c>
      <c r="E191" s="8" t="s">
        <v>29</v>
      </c>
      <c r="F191" s="9" t="s">
        <v>246</v>
      </c>
      <c r="G191" s="9">
        <v>1</v>
      </c>
      <c r="H191" s="6" t="s">
        <v>243</v>
      </c>
      <c r="I191" s="9" t="s">
        <v>311</v>
      </c>
      <c r="J191" s="9" t="s">
        <v>145</v>
      </c>
    </row>
    <row r="192" spans="1:10">
      <c r="A192" s="5" t="s">
        <v>554</v>
      </c>
      <c r="B192" s="6" t="s">
        <v>1925</v>
      </c>
      <c r="C192" s="7">
        <v>46189</v>
      </c>
      <c r="D192" s="9" t="s">
        <v>241</v>
      </c>
      <c r="E192" s="4" t="s">
        <v>28</v>
      </c>
      <c r="F192" s="9" t="s">
        <v>242</v>
      </c>
      <c r="G192" s="9">
        <v>1</v>
      </c>
      <c r="H192" s="6" t="s">
        <v>328</v>
      </c>
      <c r="I192" s="9" t="s">
        <v>311</v>
      </c>
      <c r="J192" s="9" t="s">
        <v>145</v>
      </c>
    </row>
    <row r="193" spans="1:10">
      <c r="A193" s="5" t="s">
        <v>555</v>
      </c>
      <c r="B193" s="6" t="s">
        <v>1925</v>
      </c>
      <c r="C193" s="7">
        <v>46189</v>
      </c>
      <c r="D193" s="9" t="s">
        <v>241</v>
      </c>
      <c r="E193" s="8" t="s">
        <v>27</v>
      </c>
      <c r="F193" s="9" t="s">
        <v>246</v>
      </c>
      <c r="G193" s="9">
        <v>1</v>
      </c>
      <c r="H193" s="6" t="s">
        <v>328</v>
      </c>
      <c r="I193" s="9" t="s">
        <v>311</v>
      </c>
      <c r="J193" s="9" t="s">
        <v>145</v>
      </c>
    </row>
    <row r="194" spans="1:10">
      <c r="A194" s="5" t="s">
        <v>557</v>
      </c>
      <c r="B194" s="6" t="s">
        <v>1925</v>
      </c>
      <c r="C194" s="7">
        <v>46189</v>
      </c>
      <c r="D194" s="9" t="s">
        <v>261</v>
      </c>
      <c r="E194" s="8" t="s">
        <v>281</v>
      </c>
      <c r="F194" s="9" t="s">
        <v>242</v>
      </c>
      <c r="G194" s="9">
        <v>3</v>
      </c>
      <c r="H194" s="6" t="s">
        <v>328</v>
      </c>
      <c r="I194" s="9" t="s">
        <v>311</v>
      </c>
      <c r="J194" s="9" t="s">
        <v>145</v>
      </c>
    </row>
    <row r="195" spans="1:10">
      <c r="A195" s="5" t="s">
        <v>558</v>
      </c>
      <c r="B195" s="6" t="s">
        <v>1926</v>
      </c>
      <c r="C195" s="7">
        <v>46189</v>
      </c>
      <c r="D195" s="9" t="s">
        <v>241</v>
      </c>
      <c r="E195" s="8" t="s">
        <v>28</v>
      </c>
      <c r="F195" s="9" t="s">
        <v>242</v>
      </c>
      <c r="G195" s="9">
        <v>1</v>
      </c>
      <c r="H195" s="6" t="s">
        <v>243</v>
      </c>
      <c r="I195" s="9" t="s">
        <v>311</v>
      </c>
      <c r="J195" s="9" t="s">
        <v>145</v>
      </c>
    </row>
    <row r="196" spans="1:10">
      <c r="A196" s="5" t="s">
        <v>561</v>
      </c>
      <c r="B196" s="6" t="s">
        <v>1926</v>
      </c>
      <c r="C196" s="7">
        <v>46189</v>
      </c>
      <c r="D196" s="9" t="s">
        <v>241</v>
      </c>
      <c r="E196" s="8" t="s">
        <v>27</v>
      </c>
      <c r="F196" s="9" t="s">
        <v>246</v>
      </c>
      <c r="G196" s="9">
        <v>1</v>
      </c>
      <c r="H196" s="6" t="s">
        <v>243</v>
      </c>
      <c r="I196" s="9" t="s">
        <v>311</v>
      </c>
      <c r="J196" s="9" t="s">
        <v>145</v>
      </c>
    </row>
    <row r="197" spans="1:10">
      <c r="A197" s="5" t="s">
        <v>562</v>
      </c>
      <c r="B197" s="6" t="s">
        <v>1927</v>
      </c>
      <c r="C197" s="7">
        <v>46189</v>
      </c>
      <c r="D197" s="9" t="s">
        <v>241</v>
      </c>
      <c r="E197" s="8" t="s">
        <v>28</v>
      </c>
      <c r="F197" s="9" t="s">
        <v>242</v>
      </c>
      <c r="G197" s="9">
        <v>1</v>
      </c>
      <c r="H197" s="6" t="s">
        <v>243</v>
      </c>
      <c r="I197" s="9" t="s">
        <v>311</v>
      </c>
      <c r="J197" s="9" t="s">
        <v>145</v>
      </c>
    </row>
    <row r="198" spans="1:10">
      <c r="A198" s="5" t="s">
        <v>567</v>
      </c>
      <c r="B198" s="6" t="s">
        <v>1927</v>
      </c>
      <c r="C198" s="7">
        <v>46189</v>
      </c>
      <c r="D198" s="9" t="s">
        <v>241</v>
      </c>
      <c r="E198" s="4" t="s">
        <v>29</v>
      </c>
      <c r="F198" s="9" t="s">
        <v>246</v>
      </c>
      <c r="G198" s="9">
        <v>1</v>
      </c>
      <c r="H198" s="6" t="s">
        <v>243</v>
      </c>
      <c r="I198" s="9" t="s">
        <v>311</v>
      </c>
      <c r="J198" s="9" t="s">
        <v>145</v>
      </c>
    </row>
    <row r="199" spans="1:10">
      <c r="A199" s="5" t="s">
        <v>568</v>
      </c>
      <c r="B199" s="6" t="s">
        <v>1928</v>
      </c>
      <c r="C199" s="7">
        <v>46189</v>
      </c>
      <c r="D199" s="9" t="s">
        <v>241</v>
      </c>
      <c r="E199" s="8" t="s">
        <v>28</v>
      </c>
      <c r="F199" s="9" t="s">
        <v>586</v>
      </c>
      <c r="G199" s="9">
        <v>1</v>
      </c>
      <c r="H199" s="6" t="s">
        <v>587</v>
      </c>
      <c r="I199" s="9" t="s">
        <v>311</v>
      </c>
      <c r="J199" s="9" t="s">
        <v>145</v>
      </c>
    </row>
    <row r="200" spans="1:10">
      <c r="A200" s="5" t="s">
        <v>569</v>
      </c>
      <c r="B200" s="6" t="s">
        <v>1929</v>
      </c>
      <c r="C200" s="7">
        <v>46189</v>
      </c>
      <c r="D200" s="9" t="s">
        <v>241</v>
      </c>
      <c r="E200" s="8" t="s">
        <v>28</v>
      </c>
      <c r="F200" s="9" t="s">
        <v>242</v>
      </c>
      <c r="G200" s="9">
        <v>1</v>
      </c>
      <c r="H200" s="6" t="s">
        <v>243</v>
      </c>
      <c r="I200" s="9" t="s">
        <v>311</v>
      </c>
      <c r="J200" s="9" t="s">
        <v>145</v>
      </c>
    </row>
    <row r="201" spans="1:10">
      <c r="A201" s="5" t="s">
        <v>570</v>
      </c>
      <c r="B201" s="6" t="s">
        <v>1929</v>
      </c>
      <c r="C201" s="7">
        <v>46189</v>
      </c>
      <c r="D201" s="9" t="s">
        <v>241</v>
      </c>
      <c r="E201" s="8" t="s">
        <v>27</v>
      </c>
      <c r="F201" s="9" t="s">
        <v>246</v>
      </c>
      <c r="G201" s="9">
        <v>1</v>
      </c>
      <c r="H201" s="6" t="s">
        <v>243</v>
      </c>
      <c r="I201" s="9" t="s">
        <v>311</v>
      </c>
      <c r="J201" s="9" t="s">
        <v>145</v>
      </c>
    </row>
    <row r="202" spans="1:10">
      <c r="A202" s="5" t="s">
        <v>571</v>
      </c>
      <c r="B202" s="6" t="s">
        <v>1930</v>
      </c>
      <c r="C202" s="7">
        <v>46189</v>
      </c>
      <c r="D202" s="9" t="s">
        <v>241</v>
      </c>
      <c r="E202" s="8" t="s">
        <v>28</v>
      </c>
      <c r="F202" s="9" t="s">
        <v>242</v>
      </c>
      <c r="G202" s="9">
        <v>2</v>
      </c>
      <c r="H202" s="6" t="s">
        <v>243</v>
      </c>
      <c r="I202" s="9" t="s">
        <v>311</v>
      </c>
      <c r="J202" s="9" t="s">
        <v>145</v>
      </c>
    </row>
    <row r="203" spans="1:10">
      <c r="A203" s="5" t="s">
        <v>573</v>
      </c>
      <c r="B203" s="6" t="s">
        <v>1930</v>
      </c>
      <c r="C203" s="7">
        <v>46189</v>
      </c>
      <c r="D203" s="9" t="s">
        <v>241</v>
      </c>
      <c r="E203" s="4" t="s">
        <v>27</v>
      </c>
      <c r="F203" s="9" t="s">
        <v>246</v>
      </c>
      <c r="G203" s="9">
        <v>2</v>
      </c>
      <c r="H203" s="6" t="s">
        <v>243</v>
      </c>
      <c r="I203" s="9" t="s">
        <v>311</v>
      </c>
      <c r="J203" s="9" t="s">
        <v>145</v>
      </c>
    </row>
    <row r="204" spans="1:10">
      <c r="A204" s="5" t="s">
        <v>574</v>
      </c>
      <c r="B204" s="6" t="s">
        <v>1931</v>
      </c>
      <c r="C204" s="7">
        <v>46189</v>
      </c>
      <c r="D204" s="9" t="s">
        <v>241</v>
      </c>
      <c r="E204" s="8" t="s">
        <v>28</v>
      </c>
      <c r="F204" s="9" t="s">
        <v>586</v>
      </c>
      <c r="G204" s="9">
        <v>1</v>
      </c>
      <c r="H204" s="6" t="s">
        <v>587</v>
      </c>
      <c r="I204" s="9" t="s">
        <v>311</v>
      </c>
      <c r="J204" s="9" t="s">
        <v>145</v>
      </c>
    </row>
    <row r="205" spans="1:10">
      <c r="A205" s="5" t="s">
        <v>575</v>
      </c>
      <c r="B205" s="6" t="s">
        <v>1932</v>
      </c>
      <c r="C205" s="7">
        <v>46189</v>
      </c>
      <c r="D205" s="9" t="s">
        <v>241</v>
      </c>
      <c r="E205" s="8" t="s">
        <v>28</v>
      </c>
      <c r="F205" s="9" t="s">
        <v>242</v>
      </c>
      <c r="G205" s="9">
        <v>1</v>
      </c>
      <c r="H205" s="6" t="s">
        <v>243</v>
      </c>
      <c r="I205" s="9" t="s">
        <v>311</v>
      </c>
      <c r="J205" s="9" t="s">
        <v>145</v>
      </c>
    </row>
    <row r="206" spans="1:10">
      <c r="A206" s="5" t="s">
        <v>576</v>
      </c>
      <c r="B206" s="6" t="s">
        <v>1932</v>
      </c>
      <c r="C206" s="7">
        <v>46189</v>
      </c>
      <c r="D206" s="9" t="s">
        <v>241</v>
      </c>
      <c r="E206" s="8" t="s">
        <v>27</v>
      </c>
      <c r="F206" s="9" t="s">
        <v>246</v>
      </c>
      <c r="G206" s="9">
        <v>1</v>
      </c>
      <c r="H206" s="6" t="s">
        <v>243</v>
      </c>
      <c r="I206" s="9" t="s">
        <v>311</v>
      </c>
      <c r="J206" s="9" t="s">
        <v>145</v>
      </c>
    </row>
    <row r="207" spans="1:10">
      <c r="A207" s="5" t="s">
        <v>577</v>
      </c>
      <c r="B207" s="6" t="s">
        <v>1933</v>
      </c>
      <c r="C207" s="7">
        <v>46189</v>
      </c>
      <c r="D207" s="9" t="s">
        <v>241</v>
      </c>
      <c r="E207" s="8" t="s">
        <v>28</v>
      </c>
      <c r="F207" s="9" t="s">
        <v>242</v>
      </c>
      <c r="G207" s="9">
        <v>1</v>
      </c>
      <c r="H207" s="6" t="s">
        <v>243</v>
      </c>
      <c r="I207" s="9" t="s">
        <v>311</v>
      </c>
      <c r="J207" s="9" t="s">
        <v>145</v>
      </c>
    </row>
    <row r="208" spans="1:10">
      <c r="A208" s="5" t="s">
        <v>580</v>
      </c>
      <c r="B208" s="6" t="s">
        <v>1933</v>
      </c>
      <c r="C208" s="7">
        <v>46189</v>
      </c>
      <c r="D208" s="9" t="s">
        <v>241</v>
      </c>
      <c r="E208" s="8" t="s">
        <v>29</v>
      </c>
      <c r="F208" s="9" t="s">
        <v>246</v>
      </c>
      <c r="G208" s="9">
        <v>1</v>
      </c>
      <c r="H208" s="6" t="s">
        <v>243</v>
      </c>
      <c r="I208" s="9" t="s">
        <v>311</v>
      </c>
      <c r="J208" s="9" t="s">
        <v>145</v>
      </c>
    </row>
    <row r="209" spans="1:10">
      <c r="A209" s="5" t="s">
        <v>581</v>
      </c>
      <c r="B209" s="6" t="s">
        <v>1934</v>
      </c>
      <c r="C209" s="7">
        <v>46189</v>
      </c>
      <c r="D209" s="9" t="s">
        <v>241</v>
      </c>
      <c r="E209" s="8" t="s">
        <v>28</v>
      </c>
      <c r="F209" s="9" t="s">
        <v>242</v>
      </c>
      <c r="G209" s="9">
        <v>1</v>
      </c>
      <c r="H209" s="6" t="s">
        <v>328</v>
      </c>
      <c r="I209" s="9" t="s">
        <v>311</v>
      </c>
      <c r="J209" s="9" t="s">
        <v>145</v>
      </c>
    </row>
    <row r="210" spans="1:10">
      <c r="A210" s="5" t="s">
        <v>583</v>
      </c>
      <c r="B210" s="6" t="s">
        <v>1934</v>
      </c>
      <c r="C210" s="7">
        <v>46189</v>
      </c>
      <c r="D210" s="9" t="s">
        <v>241</v>
      </c>
      <c r="E210" s="8" t="s">
        <v>29</v>
      </c>
      <c r="F210" s="9" t="s">
        <v>246</v>
      </c>
      <c r="G210" s="9">
        <v>1</v>
      </c>
      <c r="H210" s="6" t="s">
        <v>328</v>
      </c>
      <c r="I210" s="9" t="s">
        <v>311</v>
      </c>
      <c r="J210" s="9" t="s">
        <v>145</v>
      </c>
    </row>
    <row r="211" spans="1:10">
      <c r="A211" s="5" t="s">
        <v>584</v>
      </c>
      <c r="B211" s="6" t="s">
        <v>1935</v>
      </c>
      <c r="C211" s="7">
        <v>46189</v>
      </c>
      <c r="D211" s="9" t="s">
        <v>241</v>
      </c>
      <c r="E211" s="8" t="s">
        <v>1152</v>
      </c>
      <c r="F211" s="9" t="s">
        <v>242</v>
      </c>
      <c r="G211" s="9">
        <v>1</v>
      </c>
      <c r="H211" s="6" t="s">
        <v>243</v>
      </c>
      <c r="I211" s="9" t="s">
        <v>311</v>
      </c>
      <c r="J211" s="9" t="s">
        <v>145</v>
      </c>
    </row>
    <row r="212" spans="1:10">
      <c r="A212" s="5" t="s">
        <v>588</v>
      </c>
      <c r="B212" s="6" t="s">
        <v>1935</v>
      </c>
      <c r="C212" s="7">
        <v>46189</v>
      </c>
      <c r="D212" s="9" t="s">
        <v>241</v>
      </c>
      <c r="E212" s="8" t="s">
        <v>27</v>
      </c>
      <c r="F212" s="9" t="s">
        <v>246</v>
      </c>
      <c r="G212" s="9">
        <v>1</v>
      </c>
      <c r="H212" s="6" t="s">
        <v>243</v>
      </c>
      <c r="I212" s="9" t="s">
        <v>311</v>
      </c>
      <c r="J212" s="9" t="s">
        <v>145</v>
      </c>
    </row>
    <row r="213" spans="1:10">
      <c r="A213" s="5" t="s">
        <v>591</v>
      </c>
      <c r="B213" s="6" t="s">
        <v>1935</v>
      </c>
      <c r="C213" s="7">
        <v>46189</v>
      </c>
      <c r="D213" s="9" t="s">
        <v>261</v>
      </c>
      <c r="E213" s="8" t="s">
        <v>281</v>
      </c>
      <c r="F213" s="9" t="s">
        <v>242</v>
      </c>
      <c r="G213" s="9">
        <v>2</v>
      </c>
      <c r="H213" s="6" t="s">
        <v>243</v>
      </c>
      <c r="I213" s="9" t="s">
        <v>311</v>
      </c>
      <c r="J213" s="9" t="s">
        <v>145</v>
      </c>
    </row>
    <row r="214" spans="1:10">
      <c r="A214" s="5" t="s">
        <v>592</v>
      </c>
      <c r="B214" s="6" t="s">
        <v>1936</v>
      </c>
      <c r="C214" s="7">
        <v>46189</v>
      </c>
      <c r="D214" s="9" t="s">
        <v>241</v>
      </c>
      <c r="E214" s="8" t="s">
        <v>28</v>
      </c>
      <c r="F214" s="9" t="s">
        <v>242</v>
      </c>
      <c r="G214" s="9">
        <v>1</v>
      </c>
      <c r="H214" s="6" t="s">
        <v>243</v>
      </c>
      <c r="I214" s="9" t="s">
        <v>311</v>
      </c>
      <c r="J214" s="9" t="s">
        <v>145</v>
      </c>
    </row>
    <row r="215" spans="1:10">
      <c r="A215" s="5" t="s">
        <v>593</v>
      </c>
      <c r="B215" s="6" t="s">
        <v>1936</v>
      </c>
      <c r="C215" s="7">
        <v>46189</v>
      </c>
      <c r="D215" s="9" t="s">
        <v>241</v>
      </c>
      <c r="E215" s="8" t="s">
        <v>29</v>
      </c>
      <c r="F215" s="9" t="s">
        <v>246</v>
      </c>
      <c r="G215" s="9">
        <v>1</v>
      </c>
      <c r="H215" s="6" t="s">
        <v>243</v>
      </c>
      <c r="I215" s="9" t="s">
        <v>311</v>
      </c>
      <c r="J215" s="9" t="s">
        <v>145</v>
      </c>
    </row>
    <row r="216" spans="1:10">
      <c r="A216" s="5" t="s">
        <v>595</v>
      </c>
      <c r="B216" s="6" t="s">
        <v>1937</v>
      </c>
      <c r="C216" s="7">
        <v>46189</v>
      </c>
      <c r="D216" s="9" t="s">
        <v>241</v>
      </c>
      <c r="E216" s="8" t="s">
        <v>1152</v>
      </c>
      <c r="F216" s="9" t="s">
        <v>242</v>
      </c>
      <c r="G216" s="9">
        <v>1</v>
      </c>
      <c r="H216" s="6" t="s">
        <v>243</v>
      </c>
      <c r="I216" s="9" t="s">
        <v>311</v>
      </c>
      <c r="J216" s="9" t="s">
        <v>145</v>
      </c>
    </row>
    <row r="217" spans="1:10">
      <c r="A217" s="5" t="s">
        <v>596</v>
      </c>
      <c r="B217" s="6" t="s">
        <v>1937</v>
      </c>
      <c r="C217" s="7">
        <v>46189</v>
      </c>
      <c r="D217" s="9" t="s">
        <v>241</v>
      </c>
      <c r="E217" s="8" t="s">
        <v>29</v>
      </c>
      <c r="F217" s="9" t="s">
        <v>246</v>
      </c>
      <c r="G217" s="9">
        <v>1</v>
      </c>
      <c r="H217" s="6" t="s">
        <v>243</v>
      </c>
      <c r="I217" s="9" t="s">
        <v>311</v>
      </c>
      <c r="J217" s="9" t="s">
        <v>145</v>
      </c>
    </row>
    <row r="218" spans="1:10">
      <c r="A218" s="5" t="s">
        <v>599</v>
      </c>
      <c r="B218" s="6" t="s">
        <v>1938</v>
      </c>
      <c r="C218" s="7">
        <v>46189</v>
      </c>
      <c r="D218" s="9" t="s">
        <v>241</v>
      </c>
      <c r="E218" s="8" t="s">
        <v>28</v>
      </c>
      <c r="F218" s="9" t="s">
        <v>242</v>
      </c>
      <c r="G218" s="9">
        <v>1</v>
      </c>
      <c r="H218" s="6" t="s">
        <v>243</v>
      </c>
      <c r="I218" s="9" t="s">
        <v>311</v>
      </c>
      <c r="J218" s="9" t="s">
        <v>145</v>
      </c>
    </row>
    <row r="219" spans="1:10">
      <c r="A219" s="5" t="s">
        <v>600</v>
      </c>
      <c r="B219" s="6" t="s">
        <v>1938</v>
      </c>
      <c r="C219" s="7">
        <v>46189</v>
      </c>
      <c r="D219" s="9" t="s">
        <v>241</v>
      </c>
      <c r="E219" s="8" t="s">
        <v>29</v>
      </c>
      <c r="F219" s="9" t="s">
        <v>246</v>
      </c>
      <c r="G219" s="9">
        <v>1</v>
      </c>
      <c r="H219" s="6" t="s">
        <v>243</v>
      </c>
      <c r="I219" s="9" t="s">
        <v>311</v>
      </c>
      <c r="J219" s="9" t="s">
        <v>145</v>
      </c>
    </row>
    <row r="220" spans="1:10">
      <c r="A220" s="5" t="s">
        <v>602</v>
      </c>
      <c r="B220" s="6" t="s">
        <v>1939</v>
      </c>
      <c r="C220" s="7">
        <v>46189</v>
      </c>
      <c r="D220" s="9" t="s">
        <v>241</v>
      </c>
      <c r="E220" s="8" t="s">
        <v>28</v>
      </c>
      <c r="F220" s="9" t="s">
        <v>242</v>
      </c>
      <c r="G220" s="9">
        <v>1</v>
      </c>
      <c r="H220" s="6" t="s">
        <v>243</v>
      </c>
      <c r="I220" s="9" t="s">
        <v>311</v>
      </c>
      <c r="J220" s="9" t="s">
        <v>145</v>
      </c>
    </row>
    <row r="221" spans="1:10">
      <c r="A221" s="5" t="s">
        <v>603</v>
      </c>
      <c r="B221" s="6" t="s">
        <v>1939</v>
      </c>
      <c r="C221" s="7">
        <v>46189</v>
      </c>
      <c r="D221" s="9" t="s">
        <v>241</v>
      </c>
      <c r="E221" s="8" t="s">
        <v>27</v>
      </c>
      <c r="F221" s="9" t="s">
        <v>246</v>
      </c>
      <c r="G221" s="9">
        <v>1</v>
      </c>
      <c r="H221" s="6" t="s">
        <v>243</v>
      </c>
      <c r="I221" s="9" t="s">
        <v>311</v>
      </c>
      <c r="J221" s="9" t="s">
        <v>145</v>
      </c>
    </row>
    <row r="222" spans="1:10">
      <c r="A222" s="5" t="s">
        <v>606</v>
      </c>
      <c r="B222" s="6" t="s">
        <v>1940</v>
      </c>
      <c r="C222" s="7">
        <v>46189</v>
      </c>
      <c r="D222" s="9" t="s">
        <v>241</v>
      </c>
      <c r="E222" s="8" t="s">
        <v>28</v>
      </c>
      <c r="F222" s="9" t="s">
        <v>242</v>
      </c>
      <c r="G222" s="9">
        <v>1</v>
      </c>
      <c r="H222" s="6" t="s">
        <v>243</v>
      </c>
      <c r="I222" s="9" t="s">
        <v>311</v>
      </c>
      <c r="J222" s="9" t="s">
        <v>145</v>
      </c>
    </row>
    <row r="223" spans="1:10">
      <c r="A223" s="5" t="s">
        <v>607</v>
      </c>
      <c r="B223" s="6" t="s">
        <v>1940</v>
      </c>
      <c r="C223" s="7">
        <v>46189</v>
      </c>
      <c r="D223" s="9" t="s">
        <v>241</v>
      </c>
      <c r="E223" s="8" t="s">
        <v>27</v>
      </c>
      <c r="F223" s="9" t="s">
        <v>246</v>
      </c>
      <c r="G223" s="9">
        <v>1</v>
      </c>
      <c r="H223" s="6" t="s">
        <v>243</v>
      </c>
      <c r="I223" s="9" t="s">
        <v>311</v>
      </c>
      <c r="J223" s="9" t="s">
        <v>145</v>
      </c>
    </row>
    <row r="224" spans="1:10">
      <c r="A224" s="5" t="s">
        <v>610</v>
      </c>
      <c r="B224" s="6" t="s">
        <v>1941</v>
      </c>
      <c r="C224" s="7">
        <v>46189</v>
      </c>
      <c r="D224" s="9" t="s">
        <v>299</v>
      </c>
      <c r="E224" s="4" t="s">
        <v>1152</v>
      </c>
      <c r="F224" s="9" t="s">
        <v>242</v>
      </c>
      <c r="G224" s="9">
        <v>1</v>
      </c>
      <c r="H224" s="6" t="s">
        <v>249</v>
      </c>
      <c r="I224" s="9" t="s">
        <v>329</v>
      </c>
      <c r="J224" s="9" t="s">
        <v>145</v>
      </c>
    </row>
    <row r="225" spans="1:10">
      <c r="A225" s="5" t="s">
        <v>611</v>
      </c>
      <c r="B225" s="6" t="s">
        <v>1941</v>
      </c>
      <c r="C225" s="7">
        <v>46189</v>
      </c>
      <c r="D225" s="9" t="s">
        <v>299</v>
      </c>
      <c r="E225" s="8" t="s">
        <v>29</v>
      </c>
      <c r="F225" s="9" t="s">
        <v>246</v>
      </c>
      <c r="G225" s="9">
        <v>1</v>
      </c>
      <c r="H225" s="6" t="s">
        <v>249</v>
      </c>
      <c r="I225" s="9" t="s">
        <v>329</v>
      </c>
      <c r="J225" s="9" t="s">
        <v>145</v>
      </c>
    </row>
    <row r="226" spans="1:10">
      <c r="A226" s="5" t="s">
        <v>612</v>
      </c>
      <c r="B226" s="6" t="s">
        <v>1941</v>
      </c>
      <c r="C226" s="7">
        <v>46189</v>
      </c>
      <c r="D226" s="9" t="s">
        <v>261</v>
      </c>
      <c r="E226" s="8" t="s">
        <v>63</v>
      </c>
      <c r="F226" s="9" t="s">
        <v>242</v>
      </c>
      <c r="G226" s="9">
        <v>6</v>
      </c>
      <c r="H226" s="6" t="s">
        <v>249</v>
      </c>
      <c r="I226" s="9" t="s">
        <v>329</v>
      </c>
      <c r="J226" s="9" t="s">
        <v>145</v>
      </c>
    </row>
    <row r="227" spans="1:10">
      <c r="A227" s="5" t="s">
        <v>613</v>
      </c>
      <c r="B227" s="6" t="s">
        <v>1941</v>
      </c>
      <c r="C227" s="7">
        <v>46189</v>
      </c>
      <c r="D227" s="9" t="s">
        <v>270</v>
      </c>
      <c r="E227" s="8" t="s">
        <v>271</v>
      </c>
      <c r="F227" s="9" t="s">
        <v>242</v>
      </c>
      <c r="G227" s="9">
        <v>6</v>
      </c>
      <c r="H227" s="6" t="s">
        <v>249</v>
      </c>
      <c r="I227" s="9" t="s">
        <v>329</v>
      </c>
      <c r="J227" s="9" t="s">
        <v>145</v>
      </c>
    </row>
    <row r="228" spans="1:10">
      <c r="A228" s="5" t="s">
        <v>617</v>
      </c>
      <c r="B228" s="6" t="s">
        <v>1941</v>
      </c>
      <c r="C228" s="7">
        <v>46189</v>
      </c>
      <c r="D228" s="9" t="s">
        <v>696</v>
      </c>
      <c r="E228" s="4" t="s">
        <v>87</v>
      </c>
      <c r="F228" s="9" t="s">
        <v>242</v>
      </c>
      <c r="G228" s="9">
        <v>70</v>
      </c>
      <c r="H228" s="6" t="s">
        <v>249</v>
      </c>
      <c r="I228" s="9" t="s">
        <v>329</v>
      </c>
      <c r="J228" s="9" t="s">
        <v>145</v>
      </c>
    </row>
    <row r="229" spans="1:10">
      <c r="A229" s="5" t="s">
        <v>618</v>
      </c>
      <c r="B229" s="6" t="s">
        <v>1941</v>
      </c>
      <c r="C229" s="7">
        <v>46189</v>
      </c>
      <c r="D229" s="9" t="s">
        <v>261</v>
      </c>
      <c r="E229" s="8" t="s">
        <v>63</v>
      </c>
      <c r="F229" s="9" t="s">
        <v>242</v>
      </c>
      <c r="G229" s="9">
        <v>2</v>
      </c>
      <c r="H229" s="6" t="s">
        <v>249</v>
      </c>
      <c r="I229" s="9" t="s">
        <v>329</v>
      </c>
      <c r="J229" s="9" t="s">
        <v>145</v>
      </c>
    </row>
    <row r="230" spans="1:10">
      <c r="A230" s="5" t="s">
        <v>620</v>
      </c>
      <c r="B230" s="6" t="s">
        <v>1941</v>
      </c>
      <c r="C230" s="7">
        <v>46189</v>
      </c>
      <c r="D230" s="9" t="s">
        <v>270</v>
      </c>
      <c r="E230" s="4" t="s">
        <v>68</v>
      </c>
      <c r="F230" s="9" t="s">
        <v>242</v>
      </c>
      <c r="G230" s="9">
        <v>2</v>
      </c>
      <c r="H230" s="6" t="s">
        <v>249</v>
      </c>
      <c r="I230" s="9" t="s">
        <v>329</v>
      </c>
      <c r="J230" s="9" t="s">
        <v>145</v>
      </c>
    </row>
    <row r="231" spans="1:10">
      <c r="A231" s="5" t="s">
        <v>621</v>
      </c>
      <c r="B231" s="6" t="s">
        <v>1941</v>
      </c>
      <c r="C231" s="7">
        <v>46189</v>
      </c>
      <c r="D231" s="9" t="s">
        <v>503</v>
      </c>
      <c r="E231" s="8" t="s">
        <v>206</v>
      </c>
      <c r="F231" s="9" t="s">
        <v>242</v>
      </c>
      <c r="G231" s="9">
        <v>2</v>
      </c>
      <c r="H231" s="6" t="s">
        <v>249</v>
      </c>
      <c r="I231" s="9" t="s">
        <v>329</v>
      </c>
      <c r="J231" s="9" t="s">
        <v>145</v>
      </c>
    </row>
    <row r="232" spans="1:10">
      <c r="A232" s="5" t="s">
        <v>624</v>
      </c>
      <c r="B232" s="6" t="s">
        <v>1942</v>
      </c>
      <c r="C232" s="7">
        <v>46190</v>
      </c>
      <c r="D232" s="9" t="s">
        <v>241</v>
      </c>
      <c r="E232" s="4" t="s">
        <v>28</v>
      </c>
      <c r="F232" s="9" t="s">
        <v>242</v>
      </c>
      <c r="G232" s="9">
        <v>1</v>
      </c>
      <c r="H232" s="6" t="s">
        <v>243</v>
      </c>
      <c r="I232" s="9" t="s">
        <v>284</v>
      </c>
      <c r="J232" s="9" t="s">
        <v>145</v>
      </c>
    </row>
    <row r="233" spans="1:10">
      <c r="A233" s="5" t="s">
        <v>625</v>
      </c>
      <c r="B233" s="6" t="s">
        <v>1942</v>
      </c>
      <c r="C233" s="7">
        <v>46190</v>
      </c>
      <c r="D233" s="9" t="s">
        <v>241</v>
      </c>
      <c r="E233" s="8" t="s">
        <v>29</v>
      </c>
      <c r="F233" s="9" t="s">
        <v>246</v>
      </c>
      <c r="G233" s="9">
        <v>1</v>
      </c>
      <c r="H233" s="6" t="s">
        <v>243</v>
      </c>
      <c r="I233" s="9" t="s">
        <v>284</v>
      </c>
      <c r="J233" s="9" t="s">
        <v>145</v>
      </c>
    </row>
    <row r="234" spans="1:10">
      <c r="A234" s="5" t="s">
        <v>626</v>
      </c>
      <c r="B234" s="6" t="s">
        <v>1942</v>
      </c>
      <c r="C234" s="7">
        <v>46190</v>
      </c>
      <c r="D234" s="9" t="s">
        <v>261</v>
      </c>
      <c r="E234" s="8" t="s">
        <v>281</v>
      </c>
      <c r="F234" s="9" t="s">
        <v>242</v>
      </c>
      <c r="G234" s="9">
        <v>2</v>
      </c>
      <c r="H234" s="6" t="s">
        <v>243</v>
      </c>
      <c r="I234" s="9" t="s">
        <v>284</v>
      </c>
      <c r="J234" s="9" t="s">
        <v>145</v>
      </c>
    </row>
    <row r="235" spans="1:10">
      <c r="A235" s="5" t="s">
        <v>629</v>
      </c>
      <c r="B235" s="6" t="s">
        <v>1943</v>
      </c>
      <c r="C235" s="7">
        <v>46190</v>
      </c>
      <c r="D235" s="9" t="s">
        <v>299</v>
      </c>
      <c r="E235" s="8" t="s">
        <v>21</v>
      </c>
      <c r="F235" s="9" t="s">
        <v>242</v>
      </c>
      <c r="G235" s="9">
        <v>1</v>
      </c>
      <c r="H235" s="6" t="s">
        <v>243</v>
      </c>
      <c r="I235" s="9" t="s">
        <v>275</v>
      </c>
      <c r="J235" s="9" t="s">
        <v>145</v>
      </c>
    </row>
    <row r="236" spans="1:10">
      <c r="A236" s="5" t="s">
        <v>630</v>
      </c>
      <c r="B236" s="6" t="s">
        <v>1943</v>
      </c>
      <c r="C236" s="7">
        <v>46190</v>
      </c>
      <c r="D236" s="9" t="s">
        <v>299</v>
      </c>
      <c r="E236" s="4" t="s">
        <v>21</v>
      </c>
      <c r="F236" s="9" t="s">
        <v>246</v>
      </c>
      <c r="G236" s="9">
        <v>1</v>
      </c>
      <c r="H236" s="6" t="s">
        <v>243</v>
      </c>
      <c r="I236" s="9" t="s">
        <v>275</v>
      </c>
      <c r="J236" s="9" t="s">
        <v>145</v>
      </c>
    </row>
    <row r="237" spans="1:10">
      <c r="A237" s="5" t="s">
        <v>631</v>
      </c>
      <c r="B237" s="6" t="s">
        <v>1944</v>
      </c>
      <c r="C237" s="7">
        <v>46190</v>
      </c>
      <c r="D237" s="9" t="s">
        <v>241</v>
      </c>
      <c r="E237" s="8" t="s">
        <v>1152</v>
      </c>
      <c r="F237" s="9" t="s">
        <v>242</v>
      </c>
      <c r="G237" s="9">
        <v>1</v>
      </c>
      <c r="H237" s="6" t="s">
        <v>560</v>
      </c>
      <c r="I237" s="9" t="s">
        <v>484</v>
      </c>
      <c r="J237" s="9" t="s">
        <v>145</v>
      </c>
    </row>
    <row r="238" spans="1:10">
      <c r="A238" s="5" t="s">
        <v>634</v>
      </c>
      <c r="B238" s="6" t="s">
        <v>1944</v>
      </c>
      <c r="C238" s="7">
        <v>46190</v>
      </c>
      <c r="D238" s="9" t="s">
        <v>241</v>
      </c>
      <c r="E238" s="8" t="s">
        <v>29</v>
      </c>
      <c r="F238" s="9" t="s">
        <v>246</v>
      </c>
      <c r="G238" s="9">
        <v>1</v>
      </c>
      <c r="H238" s="6" t="s">
        <v>560</v>
      </c>
      <c r="I238" s="9" t="s">
        <v>484</v>
      </c>
      <c r="J238" s="9" t="s">
        <v>145</v>
      </c>
    </row>
    <row r="239" spans="1:10">
      <c r="A239" s="5" t="s">
        <v>635</v>
      </c>
      <c r="B239" s="6" t="s">
        <v>1944</v>
      </c>
      <c r="C239" s="7">
        <v>46190</v>
      </c>
      <c r="D239" s="9" t="s">
        <v>261</v>
      </c>
      <c r="E239" s="8" t="s">
        <v>62</v>
      </c>
      <c r="F239" s="9" t="s">
        <v>242</v>
      </c>
      <c r="G239" s="9">
        <v>3</v>
      </c>
      <c r="H239" s="6" t="s">
        <v>560</v>
      </c>
      <c r="I239" s="9" t="s">
        <v>484</v>
      </c>
      <c r="J239" s="9" t="s">
        <v>145</v>
      </c>
    </row>
    <row r="240" spans="1:10">
      <c r="A240" s="5" t="s">
        <v>637</v>
      </c>
      <c r="B240" s="6" t="s">
        <v>1944</v>
      </c>
      <c r="C240" s="7">
        <v>46190</v>
      </c>
      <c r="D240" s="9" t="s">
        <v>395</v>
      </c>
      <c r="E240" s="8" t="s">
        <v>57</v>
      </c>
      <c r="F240" s="9" t="s">
        <v>242</v>
      </c>
      <c r="G240" s="9">
        <v>1</v>
      </c>
      <c r="H240" s="6" t="s">
        <v>560</v>
      </c>
      <c r="I240" s="9" t="s">
        <v>484</v>
      </c>
      <c r="J240" s="9" t="s">
        <v>145</v>
      </c>
    </row>
    <row r="241" spans="1:10">
      <c r="A241" s="5" t="s">
        <v>638</v>
      </c>
      <c r="B241" s="6" t="s">
        <v>1945</v>
      </c>
      <c r="C241" s="7">
        <v>46190</v>
      </c>
      <c r="D241" s="9" t="s">
        <v>241</v>
      </c>
      <c r="E241" s="4" t="s">
        <v>28</v>
      </c>
      <c r="F241" s="9" t="s">
        <v>242</v>
      </c>
      <c r="G241" s="9">
        <v>1</v>
      </c>
      <c r="H241" s="6" t="s">
        <v>249</v>
      </c>
      <c r="I241" s="9" t="s">
        <v>253</v>
      </c>
      <c r="J241" s="9" t="s">
        <v>145</v>
      </c>
    </row>
    <row r="242" spans="1:10">
      <c r="A242" s="5" t="s">
        <v>640</v>
      </c>
      <c r="B242" s="6" t="s">
        <v>1945</v>
      </c>
      <c r="C242" s="7">
        <v>46190</v>
      </c>
      <c r="D242" s="9" t="s">
        <v>241</v>
      </c>
      <c r="E242" s="4" t="s">
        <v>27</v>
      </c>
      <c r="F242" s="9" t="s">
        <v>246</v>
      </c>
      <c r="G242" s="9">
        <v>1</v>
      </c>
      <c r="H242" s="6" t="s">
        <v>249</v>
      </c>
      <c r="I242" s="9" t="s">
        <v>253</v>
      </c>
      <c r="J242" s="9" t="s">
        <v>145</v>
      </c>
    </row>
    <row r="243" spans="1:10">
      <c r="A243" s="5" t="s">
        <v>641</v>
      </c>
      <c r="B243" s="6" t="s">
        <v>1945</v>
      </c>
      <c r="C243" s="7">
        <v>46190</v>
      </c>
      <c r="D243" s="9" t="s">
        <v>261</v>
      </c>
      <c r="E243" s="8" t="s">
        <v>62</v>
      </c>
      <c r="F243" s="9" t="s">
        <v>242</v>
      </c>
      <c r="G243" s="9">
        <v>2</v>
      </c>
      <c r="H243" s="6" t="s">
        <v>249</v>
      </c>
      <c r="I243" s="9" t="s">
        <v>253</v>
      </c>
      <c r="J243" s="9" t="s">
        <v>145</v>
      </c>
    </row>
    <row r="244" spans="1:10">
      <c r="A244" s="5" t="s">
        <v>642</v>
      </c>
      <c r="B244" s="6" t="s">
        <v>1945</v>
      </c>
      <c r="C244" s="7">
        <v>46190</v>
      </c>
      <c r="D244" s="9" t="s">
        <v>261</v>
      </c>
      <c r="E244" s="8" t="s">
        <v>281</v>
      </c>
      <c r="F244" s="9" t="s">
        <v>242</v>
      </c>
      <c r="G244" s="9">
        <v>2</v>
      </c>
      <c r="H244" s="6" t="s">
        <v>249</v>
      </c>
      <c r="I244" s="9" t="s">
        <v>253</v>
      </c>
      <c r="J244" s="9" t="s">
        <v>145</v>
      </c>
    </row>
    <row r="245" spans="1:10">
      <c r="A245" s="5" t="s">
        <v>644</v>
      </c>
      <c r="B245" s="6" t="s">
        <v>1946</v>
      </c>
      <c r="C245" s="7">
        <v>46190</v>
      </c>
      <c r="D245" s="9" t="s">
        <v>299</v>
      </c>
      <c r="E245" s="4" t="s">
        <v>20</v>
      </c>
      <c r="F245" s="9" t="s">
        <v>242</v>
      </c>
      <c r="G245" s="9">
        <v>1</v>
      </c>
      <c r="H245" s="6" t="s">
        <v>1947</v>
      </c>
      <c r="I245" s="9" t="s">
        <v>253</v>
      </c>
      <c r="J245" s="9" t="s">
        <v>145</v>
      </c>
    </row>
    <row r="246" spans="1:10">
      <c r="A246" s="5" t="s">
        <v>645</v>
      </c>
      <c r="B246" s="6" t="s">
        <v>1946</v>
      </c>
      <c r="C246" s="7">
        <v>46190</v>
      </c>
      <c r="D246" s="9" t="s">
        <v>299</v>
      </c>
      <c r="E246" s="8" t="s">
        <v>1334</v>
      </c>
      <c r="F246" s="9" t="s">
        <v>246</v>
      </c>
      <c r="G246" s="9">
        <v>1</v>
      </c>
      <c r="H246" s="6" t="s">
        <v>1947</v>
      </c>
      <c r="I246" s="9" t="s">
        <v>253</v>
      </c>
      <c r="J246" s="9" t="s">
        <v>145</v>
      </c>
    </row>
    <row r="247" spans="1:10">
      <c r="A247" s="5" t="s">
        <v>647</v>
      </c>
      <c r="B247" s="6" t="s">
        <v>1948</v>
      </c>
      <c r="C247" s="7">
        <v>46190</v>
      </c>
      <c r="D247" s="9" t="s">
        <v>241</v>
      </c>
      <c r="E247" s="8" t="s">
        <v>28</v>
      </c>
      <c r="F247" s="9" t="s">
        <v>242</v>
      </c>
      <c r="G247" s="9">
        <v>1</v>
      </c>
      <c r="H247" s="6" t="s">
        <v>1640</v>
      </c>
      <c r="I247" s="9" t="s">
        <v>253</v>
      </c>
      <c r="J247" s="9" t="s">
        <v>145</v>
      </c>
    </row>
    <row r="248" spans="1:10">
      <c r="A248" s="5" t="s">
        <v>648</v>
      </c>
      <c r="B248" s="6" t="s">
        <v>1948</v>
      </c>
      <c r="C248" s="7">
        <v>46190</v>
      </c>
      <c r="D248" s="9" t="s">
        <v>241</v>
      </c>
      <c r="E248" s="8" t="s">
        <v>29</v>
      </c>
      <c r="F248" s="9" t="s">
        <v>246</v>
      </c>
      <c r="G248" s="9">
        <v>1</v>
      </c>
      <c r="H248" s="6" t="s">
        <v>1640</v>
      </c>
      <c r="I248" s="9" t="s">
        <v>253</v>
      </c>
      <c r="J248" s="9" t="s">
        <v>145</v>
      </c>
    </row>
    <row r="249" spans="1:10">
      <c r="A249" s="5" t="s">
        <v>651</v>
      </c>
      <c r="B249" s="6" t="s">
        <v>1949</v>
      </c>
      <c r="C249" s="7">
        <v>46190</v>
      </c>
      <c r="D249" s="9" t="s">
        <v>241</v>
      </c>
      <c r="E249" s="8" t="s">
        <v>1152</v>
      </c>
      <c r="F249" s="9" t="s">
        <v>242</v>
      </c>
      <c r="G249" s="9">
        <v>1</v>
      </c>
      <c r="H249" s="6" t="s">
        <v>243</v>
      </c>
      <c r="I249" s="9" t="s">
        <v>337</v>
      </c>
      <c r="J249" s="9" t="s">
        <v>145</v>
      </c>
    </row>
    <row r="250" spans="1:10">
      <c r="A250" s="5" t="s">
        <v>652</v>
      </c>
      <c r="B250" s="6" t="s">
        <v>1949</v>
      </c>
      <c r="C250" s="7">
        <v>46190</v>
      </c>
      <c r="D250" s="9" t="s">
        <v>241</v>
      </c>
      <c r="E250" s="4" t="s">
        <v>29</v>
      </c>
      <c r="F250" s="9" t="s">
        <v>246</v>
      </c>
      <c r="G250" s="9">
        <v>1</v>
      </c>
      <c r="H250" s="6" t="s">
        <v>243</v>
      </c>
      <c r="I250" s="9" t="s">
        <v>337</v>
      </c>
      <c r="J250" s="9" t="s">
        <v>145</v>
      </c>
    </row>
    <row r="251" spans="1:10">
      <c r="A251" s="5" t="s">
        <v>654</v>
      </c>
      <c r="B251" s="6" t="s">
        <v>1950</v>
      </c>
      <c r="C251" s="7">
        <v>46190</v>
      </c>
      <c r="D251" s="9" t="s">
        <v>299</v>
      </c>
      <c r="E251" s="8" t="s">
        <v>22</v>
      </c>
      <c r="F251" s="9" t="s">
        <v>242</v>
      </c>
      <c r="G251" s="9">
        <v>1</v>
      </c>
      <c r="H251" s="6" t="s">
        <v>615</v>
      </c>
      <c r="I251" s="9" t="s">
        <v>357</v>
      </c>
      <c r="J251" s="9" t="s">
        <v>145</v>
      </c>
    </row>
    <row r="252" spans="1:10">
      <c r="A252" s="5" t="s">
        <v>655</v>
      </c>
      <c r="B252" s="6" t="s">
        <v>1950</v>
      </c>
      <c r="C252" s="7">
        <v>46190</v>
      </c>
      <c r="D252" s="9" t="s">
        <v>299</v>
      </c>
      <c r="E252" s="8" t="s">
        <v>376</v>
      </c>
      <c r="F252" s="9" t="s">
        <v>246</v>
      </c>
      <c r="G252" s="9">
        <v>1</v>
      </c>
      <c r="H252" s="6" t="s">
        <v>615</v>
      </c>
      <c r="I252" s="9" t="s">
        <v>357</v>
      </c>
      <c r="J252" s="9" t="s">
        <v>145</v>
      </c>
    </row>
    <row r="253" spans="1:10">
      <c r="A253" s="5" t="s">
        <v>658</v>
      </c>
      <c r="B253" s="6" t="s">
        <v>1951</v>
      </c>
      <c r="C253" s="7">
        <v>46191</v>
      </c>
      <c r="D253" s="9" t="s">
        <v>299</v>
      </c>
      <c r="E253" s="8" t="s">
        <v>21</v>
      </c>
      <c r="F253" s="9" t="s">
        <v>242</v>
      </c>
      <c r="G253" s="9">
        <v>1</v>
      </c>
      <c r="H253" s="6" t="s">
        <v>257</v>
      </c>
      <c r="I253" s="9" t="s">
        <v>266</v>
      </c>
      <c r="J253" s="9" t="s">
        <v>145</v>
      </c>
    </row>
    <row r="254" spans="1:10">
      <c r="A254" s="5" t="s">
        <v>660</v>
      </c>
      <c r="B254" s="6" t="s">
        <v>1951</v>
      </c>
      <c r="C254" s="7">
        <v>46191</v>
      </c>
      <c r="D254" s="9" t="s">
        <v>299</v>
      </c>
      <c r="E254" s="8" t="s">
        <v>21</v>
      </c>
      <c r="F254" s="9" t="s">
        <v>246</v>
      </c>
      <c r="G254" s="9">
        <v>1</v>
      </c>
      <c r="H254" s="6" t="s">
        <v>257</v>
      </c>
      <c r="I254" s="9" t="s">
        <v>266</v>
      </c>
      <c r="J254" s="9" t="s">
        <v>145</v>
      </c>
    </row>
    <row r="255" spans="1:10">
      <c r="A255" s="5" t="s">
        <v>661</v>
      </c>
      <c r="B255" s="6" t="s">
        <v>1952</v>
      </c>
      <c r="C255" s="7">
        <v>46191</v>
      </c>
      <c r="D255" s="9" t="s">
        <v>241</v>
      </c>
      <c r="E255" s="8" t="s">
        <v>28</v>
      </c>
      <c r="F255" s="9" t="s">
        <v>242</v>
      </c>
      <c r="G255" s="9">
        <v>1</v>
      </c>
      <c r="H255" s="6" t="s">
        <v>243</v>
      </c>
      <c r="I255" s="9" t="s">
        <v>484</v>
      </c>
      <c r="J255" s="9" t="s">
        <v>145</v>
      </c>
    </row>
    <row r="256" spans="1:10">
      <c r="A256" s="5" t="s">
        <v>662</v>
      </c>
      <c r="B256" s="6" t="s">
        <v>1952</v>
      </c>
      <c r="C256" s="7">
        <v>46191</v>
      </c>
      <c r="D256" s="9" t="s">
        <v>241</v>
      </c>
      <c r="E256" s="8" t="s">
        <v>29</v>
      </c>
      <c r="F256" s="9" t="s">
        <v>246</v>
      </c>
      <c r="G256" s="9">
        <v>1</v>
      </c>
      <c r="H256" s="6" t="s">
        <v>243</v>
      </c>
      <c r="I256" s="9" t="s">
        <v>484</v>
      </c>
      <c r="J256" s="9" t="s">
        <v>145</v>
      </c>
    </row>
    <row r="257" spans="1:10">
      <c r="A257" s="5" t="s">
        <v>664</v>
      </c>
      <c r="B257" s="6" t="s">
        <v>1953</v>
      </c>
      <c r="C257" s="7">
        <v>46191</v>
      </c>
      <c r="D257" s="9" t="s">
        <v>241</v>
      </c>
      <c r="E257" s="8" t="s">
        <v>28</v>
      </c>
      <c r="F257" s="9" t="s">
        <v>242</v>
      </c>
      <c r="G257" s="9">
        <v>1</v>
      </c>
      <c r="H257" s="6" t="s">
        <v>243</v>
      </c>
      <c r="I257" s="9" t="s">
        <v>609</v>
      </c>
      <c r="J257" s="9" t="s">
        <v>145</v>
      </c>
    </row>
    <row r="258" spans="1:10">
      <c r="A258" s="5" t="s">
        <v>668</v>
      </c>
      <c r="B258" s="6" t="s">
        <v>1953</v>
      </c>
      <c r="C258" s="7">
        <v>46191</v>
      </c>
      <c r="D258" s="9" t="s">
        <v>241</v>
      </c>
      <c r="E258" s="8" t="s">
        <v>27</v>
      </c>
      <c r="F258" s="9" t="s">
        <v>246</v>
      </c>
      <c r="G258" s="9">
        <v>1</v>
      </c>
      <c r="H258" s="6" t="s">
        <v>243</v>
      </c>
      <c r="I258" s="9" t="s">
        <v>609</v>
      </c>
      <c r="J258" s="9" t="s">
        <v>145</v>
      </c>
    </row>
    <row r="259" spans="1:10">
      <c r="A259" s="5" t="s">
        <v>669</v>
      </c>
      <c r="B259" s="6" t="s">
        <v>1953</v>
      </c>
      <c r="C259" s="7">
        <v>46191</v>
      </c>
      <c r="D259" s="9" t="s">
        <v>261</v>
      </c>
      <c r="E259" s="8" t="s">
        <v>62</v>
      </c>
      <c r="F259" s="9" t="s">
        <v>242</v>
      </c>
      <c r="G259" s="9">
        <v>1</v>
      </c>
      <c r="H259" s="6" t="s">
        <v>243</v>
      </c>
      <c r="I259" s="9" t="s">
        <v>609</v>
      </c>
      <c r="J259" s="9" t="s">
        <v>145</v>
      </c>
    </row>
    <row r="260" spans="1:10">
      <c r="A260" s="5" t="s">
        <v>670</v>
      </c>
      <c r="B260" s="6" t="s">
        <v>1954</v>
      </c>
      <c r="C260" s="7">
        <v>46191</v>
      </c>
      <c r="D260" s="9" t="s">
        <v>241</v>
      </c>
      <c r="E260" s="8" t="s">
        <v>28</v>
      </c>
      <c r="F260" s="9" t="s">
        <v>242</v>
      </c>
      <c r="G260" s="9">
        <v>1</v>
      </c>
      <c r="H260" s="6" t="s">
        <v>965</v>
      </c>
      <c r="I260" s="9" t="s">
        <v>258</v>
      </c>
      <c r="J260" s="9" t="s">
        <v>145</v>
      </c>
    </row>
    <row r="261" spans="1:10">
      <c r="A261" s="5" t="s">
        <v>674</v>
      </c>
      <c r="B261" s="6" t="s">
        <v>1954</v>
      </c>
      <c r="C261" s="7">
        <v>46191</v>
      </c>
      <c r="D261" s="9" t="s">
        <v>241</v>
      </c>
      <c r="E261" s="8" t="s">
        <v>29</v>
      </c>
      <c r="F261" s="9" t="s">
        <v>246</v>
      </c>
      <c r="G261" s="9">
        <v>1</v>
      </c>
      <c r="H261" s="6" t="s">
        <v>965</v>
      </c>
      <c r="I261" s="9" t="s">
        <v>258</v>
      </c>
      <c r="J261" s="9" t="s">
        <v>145</v>
      </c>
    </row>
    <row r="262" spans="1:10">
      <c r="A262" s="5" t="s">
        <v>675</v>
      </c>
      <c r="B262" s="6" t="s">
        <v>1954</v>
      </c>
      <c r="C262" s="7">
        <v>46191</v>
      </c>
      <c r="D262" s="9" t="s">
        <v>261</v>
      </c>
      <c r="E262" s="8" t="s">
        <v>62</v>
      </c>
      <c r="F262" s="9" t="s">
        <v>242</v>
      </c>
      <c r="G262" s="9">
        <v>2</v>
      </c>
      <c r="H262" s="6" t="s">
        <v>965</v>
      </c>
      <c r="I262" s="9" t="s">
        <v>258</v>
      </c>
      <c r="J262" s="9" t="s">
        <v>145</v>
      </c>
    </row>
    <row r="263" spans="1:10">
      <c r="A263" s="5" t="s">
        <v>676</v>
      </c>
      <c r="B263" s="6" t="s">
        <v>1955</v>
      </c>
      <c r="C263" s="7">
        <v>46192</v>
      </c>
      <c r="D263" s="9" t="s">
        <v>241</v>
      </c>
      <c r="E263" s="8" t="s">
        <v>1152</v>
      </c>
      <c r="F263" s="9" t="s">
        <v>242</v>
      </c>
      <c r="G263" s="9">
        <v>2</v>
      </c>
      <c r="H263" s="6" t="s">
        <v>243</v>
      </c>
      <c r="I263" s="9" t="s">
        <v>388</v>
      </c>
      <c r="J263" s="9" t="s">
        <v>145</v>
      </c>
    </row>
    <row r="264" spans="1:10">
      <c r="A264" s="5" t="s">
        <v>677</v>
      </c>
      <c r="B264" s="6" t="s">
        <v>1955</v>
      </c>
      <c r="C264" s="7">
        <v>46192</v>
      </c>
      <c r="D264" s="9" t="s">
        <v>241</v>
      </c>
      <c r="E264" s="8" t="s">
        <v>27</v>
      </c>
      <c r="F264" s="9" t="s">
        <v>246</v>
      </c>
      <c r="G264" s="9">
        <v>1</v>
      </c>
      <c r="H264" s="6" t="s">
        <v>243</v>
      </c>
      <c r="I264" s="9" t="s">
        <v>388</v>
      </c>
      <c r="J264" s="9" t="s">
        <v>145</v>
      </c>
    </row>
    <row r="265" spans="1:10">
      <c r="A265" s="5" t="s">
        <v>678</v>
      </c>
      <c r="B265" s="6" t="s">
        <v>1956</v>
      </c>
      <c r="C265" s="7">
        <v>46192</v>
      </c>
      <c r="D265" s="9" t="s">
        <v>241</v>
      </c>
      <c r="E265" s="8" t="s">
        <v>28</v>
      </c>
      <c r="F265" s="9" t="s">
        <v>586</v>
      </c>
      <c r="G265" s="9">
        <v>1</v>
      </c>
      <c r="H265" s="6" t="s">
        <v>587</v>
      </c>
      <c r="I265" s="9" t="s">
        <v>284</v>
      </c>
      <c r="J265" s="9" t="s">
        <v>145</v>
      </c>
    </row>
    <row r="266" spans="1:10">
      <c r="A266" s="5" t="s">
        <v>679</v>
      </c>
      <c r="B266" s="6" t="s">
        <v>1957</v>
      </c>
      <c r="C266" s="7">
        <v>46192</v>
      </c>
      <c r="D266" s="9" t="s">
        <v>241</v>
      </c>
      <c r="E266" s="8" t="s">
        <v>1152</v>
      </c>
      <c r="F266" s="9" t="s">
        <v>242</v>
      </c>
      <c r="G266" s="9">
        <v>1</v>
      </c>
      <c r="H266" s="6" t="s">
        <v>1958</v>
      </c>
      <c r="I266" s="9" t="s">
        <v>275</v>
      </c>
      <c r="J266" s="9" t="s">
        <v>145</v>
      </c>
    </row>
    <row r="267" spans="1:10">
      <c r="A267" s="5" t="s">
        <v>680</v>
      </c>
      <c r="B267" s="6" t="s">
        <v>1957</v>
      </c>
      <c r="C267" s="7">
        <v>46192</v>
      </c>
      <c r="D267" s="9" t="s">
        <v>241</v>
      </c>
      <c r="E267" s="4" t="s">
        <v>29</v>
      </c>
      <c r="F267" s="9" t="s">
        <v>246</v>
      </c>
      <c r="G267" s="9">
        <v>1</v>
      </c>
      <c r="H267" s="6" t="s">
        <v>1958</v>
      </c>
      <c r="I267" s="9" t="s">
        <v>275</v>
      </c>
      <c r="J267" s="9" t="s">
        <v>145</v>
      </c>
    </row>
    <row r="268" spans="1:10">
      <c r="A268" s="5" t="s">
        <v>682</v>
      </c>
      <c r="B268" s="6" t="s">
        <v>1957</v>
      </c>
      <c r="C268" s="7">
        <v>46192</v>
      </c>
      <c r="D268" s="9" t="s">
        <v>261</v>
      </c>
      <c r="E268" s="8" t="s">
        <v>281</v>
      </c>
      <c r="F268" s="9" t="s">
        <v>242</v>
      </c>
      <c r="G268" s="9">
        <v>2</v>
      </c>
      <c r="H268" s="6" t="s">
        <v>1958</v>
      </c>
      <c r="I268" s="9" t="s">
        <v>275</v>
      </c>
      <c r="J268" s="9" t="s">
        <v>145</v>
      </c>
    </row>
    <row r="269" spans="1:10">
      <c r="A269" s="5" t="s">
        <v>683</v>
      </c>
      <c r="B269" s="6" t="s">
        <v>1959</v>
      </c>
      <c r="C269" s="7">
        <v>46193</v>
      </c>
      <c r="D269" s="9" t="s">
        <v>665</v>
      </c>
      <c r="E269" s="8" t="s">
        <v>666</v>
      </c>
      <c r="F269" s="9" t="s">
        <v>242</v>
      </c>
      <c r="G269" s="9">
        <v>1</v>
      </c>
      <c r="H269" s="6" t="s">
        <v>1960</v>
      </c>
      <c r="I269" s="9" t="s">
        <v>284</v>
      </c>
      <c r="J269" s="9" t="s">
        <v>145</v>
      </c>
    </row>
    <row r="270" spans="1:10">
      <c r="A270" s="5" t="s">
        <v>684</v>
      </c>
      <c r="B270" s="6" t="s">
        <v>1959</v>
      </c>
      <c r="C270" s="7">
        <v>46193</v>
      </c>
      <c r="D270" s="9" t="s">
        <v>261</v>
      </c>
      <c r="E270" s="8" t="s">
        <v>64</v>
      </c>
      <c r="F270" s="9" t="s">
        <v>242</v>
      </c>
      <c r="G270" s="9">
        <v>1</v>
      </c>
      <c r="H270" s="6" t="s">
        <v>1960</v>
      </c>
      <c r="I270" s="9" t="s">
        <v>284</v>
      </c>
      <c r="J270" s="9" t="s">
        <v>145</v>
      </c>
    </row>
    <row r="271" spans="1:10">
      <c r="A271" s="5" t="s">
        <v>685</v>
      </c>
      <c r="B271" s="6" t="s">
        <v>1959</v>
      </c>
      <c r="C271" s="7">
        <v>46193</v>
      </c>
      <c r="D271" s="9" t="s">
        <v>270</v>
      </c>
      <c r="E271" s="8" t="s">
        <v>271</v>
      </c>
      <c r="F271" s="9" t="s">
        <v>242</v>
      </c>
      <c r="G271" s="9">
        <v>1</v>
      </c>
      <c r="H271" s="6" t="s">
        <v>1960</v>
      </c>
      <c r="I271" s="9" t="s">
        <v>284</v>
      </c>
      <c r="J271" s="9" t="s">
        <v>145</v>
      </c>
    </row>
    <row r="272" spans="1:10">
      <c r="A272" s="5" t="s">
        <v>686</v>
      </c>
      <c r="B272" s="6" t="s">
        <v>1959</v>
      </c>
      <c r="C272" s="7">
        <v>46193</v>
      </c>
      <c r="D272" s="9" t="s">
        <v>503</v>
      </c>
      <c r="E272" s="8" t="s">
        <v>1429</v>
      </c>
      <c r="F272" s="9" t="s">
        <v>242</v>
      </c>
      <c r="G272" s="9">
        <v>7</v>
      </c>
      <c r="H272" s="6" t="s">
        <v>1960</v>
      </c>
      <c r="I272" s="9" t="s">
        <v>284</v>
      </c>
      <c r="J272" s="9" t="s">
        <v>145</v>
      </c>
    </row>
    <row r="273" spans="1:10">
      <c r="A273" s="5" t="s">
        <v>689</v>
      </c>
      <c r="B273" s="6" t="s">
        <v>1961</v>
      </c>
      <c r="C273" s="7">
        <v>46193</v>
      </c>
      <c r="D273" s="9" t="s">
        <v>264</v>
      </c>
      <c r="E273" s="8" t="s">
        <v>37</v>
      </c>
      <c r="F273" s="9" t="s">
        <v>242</v>
      </c>
      <c r="G273" s="9">
        <v>1</v>
      </c>
      <c r="H273" s="6" t="s">
        <v>1569</v>
      </c>
      <c r="I273" s="9" t="s">
        <v>284</v>
      </c>
      <c r="J273" s="9" t="s">
        <v>145</v>
      </c>
    </row>
    <row r="274" spans="1:10">
      <c r="A274" s="5" t="s">
        <v>690</v>
      </c>
      <c r="B274" s="6" t="s">
        <v>1961</v>
      </c>
      <c r="C274" s="7">
        <v>46193</v>
      </c>
      <c r="D274" s="9" t="s">
        <v>264</v>
      </c>
      <c r="E274" s="8" t="s">
        <v>37</v>
      </c>
      <c r="F274" s="9" t="s">
        <v>246</v>
      </c>
      <c r="G274" s="9">
        <v>1</v>
      </c>
      <c r="H274" s="6" t="s">
        <v>1569</v>
      </c>
      <c r="I274" s="9" t="s">
        <v>284</v>
      </c>
      <c r="J274" s="9" t="s">
        <v>145</v>
      </c>
    </row>
    <row r="275" spans="1:10">
      <c r="A275" s="5" t="s">
        <v>691</v>
      </c>
      <c r="B275" s="6" t="s">
        <v>1962</v>
      </c>
      <c r="C275" s="7">
        <v>46195</v>
      </c>
      <c r="D275" s="9" t="s">
        <v>241</v>
      </c>
      <c r="E275" s="8" t="s">
        <v>28</v>
      </c>
      <c r="F275" s="9" t="s">
        <v>242</v>
      </c>
      <c r="G275" s="9">
        <v>1</v>
      </c>
      <c r="H275" s="6" t="s">
        <v>1327</v>
      </c>
      <c r="I275" s="9" t="s">
        <v>605</v>
      </c>
      <c r="J275" s="9" t="s">
        <v>145</v>
      </c>
    </row>
    <row r="276" spans="1:10">
      <c r="A276" s="5" t="s">
        <v>694</v>
      </c>
      <c r="B276" s="6" t="s">
        <v>1962</v>
      </c>
      <c r="C276" s="7">
        <v>46195</v>
      </c>
      <c r="D276" s="9" t="s">
        <v>241</v>
      </c>
      <c r="E276" s="8" t="s">
        <v>27</v>
      </c>
      <c r="F276" s="9" t="s">
        <v>246</v>
      </c>
      <c r="G276" s="9">
        <v>1</v>
      </c>
      <c r="H276" s="6" t="s">
        <v>1327</v>
      </c>
      <c r="I276" s="9" t="s">
        <v>605</v>
      </c>
      <c r="J276" s="9" t="s">
        <v>145</v>
      </c>
    </row>
    <row r="277" spans="1:10">
      <c r="A277" s="5" t="s">
        <v>698</v>
      </c>
      <c r="B277" s="6" t="s">
        <v>1962</v>
      </c>
      <c r="C277" s="7">
        <v>46195</v>
      </c>
      <c r="D277" s="9" t="s">
        <v>261</v>
      </c>
      <c r="E277" s="8" t="s">
        <v>281</v>
      </c>
      <c r="F277" s="9" t="s">
        <v>242</v>
      </c>
      <c r="G277" s="9">
        <v>2</v>
      </c>
      <c r="H277" s="6" t="s">
        <v>1327</v>
      </c>
      <c r="I277" s="9" t="s">
        <v>605</v>
      </c>
      <c r="J277" s="9" t="s">
        <v>145</v>
      </c>
    </row>
    <row r="278" spans="1:10">
      <c r="A278" s="5" t="s">
        <v>699</v>
      </c>
      <c r="B278" s="6" t="s">
        <v>1963</v>
      </c>
      <c r="C278" s="7">
        <v>46195</v>
      </c>
      <c r="D278" s="9" t="s">
        <v>299</v>
      </c>
      <c r="E278" s="8" t="s">
        <v>22</v>
      </c>
      <c r="F278" s="9" t="s">
        <v>242</v>
      </c>
      <c r="G278" s="9">
        <v>1</v>
      </c>
      <c r="H278" s="6" t="s">
        <v>1653</v>
      </c>
      <c r="I278" s="9" t="s">
        <v>258</v>
      </c>
      <c r="J278" s="9" t="s">
        <v>145</v>
      </c>
    </row>
    <row r="279" spans="1:10">
      <c r="A279" s="5" t="s">
        <v>701</v>
      </c>
      <c r="B279" s="6" t="s">
        <v>1963</v>
      </c>
      <c r="C279" s="7">
        <v>46195</v>
      </c>
      <c r="D279" s="9" t="s">
        <v>299</v>
      </c>
      <c r="E279" s="8" t="s">
        <v>376</v>
      </c>
      <c r="F279" s="9" t="s">
        <v>246</v>
      </c>
      <c r="G279" s="9">
        <v>1</v>
      </c>
      <c r="H279" s="6" t="s">
        <v>1653</v>
      </c>
      <c r="I279" s="9" t="s">
        <v>258</v>
      </c>
      <c r="J279" s="9" t="s">
        <v>145</v>
      </c>
    </row>
    <row r="280" spans="1:10">
      <c r="A280" s="5" t="s">
        <v>703</v>
      </c>
      <c r="B280" s="6" t="s">
        <v>1964</v>
      </c>
      <c r="C280" s="7">
        <v>46195</v>
      </c>
      <c r="D280" s="9" t="s">
        <v>241</v>
      </c>
      <c r="E280" s="8" t="s">
        <v>1152</v>
      </c>
      <c r="F280" s="9" t="s">
        <v>242</v>
      </c>
      <c r="G280" s="9">
        <v>1</v>
      </c>
      <c r="H280" s="6" t="s">
        <v>243</v>
      </c>
      <c r="I280" s="9" t="s">
        <v>266</v>
      </c>
      <c r="J280" s="9" t="s">
        <v>145</v>
      </c>
    </row>
    <row r="281" spans="1:10">
      <c r="A281" s="5" t="s">
        <v>704</v>
      </c>
      <c r="B281" s="6" t="s">
        <v>1964</v>
      </c>
      <c r="C281" s="7">
        <v>46195</v>
      </c>
      <c r="D281" s="9" t="s">
        <v>241</v>
      </c>
      <c r="E281" s="8" t="s">
        <v>27</v>
      </c>
      <c r="F281" s="9" t="s">
        <v>246</v>
      </c>
      <c r="G281" s="9">
        <v>1</v>
      </c>
      <c r="H281" s="6" t="s">
        <v>243</v>
      </c>
      <c r="I281" s="9" t="s">
        <v>266</v>
      </c>
      <c r="J281" s="9" t="s">
        <v>145</v>
      </c>
    </row>
    <row r="282" spans="1:10">
      <c r="A282" s="5" t="s">
        <v>705</v>
      </c>
      <c r="B282" s="6" t="s">
        <v>1964</v>
      </c>
      <c r="C282" s="7">
        <v>46195</v>
      </c>
      <c r="D282" s="9" t="s">
        <v>261</v>
      </c>
      <c r="E282" s="8" t="s">
        <v>281</v>
      </c>
      <c r="F282" s="9" t="s">
        <v>242</v>
      </c>
      <c r="G282" s="9">
        <v>3</v>
      </c>
      <c r="H282" s="6" t="s">
        <v>243</v>
      </c>
      <c r="I282" s="9" t="s">
        <v>266</v>
      </c>
      <c r="J282" s="9" t="s">
        <v>145</v>
      </c>
    </row>
    <row r="283" spans="1:10">
      <c r="A283" s="5" t="s">
        <v>706</v>
      </c>
      <c r="B283" s="6" t="s">
        <v>1965</v>
      </c>
      <c r="C283" s="7">
        <v>46195</v>
      </c>
      <c r="D283" s="9" t="s">
        <v>299</v>
      </c>
      <c r="E283" s="8" t="s">
        <v>1334</v>
      </c>
      <c r="F283" s="9" t="s">
        <v>242</v>
      </c>
      <c r="G283" s="9">
        <v>1</v>
      </c>
      <c r="H283" s="6" t="s">
        <v>1891</v>
      </c>
      <c r="I283" s="9" t="s">
        <v>415</v>
      </c>
      <c r="J283" s="9" t="s">
        <v>145</v>
      </c>
    </row>
    <row r="284" spans="1:10">
      <c r="A284" s="5" t="s">
        <v>708</v>
      </c>
      <c r="B284" s="6" t="s">
        <v>1965</v>
      </c>
      <c r="C284" s="7">
        <v>46195</v>
      </c>
      <c r="D284" s="9" t="s">
        <v>299</v>
      </c>
      <c r="E284" s="8" t="s">
        <v>1334</v>
      </c>
      <c r="F284" s="9" t="s">
        <v>246</v>
      </c>
      <c r="G284" s="9">
        <v>1</v>
      </c>
      <c r="H284" s="6" t="s">
        <v>1891</v>
      </c>
      <c r="I284" s="9" t="s">
        <v>415</v>
      </c>
      <c r="J284" s="9" t="s">
        <v>145</v>
      </c>
    </row>
    <row r="285" spans="1:10">
      <c r="A285" s="5" t="s">
        <v>709</v>
      </c>
      <c r="B285" s="6" t="s">
        <v>1966</v>
      </c>
      <c r="C285" s="7">
        <v>46196</v>
      </c>
      <c r="D285" s="9" t="s">
        <v>299</v>
      </c>
      <c r="E285" s="4" t="s">
        <v>21</v>
      </c>
      <c r="F285" s="9" t="s">
        <v>242</v>
      </c>
      <c r="G285" s="9">
        <v>1</v>
      </c>
      <c r="H285" s="6" t="s">
        <v>526</v>
      </c>
      <c r="I285" s="9" t="s">
        <v>266</v>
      </c>
      <c r="J285" s="9" t="s">
        <v>145</v>
      </c>
    </row>
    <row r="286" spans="1:10">
      <c r="A286" s="5" t="s">
        <v>713</v>
      </c>
      <c r="B286" s="6" t="s">
        <v>1966</v>
      </c>
      <c r="C286" s="7">
        <v>46196</v>
      </c>
      <c r="D286" s="9" t="s">
        <v>299</v>
      </c>
      <c r="E286" s="4" t="s">
        <v>22</v>
      </c>
      <c r="F286" s="9" t="s">
        <v>246</v>
      </c>
      <c r="G286" s="9">
        <v>1</v>
      </c>
      <c r="H286" s="6" t="s">
        <v>526</v>
      </c>
      <c r="I286" s="9" t="s">
        <v>266</v>
      </c>
      <c r="J286" s="9" t="s">
        <v>145</v>
      </c>
    </row>
    <row r="287" spans="1:10">
      <c r="A287" s="5" t="s">
        <v>716</v>
      </c>
      <c r="B287" s="6" t="s">
        <v>1967</v>
      </c>
      <c r="C287" s="7">
        <v>46196</v>
      </c>
      <c r="D287" s="9" t="s">
        <v>241</v>
      </c>
      <c r="E287" s="8" t="s">
        <v>28</v>
      </c>
      <c r="F287" s="9" t="s">
        <v>242</v>
      </c>
      <c r="G287" s="9">
        <v>1</v>
      </c>
      <c r="H287" s="6" t="s">
        <v>965</v>
      </c>
      <c r="I287" s="9" t="s">
        <v>628</v>
      </c>
      <c r="J287" s="9" t="s">
        <v>145</v>
      </c>
    </row>
    <row r="288" spans="1:10">
      <c r="A288" s="5" t="s">
        <v>718</v>
      </c>
      <c r="B288" s="6" t="s">
        <v>1967</v>
      </c>
      <c r="C288" s="7">
        <v>46196</v>
      </c>
      <c r="D288" s="9" t="s">
        <v>241</v>
      </c>
      <c r="E288" s="8" t="s">
        <v>29</v>
      </c>
      <c r="F288" s="9" t="s">
        <v>246</v>
      </c>
      <c r="G288" s="9">
        <v>1</v>
      </c>
      <c r="H288" s="6" t="s">
        <v>965</v>
      </c>
      <c r="I288" s="9" t="s">
        <v>628</v>
      </c>
      <c r="J288" s="9" t="s">
        <v>145</v>
      </c>
    </row>
    <row r="289" spans="1:10">
      <c r="A289" s="5" t="s">
        <v>719</v>
      </c>
      <c r="B289" s="6" t="s">
        <v>1967</v>
      </c>
      <c r="C289" s="7">
        <v>46196</v>
      </c>
      <c r="D289" s="9" t="s">
        <v>261</v>
      </c>
      <c r="E289" s="8" t="s">
        <v>281</v>
      </c>
      <c r="F289" s="9" t="s">
        <v>242</v>
      </c>
      <c r="G289" s="9">
        <v>2</v>
      </c>
      <c r="H289" s="6" t="s">
        <v>965</v>
      </c>
      <c r="I289" s="9" t="s">
        <v>628</v>
      </c>
      <c r="J289" s="9" t="s">
        <v>145</v>
      </c>
    </row>
    <row r="290" spans="1:10">
      <c r="A290" s="5" t="s">
        <v>720</v>
      </c>
      <c r="B290" s="6" t="s">
        <v>1968</v>
      </c>
      <c r="C290" s="7">
        <v>46196</v>
      </c>
      <c r="D290" s="9" t="s">
        <v>241</v>
      </c>
      <c r="E290" s="8" t="s">
        <v>1152</v>
      </c>
      <c r="F290" s="9" t="s">
        <v>242</v>
      </c>
      <c r="G290" s="9">
        <v>1</v>
      </c>
      <c r="H290" s="6" t="s">
        <v>513</v>
      </c>
      <c r="I290" s="9" t="s">
        <v>329</v>
      </c>
      <c r="J290" s="9" t="s">
        <v>145</v>
      </c>
    </row>
    <row r="291" spans="1:10">
      <c r="A291" s="5" t="s">
        <v>723</v>
      </c>
      <c r="B291" s="6" t="s">
        <v>1968</v>
      </c>
      <c r="C291" s="7">
        <v>46196</v>
      </c>
      <c r="D291" s="9" t="s">
        <v>241</v>
      </c>
      <c r="E291" s="4" t="s">
        <v>29</v>
      </c>
      <c r="F291" s="9" t="s">
        <v>246</v>
      </c>
      <c r="G291" s="9">
        <v>1</v>
      </c>
      <c r="H291" s="6" t="s">
        <v>513</v>
      </c>
      <c r="I291" s="9" t="s">
        <v>329</v>
      </c>
      <c r="J291" s="9" t="s">
        <v>145</v>
      </c>
    </row>
    <row r="292" spans="1:10">
      <c r="A292" s="5" t="s">
        <v>725</v>
      </c>
      <c r="B292" s="6" t="s">
        <v>1968</v>
      </c>
      <c r="C292" s="7">
        <v>46196</v>
      </c>
      <c r="D292" s="9" t="s">
        <v>261</v>
      </c>
      <c r="E292" s="8" t="s">
        <v>281</v>
      </c>
      <c r="F292" s="9" t="s">
        <v>242</v>
      </c>
      <c r="G292" s="9">
        <v>4</v>
      </c>
      <c r="H292" s="6" t="s">
        <v>513</v>
      </c>
      <c r="I292" s="9" t="s">
        <v>329</v>
      </c>
      <c r="J292" s="9" t="s">
        <v>145</v>
      </c>
    </row>
    <row r="293" spans="1:10">
      <c r="A293" s="5" t="s">
        <v>727</v>
      </c>
      <c r="B293" s="6" t="s">
        <v>1969</v>
      </c>
      <c r="C293" s="7">
        <v>46196</v>
      </c>
      <c r="D293" s="9" t="s">
        <v>241</v>
      </c>
      <c r="E293" s="8" t="s">
        <v>1152</v>
      </c>
      <c r="F293" s="9" t="s">
        <v>242</v>
      </c>
      <c r="G293" s="9">
        <v>1</v>
      </c>
      <c r="H293" s="6" t="s">
        <v>243</v>
      </c>
      <c r="I293" s="9" t="s">
        <v>275</v>
      </c>
      <c r="J293" s="9" t="s">
        <v>145</v>
      </c>
    </row>
    <row r="294" spans="1:10">
      <c r="A294" s="5" t="s">
        <v>728</v>
      </c>
      <c r="B294" s="6" t="s">
        <v>1969</v>
      </c>
      <c r="C294" s="7">
        <v>46196</v>
      </c>
      <c r="D294" s="9" t="s">
        <v>241</v>
      </c>
      <c r="E294" s="4" t="s">
        <v>27</v>
      </c>
      <c r="F294" s="9" t="s">
        <v>246</v>
      </c>
      <c r="G294" s="9">
        <v>1</v>
      </c>
      <c r="H294" s="6" t="s">
        <v>243</v>
      </c>
      <c r="I294" s="9" t="s">
        <v>275</v>
      </c>
      <c r="J294" s="9" t="s">
        <v>145</v>
      </c>
    </row>
    <row r="295" spans="1:10">
      <c r="A295" s="5" t="s">
        <v>730</v>
      </c>
      <c r="B295" s="6" t="s">
        <v>1970</v>
      </c>
      <c r="C295" s="7">
        <v>46196</v>
      </c>
      <c r="D295" s="9" t="s">
        <v>241</v>
      </c>
      <c r="E295" s="8" t="s">
        <v>1152</v>
      </c>
      <c r="F295" s="9" t="s">
        <v>242</v>
      </c>
      <c r="G295" s="9">
        <v>1</v>
      </c>
      <c r="H295" s="6" t="s">
        <v>243</v>
      </c>
      <c r="I295" s="9" t="s">
        <v>616</v>
      </c>
      <c r="J295" s="9" t="s">
        <v>145</v>
      </c>
    </row>
    <row r="296" spans="1:10">
      <c r="A296" s="5" t="s">
        <v>733</v>
      </c>
      <c r="B296" s="6" t="s">
        <v>1970</v>
      </c>
      <c r="C296" s="7">
        <v>46196</v>
      </c>
      <c r="D296" s="9" t="s">
        <v>241</v>
      </c>
      <c r="E296" s="8" t="s">
        <v>27</v>
      </c>
      <c r="F296" s="9" t="s">
        <v>246</v>
      </c>
      <c r="G296" s="9">
        <v>1</v>
      </c>
      <c r="H296" s="6" t="s">
        <v>243</v>
      </c>
      <c r="I296" s="9" t="s">
        <v>616</v>
      </c>
      <c r="J296" s="9" t="s">
        <v>145</v>
      </c>
    </row>
    <row r="297" spans="1:10">
      <c r="A297" s="5" t="s">
        <v>736</v>
      </c>
      <c r="B297" s="6" t="s">
        <v>1970</v>
      </c>
      <c r="C297" s="7">
        <v>46196</v>
      </c>
      <c r="D297" s="9" t="s">
        <v>261</v>
      </c>
      <c r="E297" s="8" t="s">
        <v>62</v>
      </c>
      <c r="F297" s="9" t="s">
        <v>242</v>
      </c>
      <c r="G297" s="9">
        <v>2</v>
      </c>
      <c r="H297" s="6" t="s">
        <v>243</v>
      </c>
      <c r="I297" s="9" t="s">
        <v>616</v>
      </c>
      <c r="J297" s="9" t="s">
        <v>145</v>
      </c>
    </row>
    <row r="298" spans="1:10">
      <c r="A298" s="5" t="s">
        <v>738</v>
      </c>
      <c r="B298" s="6" t="s">
        <v>1971</v>
      </c>
      <c r="C298" s="7">
        <v>46197</v>
      </c>
      <c r="D298" s="9" t="s">
        <v>299</v>
      </c>
      <c r="E298" s="8" t="s">
        <v>24</v>
      </c>
      <c r="F298" s="9" t="s">
        <v>242</v>
      </c>
      <c r="G298" s="9">
        <v>1</v>
      </c>
      <c r="H298" s="6" t="s">
        <v>1891</v>
      </c>
      <c r="I298" s="9" t="s">
        <v>918</v>
      </c>
      <c r="J298" s="9" t="s">
        <v>145</v>
      </c>
    </row>
    <row r="299" spans="1:10">
      <c r="A299" s="5" t="s">
        <v>740</v>
      </c>
      <c r="B299" s="6" t="s">
        <v>1971</v>
      </c>
      <c r="C299" s="7">
        <v>46197</v>
      </c>
      <c r="D299" s="9" t="s">
        <v>299</v>
      </c>
      <c r="E299" s="8" t="s">
        <v>23</v>
      </c>
      <c r="F299" s="9" t="s">
        <v>246</v>
      </c>
      <c r="G299" s="9">
        <v>1</v>
      </c>
      <c r="H299" s="6" t="s">
        <v>1891</v>
      </c>
      <c r="I299" s="9" t="s">
        <v>918</v>
      </c>
      <c r="J299" s="9" t="s">
        <v>145</v>
      </c>
    </row>
    <row r="300" spans="1:10">
      <c r="A300" s="5" t="s">
        <v>743</v>
      </c>
      <c r="B300" s="6" t="s">
        <v>1971</v>
      </c>
      <c r="C300" s="7">
        <v>46197</v>
      </c>
      <c r="D300" s="9" t="s">
        <v>261</v>
      </c>
      <c r="E300" s="8" t="s">
        <v>63</v>
      </c>
      <c r="F300" s="9" t="s">
        <v>242</v>
      </c>
      <c r="G300" s="9">
        <v>3</v>
      </c>
      <c r="H300" s="6" t="s">
        <v>1891</v>
      </c>
      <c r="I300" s="9" t="s">
        <v>918</v>
      </c>
      <c r="J300" s="9" t="s">
        <v>145</v>
      </c>
    </row>
    <row r="301" spans="1:10">
      <c r="A301" s="5" t="s">
        <v>744</v>
      </c>
      <c r="B301" s="6" t="s">
        <v>1971</v>
      </c>
      <c r="C301" s="7">
        <v>46197</v>
      </c>
      <c r="D301" s="9" t="s">
        <v>270</v>
      </c>
      <c r="E301" s="8" t="s">
        <v>271</v>
      </c>
      <c r="F301" s="9" t="s">
        <v>242</v>
      </c>
      <c r="G301" s="9">
        <v>3</v>
      </c>
      <c r="H301" s="6" t="s">
        <v>1891</v>
      </c>
      <c r="I301" s="9" t="s">
        <v>918</v>
      </c>
      <c r="J301" s="9" t="s">
        <v>145</v>
      </c>
    </row>
    <row r="302" spans="1:10">
      <c r="A302" s="5" t="s">
        <v>745</v>
      </c>
      <c r="B302" s="6" t="s">
        <v>1971</v>
      </c>
      <c r="C302" s="7">
        <v>46197</v>
      </c>
      <c r="D302" s="9" t="s">
        <v>503</v>
      </c>
      <c r="E302" s="8" t="s">
        <v>162</v>
      </c>
      <c r="F302" s="9" t="s">
        <v>242</v>
      </c>
      <c r="G302" s="9">
        <v>1</v>
      </c>
      <c r="H302" s="6" t="s">
        <v>1891</v>
      </c>
      <c r="I302" s="9" t="s">
        <v>918</v>
      </c>
      <c r="J302" s="9" t="s">
        <v>145</v>
      </c>
    </row>
    <row r="303" spans="1:10">
      <c r="A303" s="5" t="s">
        <v>746</v>
      </c>
      <c r="B303" s="6" t="s">
        <v>1971</v>
      </c>
      <c r="C303" s="7">
        <v>46197</v>
      </c>
      <c r="D303" s="9" t="s">
        <v>503</v>
      </c>
      <c r="E303" s="8" t="s">
        <v>206</v>
      </c>
      <c r="F303" s="9" t="s">
        <v>242</v>
      </c>
      <c r="G303" s="9">
        <v>2</v>
      </c>
      <c r="H303" s="6" t="s">
        <v>1891</v>
      </c>
      <c r="I303" s="9" t="s">
        <v>918</v>
      </c>
      <c r="J303" s="9" t="s">
        <v>145</v>
      </c>
    </row>
    <row r="304" spans="1:10">
      <c r="A304" s="5" t="s">
        <v>747</v>
      </c>
      <c r="B304" s="6" t="s">
        <v>1972</v>
      </c>
      <c r="C304" s="7">
        <v>46197</v>
      </c>
      <c r="D304" s="9" t="s">
        <v>241</v>
      </c>
      <c r="E304" s="4" t="s">
        <v>28</v>
      </c>
      <c r="F304" s="9" t="s">
        <v>242</v>
      </c>
      <c r="G304" s="9">
        <v>1</v>
      </c>
      <c r="H304" s="6" t="s">
        <v>328</v>
      </c>
      <c r="I304" s="9" t="s">
        <v>311</v>
      </c>
      <c r="J304" s="9" t="s">
        <v>145</v>
      </c>
    </row>
    <row r="305" spans="1:10">
      <c r="A305" s="5" t="s">
        <v>750</v>
      </c>
      <c r="B305" s="6" t="s">
        <v>1972</v>
      </c>
      <c r="C305" s="7">
        <v>46197</v>
      </c>
      <c r="D305" s="9" t="s">
        <v>241</v>
      </c>
      <c r="E305" s="8" t="s">
        <v>27</v>
      </c>
      <c r="F305" s="9" t="s">
        <v>246</v>
      </c>
      <c r="G305" s="9">
        <v>1</v>
      </c>
      <c r="H305" s="6" t="s">
        <v>328</v>
      </c>
      <c r="I305" s="9" t="s">
        <v>311</v>
      </c>
      <c r="J305" s="9" t="s">
        <v>145</v>
      </c>
    </row>
    <row r="306" spans="1:10">
      <c r="A306" s="5" t="s">
        <v>751</v>
      </c>
      <c r="B306" s="6" t="s">
        <v>1973</v>
      </c>
      <c r="C306" s="7">
        <v>46197</v>
      </c>
      <c r="D306" s="9" t="s">
        <v>241</v>
      </c>
      <c r="E306" s="4" t="s">
        <v>28</v>
      </c>
      <c r="F306" s="9" t="s">
        <v>242</v>
      </c>
      <c r="G306" s="9">
        <v>1</v>
      </c>
      <c r="H306" s="6" t="s">
        <v>243</v>
      </c>
      <c r="I306" s="9" t="s">
        <v>311</v>
      </c>
      <c r="J306" s="9" t="s">
        <v>145</v>
      </c>
    </row>
    <row r="307" spans="1:10">
      <c r="A307" s="5" t="s">
        <v>752</v>
      </c>
      <c r="B307" s="6" t="s">
        <v>1973</v>
      </c>
      <c r="C307" s="7">
        <v>46197</v>
      </c>
      <c r="D307" s="9" t="s">
        <v>241</v>
      </c>
      <c r="E307" s="8" t="s">
        <v>27</v>
      </c>
      <c r="F307" s="9" t="s">
        <v>246</v>
      </c>
      <c r="G307" s="9">
        <v>1</v>
      </c>
      <c r="H307" s="6" t="s">
        <v>243</v>
      </c>
      <c r="I307" s="9" t="s">
        <v>311</v>
      </c>
      <c r="J307" s="9" t="s">
        <v>145</v>
      </c>
    </row>
    <row r="308" spans="1:10">
      <c r="A308" s="5" t="s">
        <v>754</v>
      </c>
      <c r="B308" s="6" t="s">
        <v>1974</v>
      </c>
      <c r="C308" s="7">
        <v>46197</v>
      </c>
      <c r="D308" s="9" t="s">
        <v>241</v>
      </c>
      <c r="E308" s="8" t="s">
        <v>28</v>
      </c>
      <c r="F308" s="9" t="s">
        <v>242</v>
      </c>
      <c r="G308" s="9">
        <v>1</v>
      </c>
      <c r="H308" s="6" t="s">
        <v>243</v>
      </c>
      <c r="I308" s="9" t="s">
        <v>311</v>
      </c>
      <c r="J308" s="9" t="s">
        <v>145</v>
      </c>
    </row>
    <row r="309" spans="1:10">
      <c r="A309" s="5" t="s">
        <v>757</v>
      </c>
      <c r="B309" s="6" t="s">
        <v>1974</v>
      </c>
      <c r="C309" s="7">
        <v>46197</v>
      </c>
      <c r="D309" s="9" t="s">
        <v>241</v>
      </c>
      <c r="E309" s="8" t="s">
        <v>29</v>
      </c>
      <c r="F309" s="9" t="s">
        <v>246</v>
      </c>
      <c r="G309" s="9">
        <v>1</v>
      </c>
      <c r="H309" s="6" t="s">
        <v>243</v>
      </c>
      <c r="I309" s="9" t="s">
        <v>311</v>
      </c>
      <c r="J309" s="9" t="s">
        <v>145</v>
      </c>
    </row>
    <row r="310" spans="1:10">
      <c r="A310" s="5" t="s">
        <v>760</v>
      </c>
      <c r="B310" s="6" t="s">
        <v>1975</v>
      </c>
      <c r="C310" s="7">
        <v>46197</v>
      </c>
      <c r="D310" s="9" t="s">
        <v>241</v>
      </c>
      <c r="E310" s="8" t="s">
        <v>28</v>
      </c>
      <c r="F310" s="9" t="s">
        <v>242</v>
      </c>
      <c r="G310" s="9">
        <v>1</v>
      </c>
      <c r="H310" s="6" t="s">
        <v>243</v>
      </c>
      <c r="I310" s="9" t="s">
        <v>311</v>
      </c>
      <c r="J310" s="9" t="s">
        <v>145</v>
      </c>
    </row>
    <row r="311" spans="1:10">
      <c r="A311" s="5" t="s">
        <v>761</v>
      </c>
      <c r="B311" s="6" t="s">
        <v>1975</v>
      </c>
      <c r="C311" s="7">
        <v>46197</v>
      </c>
      <c r="D311" s="9" t="s">
        <v>241</v>
      </c>
      <c r="E311" s="8" t="s">
        <v>29</v>
      </c>
      <c r="F311" s="9" t="s">
        <v>246</v>
      </c>
      <c r="G311" s="9">
        <v>1</v>
      </c>
      <c r="H311" s="6" t="s">
        <v>243</v>
      </c>
      <c r="I311" s="9" t="s">
        <v>311</v>
      </c>
      <c r="J311" s="9" t="s">
        <v>145</v>
      </c>
    </row>
    <row r="312" spans="1:10">
      <c r="A312" s="5" t="s">
        <v>763</v>
      </c>
      <c r="B312" s="6" t="s">
        <v>1976</v>
      </c>
      <c r="C312" s="7">
        <v>46197</v>
      </c>
      <c r="D312" s="9" t="s">
        <v>241</v>
      </c>
      <c r="E312" s="8" t="s">
        <v>28</v>
      </c>
      <c r="F312" s="9" t="s">
        <v>242</v>
      </c>
      <c r="G312" s="9">
        <v>1</v>
      </c>
      <c r="H312" s="6" t="s">
        <v>243</v>
      </c>
      <c r="I312" s="9" t="s">
        <v>311</v>
      </c>
      <c r="J312" s="9" t="s">
        <v>145</v>
      </c>
    </row>
    <row r="313" spans="1:10">
      <c r="A313" s="5" t="s">
        <v>764</v>
      </c>
      <c r="B313" s="6" t="s">
        <v>1976</v>
      </c>
      <c r="C313" s="7">
        <v>46197</v>
      </c>
      <c r="D313" s="9" t="s">
        <v>241</v>
      </c>
      <c r="E313" s="8" t="s">
        <v>29</v>
      </c>
      <c r="F313" s="9" t="s">
        <v>246</v>
      </c>
      <c r="G313" s="9">
        <v>1</v>
      </c>
      <c r="H313" s="6" t="s">
        <v>243</v>
      </c>
      <c r="I313" s="9" t="s">
        <v>311</v>
      </c>
      <c r="J313" s="9" t="s">
        <v>145</v>
      </c>
    </row>
    <row r="314" spans="1:10">
      <c r="A314" s="5" t="s">
        <v>765</v>
      </c>
      <c r="B314" s="6" t="s">
        <v>1977</v>
      </c>
      <c r="C314" s="7">
        <v>46197</v>
      </c>
      <c r="D314" s="9" t="s">
        <v>241</v>
      </c>
      <c r="E314" s="8" t="s">
        <v>28</v>
      </c>
      <c r="F314" s="9" t="s">
        <v>242</v>
      </c>
      <c r="G314" s="9">
        <v>1</v>
      </c>
      <c r="H314" s="6" t="s">
        <v>243</v>
      </c>
      <c r="I314" s="9" t="s">
        <v>311</v>
      </c>
      <c r="J314" s="9" t="s">
        <v>145</v>
      </c>
    </row>
    <row r="315" spans="1:10">
      <c r="A315" s="5" t="s">
        <v>767</v>
      </c>
      <c r="B315" s="6" t="s">
        <v>1977</v>
      </c>
      <c r="C315" s="7">
        <v>46197</v>
      </c>
      <c r="D315" s="9" t="s">
        <v>241</v>
      </c>
      <c r="E315" s="8" t="s">
        <v>27</v>
      </c>
      <c r="F315" s="9" t="s">
        <v>246</v>
      </c>
      <c r="G315" s="9">
        <v>1</v>
      </c>
      <c r="H315" s="6" t="s">
        <v>243</v>
      </c>
      <c r="I315" s="9" t="s">
        <v>311</v>
      </c>
      <c r="J315" s="9" t="s">
        <v>145</v>
      </c>
    </row>
    <row r="316" spans="1:10">
      <c r="A316" s="5" t="s">
        <v>768</v>
      </c>
      <c r="B316" s="6" t="s">
        <v>1978</v>
      </c>
      <c r="C316" s="7">
        <v>46197</v>
      </c>
      <c r="D316" s="9" t="s">
        <v>241</v>
      </c>
      <c r="E316" s="4" t="s">
        <v>28</v>
      </c>
      <c r="F316" s="9" t="s">
        <v>242</v>
      </c>
      <c r="G316" s="9">
        <v>1</v>
      </c>
      <c r="H316" s="6" t="s">
        <v>243</v>
      </c>
      <c r="I316" s="9" t="s">
        <v>311</v>
      </c>
      <c r="J316" s="9" t="s">
        <v>145</v>
      </c>
    </row>
    <row r="317" spans="1:10">
      <c r="A317" s="5" t="s">
        <v>769</v>
      </c>
      <c r="B317" s="6" t="s">
        <v>1978</v>
      </c>
      <c r="C317" s="7">
        <v>46197</v>
      </c>
      <c r="D317" s="9" t="s">
        <v>241</v>
      </c>
      <c r="E317" s="8" t="s">
        <v>29</v>
      </c>
      <c r="F317" s="9" t="s">
        <v>246</v>
      </c>
      <c r="G317" s="9">
        <v>1</v>
      </c>
      <c r="H317" s="6" t="s">
        <v>243</v>
      </c>
      <c r="I317" s="9" t="s">
        <v>311</v>
      </c>
      <c r="J317" s="9" t="s">
        <v>145</v>
      </c>
    </row>
    <row r="318" spans="1:10">
      <c r="A318" s="5" t="s">
        <v>772</v>
      </c>
      <c r="B318" s="6" t="s">
        <v>1979</v>
      </c>
      <c r="C318" s="7">
        <v>46197</v>
      </c>
      <c r="D318" s="9" t="s">
        <v>241</v>
      </c>
      <c r="E318" s="8" t="s">
        <v>28</v>
      </c>
      <c r="F318" s="9" t="s">
        <v>242</v>
      </c>
      <c r="G318" s="9">
        <v>1</v>
      </c>
      <c r="H318" s="6" t="s">
        <v>1980</v>
      </c>
      <c r="I318" s="9" t="s">
        <v>311</v>
      </c>
      <c r="J318" s="9" t="s">
        <v>145</v>
      </c>
    </row>
    <row r="319" spans="1:10">
      <c r="A319" s="5" t="s">
        <v>773</v>
      </c>
      <c r="B319" s="6" t="s">
        <v>1979</v>
      </c>
      <c r="C319" s="7">
        <v>46197</v>
      </c>
      <c r="D319" s="9" t="s">
        <v>241</v>
      </c>
      <c r="E319" s="8" t="s">
        <v>29</v>
      </c>
      <c r="F319" s="9" t="s">
        <v>246</v>
      </c>
      <c r="G319" s="9">
        <v>1</v>
      </c>
      <c r="H319" s="6" t="s">
        <v>1980</v>
      </c>
      <c r="I319" s="9" t="s">
        <v>311</v>
      </c>
      <c r="J319" s="9" t="s">
        <v>145</v>
      </c>
    </row>
    <row r="320" spans="1:10">
      <c r="A320" s="5" t="s">
        <v>774</v>
      </c>
      <c r="B320" s="6" t="s">
        <v>1981</v>
      </c>
      <c r="C320" s="7">
        <v>46197</v>
      </c>
      <c r="D320" s="9" t="s">
        <v>241</v>
      </c>
      <c r="E320" s="8" t="s">
        <v>28</v>
      </c>
      <c r="F320" s="9" t="s">
        <v>242</v>
      </c>
      <c r="G320" s="9">
        <v>1</v>
      </c>
      <c r="H320" s="6" t="s">
        <v>243</v>
      </c>
      <c r="I320" s="9" t="s">
        <v>311</v>
      </c>
      <c r="J320" s="9" t="s">
        <v>145</v>
      </c>
    </row>
    <row r="321" spans="1:10">
      <c r="A321" s="5" t="s">
        <v>776</v>
      </c>
      <c r="B321" s="6" t="s">
        <v>1981</v>
      </c>
      <c r="C321" s="7">
        <v>46197</v>
      </c>
      <c r="D321" s="9" t="s">
        <v>241</v>
      </c>
      <c r="E321" s="8" t="s">
        <v>27</v>
      </c>
      <c r="F321" s="9" t="s">
        <v>246</v>
      </c>
      <c r="G321" s="9">
        <v>1</v>
      </c>
      <c r="H321" s="6" t="s">
        <v>243</v>
      </c>
      <c r="I321" s="9" t="s">
        <v>311</v>
      </c>
      <c r="J321" s="9" t="s">
        <v>145</v>
      </c>
    </row>
    <row r="322" spans="1:10">
      <c r="A322" s="5" t="s">
        <v>779</v>
      </c>
      <c r="B322" s="6" t="s">
        <v>1981</v>
      </c>
      <c r="C322" s="7">
        <v>46197</v>
      </c>
      <c r="D322" s="9" t="s">
        <v>261</v>
      </c>
      <c r="E322" s="4" t="s">
        <v>281</v>
      </c>
      <c r="F322" s="9" t="s">
        <v>242</v>
      </c>
      <c r="G322" s="9">
        <v>2</v>
      </c>
      <c r="H322" s="6" t="s">
        <v>243</v>
      </c>
      <c r="I322" s="9" t="s">
        <v>311</v>
      </c>
      <c r="J322" s="9" t="s">
        <v>145</v>
      </c>
    </row>
    <row r="323" spans="1:10">
      <c r="A323" s="5" t="s">
        <v>780</v>
      </c>
      <c r="B323" s="6" t="s">
        <v>1982</v>
      </c>
      <c r="C323" s="7">
        <v>46197</v>
      </c>
      <c r="D323" s="9" t="s">
        <v>241</v>
      </c>
      <c r="E323" s="8" t="s">
        <v>28</v>
      </c>
      <c r="F323" s="9" t="s">
        <v>242</v>
      </c>
      <c r="G323" s="9">
        <v>1</v>
      </c>
      <c r="H323" s="6" t="s">
        <v>243</v>
      </c>
      <c r="I323" s="9" t="s">
        <v>311</v>
      </c>
      <c r="J323" s="9" t="s">
        <v>145</v>
      </c>
    </row>
    <row r="324" spans="1:10">
      <c r="A324" s="5" t="s">
        <v>782</v>
      </c>
      <c r="B324" s="6" t="s">
        <v>1982</v>
      </c>
      <c r="C324" s="7">
        <v>46197</v>
      </c>
      <c r="D324" s="9" t="s">
        <v>241</v>
      </c>
      <c r="E324" s="8" t="s">
        <v>27</v>
      </c>
      <c r="F324" s="9" t="s">
        <v>246</v>
      </c>
      <c r="G324" s="9">
        <v>1</v>
      </c>
      <c r="H324" s="6" t="s">
        <v>243</v>
      </c>
      <c r="I324" s="9" t="s">
        <v>311</v>
      </c>
      <c r="J324" s="9" t="s">
        <v>145</v>
      </c>
    </row>
    <row r="325" spans="1:10">
      <c r="A325" s="5" t="s">
        <v>785</v>
      </c>
      <c r="B325" s="6" t="s">
        <v>1983</v>
      </c>
      <c r="C325" s="7">
        <v>46197</v>
      </c>
      <c r="D325" s="9" t="s">
        <v>241</v>
      </c>
      <c r="E325" s="8" t="s">
        <v>28</v>
      </c>
      <c r="F325" s="9" t="s">
        <v>242</v>
      </c>
      <c r="G325" s="9">
        <v>1</v>
      </c>
      <c r="H325" s="6" t="s">
        <v>243</v>
      </c>
      <c r="I325" s="9" t="s">
        <v>311</v>
      </c>
      <c r="J325" s="9" t="s">
        <v>145</v>
      </c>
    </row>
    <row r="326" spans="1:10">
      <c r="A326" s="5" t="s">
        <v>786</v>
      </c>
      <c r="B326" s="6" t="s">
        <v>1983</v>
      </c>
      <c r="C326" s="7">
        <v>46197</v>
      </c>
      <c r="D326" s="9" t="s">
        <v>241</v>
      </c>
      <c r="E326" s="4" t="s">
        <v>27</v>
      </c>
      <c r="F326" s="9" t="s">
        <v>246</v>
      </c>
      <c r="G326" s="9">
        <v>1</v>
      </c>
      <c r="H326" s="6" t="s">
        <v>243</v>
      </c>
      <c r="I326" s="9" t="s">
        <v>311</v>
      </c>
      <c r="J326" s="9" t="s">
        <v>145</v>
      </c>
    </row>
    <row r="327" spans="1:10">
      <c r="A327" s="5" t="s">
        <v>788</v>
      </c>
      <c r="B327" s="6" t="s">
        <v>1984</v>
      </c>
      <c r="C327" s="7">
        <v>46197</v>
      </c>
      <c r="D327" s="9" t="s">
        <v>241</v>
      </c>
      <c r="E327" s="8" t="s">
        <v>28</v>
      </c>
      <c r="F327" s="9" t="s">
        <v>242</v>
      </c>
      <c r="G327" s="9">
        <v>1</v>
      </c>
      <c r="H327" s="6" t="s">
        <v>243</v>
      </c>
      <c r="I327" s="9" t="s">
        <v>311</v>
      </c>
      <c r="J327" s="9" t="s">
        <v>145</v>
      </c>
    </row>
    <row r="328" spans="1:10">
      <c r="A328" s="5" t="s">
        <v>789</v>
      </c>
      <c r="B328" s="6" t="s">
        <v>1984</v>
      </c>
      <c r="C328" s="7">
        <v>46197</v>
      </c>
      <c r="D328" s="9" t="s">
        <v>241</v>
      </c>
      <c r="E328" s="8" t="s">
        <v>27</v>
      </c>
      <c r="F328" s="9" t="s">
        <v>246</v>
      </c>
      <c r="G328" s="9">
        <v>1</v>
      </c>
      <c r="H328" s="6" t="s">
        <v>243</v>
      </c>
      <c r="I328" s="9" t="s">
        <v>311</v>
      </c>
      <c r="J328" s="9" t="s">
        <v>145</v>
      </c>
    </row>
    <row r="329" spans="1:10">
      <c r="A329" s="5" t="s">
        <v>790</v>
      </c>
      <c r="B329" s="6" t="s">
        <v>1985</v>
      </c>
      <c r="C329" s="7">
        <v>46197</v>
      </c>
      <c r="D329" s="9" t="s">
        <v>241</v>
      </c>
      <c r="E329" s="8" t="s">
        <v>28</v>
      </c>
      <c r="F329" s="9" t="s">
        <v>242</v>
      </c>
      <c r="G329" s="9">
        <v>1</v>
      </c>
      <c r="H329" s="6" t="s">
        <v>243</v>
      </c>
      <c r="I329" s="9" t="s">
        <v>311</v>
      </c>
      <c r="J329" s="9" t="s">
        <v>145</v>
      </c>
    </row>
    <row r="330" spans="1:10">
      <c r="A330" s="5" t="s">
        <v>792</v>
      </c>
      <c r="B330" s="6" t="s">
        <v>1985</v>
      </c>
      <c r="C330" s="7">
        <v>46197</v>
      </c>
      <c r="D330" s="9" t="s">
        <v>241</v>
      </c>
      <c r="E330" s="8" t="s">
        <v>27</v>
      </c>
      <c r="F330" s="9" t="s">
        <v>246</v>
      </c>
      <c r="G330" s="9">
        <v>1</v>
      </c>
      <c r="H330" s="6" t="s">
        <v>243</v>
      </c>
      <c r="I330" s="9" t="s">
        <v>311</v>
      </c>
      <c r="J330" s="9" t="s">
        <v>145</v>
      </c>
    </row>
    <row r="331" spans="1:10">
      <c r="A331" s="5" t="s">
        <v>793</v>
      </c>
      <c r="B331" s="6" t="s">
        <v>1986</v>
      </c>
      <c r="C331" s="7">
        <v>46197</v>
      </c>
      <c r="D331" s="9" t="s">
        <v>241</v>
      </c>
      <c r="E331" s="8" t="s">
        <v>28</v>
      </c>
      <c r="F331" s="9" t="s">
        <v>242</v>
      </c>
      <c r="G331" s="9">
        <v>1</v>
      </c>
      <c r="H331" s="6" t="s">
        <v>1987</v>
      </c>
      <c r="I331" s="9" t="s">
        <v>311</v>
      </c>
      <c r="J331" s="9" t="s">
        <v>145</v>
      </c>
    </row>
    <row r="332" spans="1:10">
      <c r="A332" s="5" t="s">
        <v>794</v>
      </c>
      <c r="B332" s="6" t="s">
        <v>1986</v>
      </c>
      <c r="C332" s="7">
        <v>46197</v>
      </c>
      <c r="D332" s="9" t="s">
        <v>241</v>
      </c>
      <c r="E332" s="8" t="s">
        <v>29</v>
      </c>
      <c r="F332" s="9" t="s">
        <v>246</v>
      </c>
      <c r="G332" s="9">
        <v>1</v>
      </c>
      <c r="H332" s="6" t="s">
        <v>1987</v>
      </c>
      <c r="I332" s="9" t="s">
        <v>311</v>
      </c>
      <c r="J332" s="9" t="s">
        <v>145</v>
      </c>
    </row>
    <row r="333" spans="1:10">
      <c r="A333" s="5" t="s">
        <v>796</v>
      </c>
      <c r="B333" s="6" t="s">
        <v>1988</v>
      </c>
      <c r="C333" s="7">
        <v>46197</v>
      </c>
      <c r="D333" s="9" t="s">
        <v>241</v>
      </c>
      <c r="E333" s="8" t="s">
        <v>28</v>
      </c>
      <c r="F333" s="9" t="s">
        <v>242</v>
      </c>
      <c r="G333" s="9">
        <v>1</v>
      </c>
      <c r="H333" s="6" t="s">
        <v>243</v>
      </c>
      <c r="I333" s="9" t="s">
        <v>311</v>
      </c>
      <c r="J333" s="9" t="s">
        <v>145</v>
      </c>
    </row>
    <row r="334" spans="1:10">
      <c r="A334" s="5" t="s">
        <v>797</v>
      </c>
      <c r="B334" s="6" t="s">
        <v>1988</v>
      </c>
      <c r="C334" s="7">
        <v>46197</v>
      </c>
      <c r="D334" s="9" t="s">
        <v>241</v>
      </c>
      <c r="E334" s="8" t="s">
        <v>27</v>
      </c>
      <c r="F334" s="9" t="s">
        <v>246</v>
      </c>
      <c r="G334" s="9">
        <v>1</v>
      </c>
      <c r="H334" s="6" t="s">
        <v>243</v>
      </c>
      <c r="I334" s="9" t="s">
        <v>311</v>
      </c>
      <c r="J334" s="9" t="s">
        <v>145</v>
      </c>
    </row>
    <row r="335" spans="1:10">
      <c r="A335" s="5" t="s">
        <v>798</v>
      </c>
      <c r="B335" s="6" t="s">
        <v>1989</v>
      </c>
      <c r="C335" s="7">
        <v>46197</v>
      </c>
      <c r="D335" s="9" t="s">
        <v>241</v>
      </c>
      <c r="E335" s="8" t="s">
        <v>28</v>
      </c>
      <c r="F335" s="9" t="s">
        <v>242</v>
      </c>
      <c r="G335" s="9">
        <v>1</v>
      </c>
      <c r="H335" s="6" t="s">
        <v>243</v>
      </c>
      <c r="I335" s="9" t="s">
        <v>311</v>
      </c>
      <c r="J335" s="9" t="s">
        <v>145</v>
      </c>
    </row>
    <row r="336" spans="1:10">
      <c r="A336" s="5" t="s">
        <v>799</v>
      </c>
      <c r="B336" s="6" t="s">
        <v>1989</v>
      </c>
      <c r="C336" s="7">
        <v>46197</v>
      </c>
      <c r="D336" s="9" t="s">
        <v>241</v>
      </c>
      <c r="E336" s="8" t="s">
        <v>27</v>
      </c>
      <c r="F336" s="9" t="s">
        <v>246</v>
      </c>
      <c r="G336" s="9">
        <v>1</v>
      </c>
      <c r="H336" s="6" t="s">
        <v>243</v>
      </c>
      <c r="I336" s="9" t="s">
        <v>311</v>
      </c>
      <c r="J336" s="9" t="s">
        <v>145</v>
      </c>
    </row>
    <row r="337" spans="1:10">
      <c r="A337" s="5" t="s">
        <v>800</v>
      </c>
      <c r="B337" s="6" t="s">
        <v>1990</v>
      </c>
      <c r="C337" s="7">
        <v>46197</v>
      </c>
      <c r="D337" s="9" t="s">
        <v>241</v>
      </c>
      <c r="E337" s="8" t="s">
        <v>28</v>
      </c>
      <c r="F337" s="9" t="s">
        <v>242</v>
      </c>
      <c r="G337" s="9">
        <v>1</v>
      </c>
      <c r="H337" s="6" t="s">
        <v>243</v>
      </c>
      <c r="I337" s="9" t="s">
        <v>311</v>
      </c>
      <c r="J337" s="9" t="s">
        <v>145</v>
      </c>
    </row>
    <row r="338" spans="1:10">
      <c r="A338" s="5" t="s">
        <v>802</v>
      </c>
      <c r="B338" s="6" t="s">
        <v>1990</v>
      </c>
      <c r="C338" s="7">
        <v>46197</v>
      </c>
      <c r="D338" s="9" t="s">
        <v>241</v>
      </c>
      <c r="E338" s="8" t="s">
        <v>27</v>
      </c>
      <c r="F338" s="9" t="s">
        <v>246</v>
      </c>
      <c r="G338" s="9">
        <v>1</v>
      </c>
      <c r="H338" s="6" t="s">
        <v>243</v>
      </c>
      <c r="I338" s="9" t="s">
        <v>311</v>
      </c>
      <c r="J338" s="9" t="s">
        <v>145</v>
      </c>
    </row>
    <row r="339" spans="1:10">
      <c r="A339" s="5" t="s">
        <v>803</v>
      </c>
      <c r="B339" s="6" t="s">
        <v>1991</v>
      </c>
      <c r="C339" s="7">
        <v>46197</v>
      </c>
      <c r="D339" s="9" t="s">
        <v>241</v>
      </c>
      <c r="E339" s="8" t="s">
        <v>28</v>
      </c>
      <c r="F339" s="9" t="s">
        <v>242</v>
      </c>
      <c r="G339" s="9">
        <v>1</v>
      </c>
      <c r="H339" s="6" t="s">
        <v>1992</v>
      </c>
      <c r="I339" s="9" t="s">
        <v>311</v>
      </c>
      <c r="J339" s="9" t="s">
        <v>145</v>
      </c>
    </row>
    <row r="340" spans="1:10">
      <c r="A340" s="5" t="s">
        <v>805</v>
      </c>
      <c r="B340" s="6" t="s">
        <v>1991</v>
      </c>
      <c r="C340" s="7">
        <v>46197</v>
      </c>
      <c r="D340" s="9" t="s">
        <v>241</v>
      </c>
      <c r="E340" s="8" t="s">
        <v>29</v>
      </c>
      <c r="F340" s="9" t="s">
        <v>246</v>
      </c>
      <c r="G340" s="9">
        <v>1</v>
      </c>
      <c r="H340" s="6" t="s">
        <v>1992</v>
      </c>
      <c r="I340" s="9" t="s">
        <v>311</v>
      </c>
      <c r="J340" s="9" t="s">
        <v>145</v>
      </c>
    </row>
    <row r="341" spans="1:10">
      <c r="A341" s="5" t="s">
        <v>808</v>
      </c>
      <c r="B341" s="6" t="s">
        <v>1993</v>
      </c>
      <c r="C341" s="7">
        <v>46197</v>
      </c>
      <c r="D341" s="9" t="s">
        <v>241</v>
      </c>
      <c r="E341" s="8" t="s">
        <v>28</v>
      </c>
      <c r="F341" s="9" t="s">
        <v>242</v>
      </c>
      <c r="G341" s="9">
        <v>1</v>
      </c>
      <c r="H341" s="6" t="s">
        <v>243</v>
      </c>
      <c r="I341" s="9" t="s">
        <v>311</v>
      </c>
      <c r="J341" s="9" t="s">
        <v>145</v>
      </c>
    </row>
    <row r="342" spans="1:10">
      <c r="A342" s="5" t="s">
        <v>809</v>
      </c>
      <c r="B342" s="6" t="s">
        <v>1993</v>
      </c>
      <c r="C342" s="7">
        <v>46197</v>
      </c>
      <c r="D342" s="9" t="s">
        <v>241</v>
      </c>
      <c r="E342" s="8" t="s">
        <v>27</v>
      </c>
      <c r="F342" s="9" t="s">
        <v>246</v>
      </c>
      <c r="G342" s="9">
        <v>1</v>
      </c>
      <c r="H342" s="6" t="s">
        <v>243</v>
      </c>
      <c r="I342" s="9" t="s">
        <v>311</v>
      </c>
      <c r="J342" s="9" t="s">
        <v>145</v>
      </c>
    </row>
    <row r="343" spans="1:10">
      <c r="A343" s="5" t="s">
        <v>810</v>
      </c>
      <c r="B343" s="6" t="s">
        <v>1994</v>
      </c>
      <c r="C343" s="7">
        <v>46197</v>
      </c>
      <c r="D343" s="9" t="s">
        <v>241</v>
      </c>
      <c r="E343" s="8" t="s">
        <v>1152</v>
      </c>
      <c r="F343" s="9" t="s">
        <v>242</v>
      </c>
      <c r="G343" s="9">
        <v>1</v>
      </c>
      <c r="H343" s="6" t="s">
        <v>965</v>
      </c>
      <c r="I343" s="9" t="s">
        <v>329</v>
      </c>
      <c r="J343" s="9" t="s">
        <v>145</v>
      </c>
    </row>
    <row r="344" spans="1:10">
      <c r="A344" s="5" t="s">
        <v>812</v>
      </c>
      <c r="B344" s="6" t="s">
        <v>1994</v>
      </c>
      <c r="C344" s="7">
        <v>46197</v>
      </c>
      <c r="D344" s="9" t="s">
        <v>241</v>
      </c>
      <c r="E344" s="4" t="s">
        <v>29</v>
      </c>
      <c r="F344" s="9" t="s">
        <v>246</v>
      </c>
      <c r="G344" s="9">
        <v>1</v>
      </c>
      <c r="H344" s="6" t="s">
        <v>965</v>
      </c>
      <c r="I344" s="9" t="s">
        <v>329</v>
      </c>
      <c r="J344" s="9" t="s">
        <v>145</v>
      </c>
    </row>
    <row r="345" spans="1:10">
      <c r="A345" s="5" t="s">
        <v>813</v>
      </c>
      <c r="B345" s="6" t="s">
        <v>1994</v>
      </c>
      <c r="C345" s="7">
        <v>46197</v>
      </c>
      <c r="D345" s="9" t="s">
        <v>261</v>
      </c>
      <c r="E345" s="4" t="s">
        <v>62</v>
      </c>
      <c r="F345" s="9" t="s">
        <v>242</v>
      </c>
      <c r="G345" s="9">
        <v>2</v>
      </c>
      <c r="H345" s="6" t="s">
        <v>965</v>
      </c>
      <c r="I345" s="9" t="s">
        <v>329</v>
      </c>
      <c r="J345" s="9" t="s">
        <v>145</v>
      </c>
    </row>
    <row r="346" spans="1:10">
      <c r="A346" s="5" t="s">
        <v>815</v>
      </c>
      <c r="B346" s="6" t="s">
        <v>1994</v>
      </c>
      <c r="C346" s="7">
        <v>46197</v>
      </c>
      <c r="D346" s="9" t="s">
        <v>261</v>
      </c>
      <c r="E346" s="8" t="s">
        <v>281</v>
      </c>
      <c r="F346" s="9" t="s">
        <v>242</v>
      </c>
      <c r="G346" s="9">
        <v>2</v>
      </c>
      <c r="H346" s="6" t="s">
        <v>965</v>
      </c>
      <c r="I346" s="9" t="s">
        <v>329</v>
      </c>
      <c r="J346" s="9" t="s">
        <v>145</v>
      </c>
    </row>
    <row r="347" spans="1:10">
      <c r="A347" s="5" t="s">
        <v>816</v>
      </c>
      <c r="B347" s="6" t="s">
        <v>1995</v>
      </c>
      <c r="C347" s="7">
        <v>46198</v>
      </c>
      <c r="D347" s="9" t="s">
        <v>241</v>
      </c>
      <c r="E347" s="8" t="s">
        <v>28</v>
      </c>
      <c r="F347" s="9" t="s">
        <v>242</v>
      </c>
      <c r="G347" s="9">
        <v>1</v>
      </c>
      <c r="H347" s="6" t="s">
        <v>243</v>
      </c>
      <c r="I347" s="9" t="s">
        <v>266</v>
      </c>
      <c r="J347" s="9" t="s">
        <v>145</v>
      </c>
    </row>
    <row r="348" spans="1:10">
      <c r="A348" s="5" t="s">
        <v>817</v>
      </c>
      <c r="B348" s="6" t="s">
        <v>1995</v>
      </c>
      <c r="C348" s="7">
        <v>46198</v>
      </c>
      <c r="D348" s="9" t="s">
        <v>241</v>
      </c>
      <c r="E348" s="8" t="s">
        <v>27</v>
      </c>
      <c r="F348" s="9" t="s">
        <v>246</v>
      </c>
      <c r="G348" s="9">
        <v>1</v>
      </c>
      <c r="H348" s="6" t="s">
        <v>243</v>
      </c>
      <c r="I348" s="9" t="s">
        <v>266</v>
      </c>
      <c r="J348" s="9" t="s">
        <v>145</v>
      </c>
    </row>
    <row r="349" spans="1:10">
      <c r="A349" s="5" t="s">
        <v>818</v>
      </c>
      <c r="B349" s="6" t="s">
        <v>1966</v>
      </c>
      <c r="C349" s="7">
        <v>46198</v>
      </c>
      <c r="D349" s="9" t="s">
        <v>665</v>
      </c>
      <c r="E349" s="4" t="s">
        <v>666</v>
      </c>
      <c r="F349" s="9" t="s">
        <v>242</v>
      </c>
      <c r="G349" s="9">
        <v>1</v>
      </c>
      <c r="H349" s="6" t="s">
        <v>1996</v>
      </c>
      <c r="I349" s="9" t="s">
        <v>266</v>
      </c>
      <c r="J349" s="9" t="s">
        <v>145</v>
      </c>
    </row>
    <row r="350" spans="1:10">
      <c r="A350" s="5" t="s">
        <v>820</v>
      </c>
      <c r="B350" s="6" t="s">
        <v>1966</v>
      </c>
      <c r="C350" s="7">
        <v>46198</v>
      </c>
      <c r="D350" s="9" t="s">
        <v>665</v>
      </c>
      <c r="E350" s="8" t="s">
        <v>42</v>
      </c>
      <c r="F350" s="9" t="s">
        <v>246</v>
      </c>
      <c r="G350" s="9">
        <v>1</v>
      </c>
      <c r="H350" s="6" t="s">
        <v>1996</v>
      </c>
      <c r="I350" s="9" t="s">
        <v>266</v>
      </c>
      <c r="J350" s="9" t="s">
        <v>145</v>
      </c>
    </row>
    <row r="351" spans="1:10">
      <c r="A351" s="5" t="s">
        <v>821</v>
      </c>
      <c r="B351" s="6" t="s">
        <v>1966</v>
      </c>
      <c r="C351" s="7">
        <v>46198</v>
      </c>
      <c r="D351" s="9" t="s">
        <v>696</v>
      </c>
      <c r="E351" s="4" t="s">
        <v>843</v>
      </c>
      <c r="F351" s="9" t="s">
        <v>242</v>
      </c>
      <c r="G351" s="9">
        <v>6</v>
      </c>
      <c r="H351" s="6" t="s">
        <v>1996</v>
      </c>
      <c r="I351" s="9" t="s">
        <v>266</v>
      </c>
      <c r="J351" s="9" t="s">
        <v>145</v>
      </c>
    </row>
    <row r="352" spans="1:10">
      <c r="A352" s="5" t="s">
        <v>822</v>
      </c>
      <c r="B352" s="6" t="s">
        <v>1966</v>
      </c>
      <c r="C352" s="7">
        <v>46198</v>
      </c>
      <c r="D352" s="9" t="s">
        <v>270</v>
      </c>
      <c r="E352" s="8" t="s">
        <v>271</v>
      </c>
      <c r="F352" s="9" t="s">
        <v>242</v>
      </c>
      <c r="G352" s="9">
        <v>1</v>
      </c>
      <c r="H352" s="6" t="s">
        <v>1996</v>
      </c>
      <c r="I352" s="9" t="s">
        <v>266</v>
      </c>
      <c r="J352" s="9" t="s">
        <v>145</v>
      </c>
    </row>
    <row r="353" spans="1:10">
      <c r="A353" s="5" t="s">
        <v>824</v>
      </c>
      <c r="B353" s="6" t="s">
        <v>1966</v>
      </c>
      <c r="C353" s="7">
        <v>46198</v>
      </c>
      <c r="D353" s="9" t="s">
        <v>503</v>
      </c>
      <c r="E353" s="4" t="s">
        <v>1429</v>
      </c>
      <c r="F353" s="9" t="s">
        <v>242</v>
      </c>
      <c r="G353" s="9">
        <v>6</v>
      </c>
      <c r="H353" s="6" t="s">
        <v>1996</v>
      </c>
      <c r="I353" s="9" t="s">
        <v>266</v>
      </c>
      <c r="J353" s="9" t="s">
        <v>145</v>
      </c>
    </row>
    <row r="354" spans="1:10">
      <c r="A354" s="5" t="s">
        <v>828</v>
      </c>
      <c r="B354" s="6" t="s">
        <v>1997</v>
      </c>
      <c r="C354" s="7">
        <v>46198</v>
      </c>
      <c r="D354" s="9" t="s">
        <v>241</v>
      </c>
      <c r="E354" s="8" t="s">
        <v>28</v>
      </c>
      <c r="F354" s="9" t="s">
        <v>242</v>
      </c>
      <c r="G354" s="9">
        <v>1</v>
      </c>
      <c r="H354" s="6" t="s">
        <v>931</v>
      </c>
      <c r="I354" s="9" t="s">
        <v>388</v>
      </c>
      <c r="J354" s="9" t="s">
        <v>145</v>
      </c>
    </row>
    <row r="355" spans="1:10">
      <c r="A355" s="5" t="s">
        <v>831</v>
      </c>
      <c r="B355" s="6" t="s">
        <v>1997</v>
      </c>
      <c r="C355" s="7">
        <v>46198</v>
      </c>
      <c r="D355" s="9" t="s">
        <v>241</v>
      </c>
      <c r="E355" s="8" t="s">
        <v>29</v>
      </c>
      <c r="F355" s="9" t="s">
        <v>246</v>
      </c>
      <c r="G355" s="9">
        <v>1</v>
      </c>
      <c r="H355" s="6" t="s">
        <v>931</v>
      </c>
      <c r="I355" s="9" t="s">
        <v>388</v>
      </c>
      <c r="J355" s="9" t="s">
        <v>145</v>
      </c>
    </row>
    <row r="356" spans="1:10">
      <c r="A356" s="5" t="s">
        <v>833</v>
      </c>
      <c r="B356" s="6" t="s">
        <v>1997</v>
      </c>
      <c r="C356" s="7">
        <v>46198</v>
      </c>
      <c r="D356" s="9" t="s">
        <v>261</v>
      </c>
      <c r="E356" s="8" t="s">
        <v>62</v>
      </c>
      <c r="F356" s="9" t="s">
        <v>242</v>
      </c>
      <c r="G356" s="9">
        <v>1</v>
      </c>
      <c r="H356" s="6" t="s">
        <v>931</v>
      </c>
      <c r="I356" s="9" t="s">
        <v>388</v>
      </c>
      <c r="J356" s="9" t="s">
        <v>145</v>
      </c>
    </row>
    <row r="357" spans="1:10">
      <c r="A357" s="5" t="s">
        <v>836</v>
      </c>
      <c r="B357" s="6" t="s">
        <v>1997</v>
      </c>
      <c r="C357" s="7">
        <v>46198</v>
      </c>
      <c r="D357" s="9" t="s">
        <v>261</v>
      </c>
      <c r="E357" s="8" t="s">
        <v>281</v>
      </c>
      <c r="F357" s="9" t="s">
        <v>242</v>
      </c>
      <c r="G357" s="9">
        <v>2</v>
      </c>
      <c r="H357" s="6" t="s">
        <v>931</v>
      </c>
      <c r="I357" s="9" t="s">
        <v>388</v>
      </c>
      <c r="J357" s="9" t="s">
        <v>145</v>
      </c>
    </row>
    <row r="358" spans="1:10">
      <c r="A358" s="5" t="s">
        <v>839</v>
      </c>
      <c r="B358" s="6" t="s">
        <v>1998</v>
      </c>
      <c r="C358" s="7">
        <v>46198</v>
      </c>
      <c r="D358" s="9" t="s">
        <v>241</v>
      </c>
      <c r="E358" s="8" t="s">
        <v>1152</v>
      </c>
      <c r="F358" s="9" t="s">
        <v>242</v>
      </c>
      <c r="G358" s="9">
        <v>1</v>
      </c>
      <c r="H358" s="6" t="s">
        <v>1653</v>
      </c>
      <c r="I358" s="9" t="s">
        <v>258</v>
      </c>
      <c r="J358" s="9" t="s">
        <v>145</v>
      </c>
    </row>
    <row r="359" spans="1:10">
      <c r="A359" s="5" t="s">
        <v>840</v>
      </c>
      <c r="B359" s="6" t="s">
        <v>1998</v>
      </c>
      <c r="C359" s="7">
        <v>46198</v>
      </c>
      <c r="D359" s="9" t="s">
        <v>241</v>
      </c>
      <c r="E359" s="4" t="s">
        <v>27</v>
      </c>
      <c r="F359" s="9" t="s">
        <v>246</v>
      </c>
      <c r="G359" s="9">
        <v>1</v>
      </c>
      <c r="H359" s="6" t="s">
        <v>1653</v>
      </c>
      <c r="I359" s="9" t="s">
        <v>258</v>
      </c>
      <c r="J359" s="9" t="s">
        <v>145</v>
      </c>
    </row>
    <row r="360" spans="1:10">
      <c r="A360" s="5" t="s">
        <v>841</v>
      </c>
      <c r="B360" s="6" t="s">
        <v>1999</v>
      </c>
      <c r="C360" s="7">
        <v>46198</v>
      </c>
      <c r="D360" s="9" t="s">
        <v>665</v>
      </c>
      <c r="E360" s="8" t="s">
        <v>666</v>
      </c>
      <c r="F360" s="9" t="s">
        <v>242</v>
      </c>
      <c r="G360" s="9">
        <v>1</v>
      </c>
      <c r="H360" s="6" t="s">
        <v>2000</v>
      </c>
      <c r="I360" s="9" t="s">
        <v>258</v>
      </c>
      <c r="J360" s="9" t="s">
        <v>145</v>
      </c>
    </row>
    <row r="361" spans="1:10">
      <c r="A361" s="5" t="s">
        <v>842</v>
      </c>
      <c r="B361" s="6" t="s">
        <v>1999</v>
      </c>
      <c r="C361" s="7">
        <v>46198</v>
      </c>
      <c r="D361" s="9" t="s">
        <v>665</v>
      </c>
      <c r="E361" s="8" t="s">
        <v>42</v>
      </c>
      <c r="F361" s="9" t="s">
        <v>246</v>
      </c>
      <c r="G361" s="9">
        <v>1</v>
      </c>
      <c r="H361" s="6" t="s">
        <v>2000</v>
      </c>
      <c r="I361" s="9" t="s">
        <v>258</v>
      </c>
      <c r="J361" s="9" t="s">
        <v>145</v>
      </c>
    </row>
    <row r="362" spans="1:10">
      <c r="A362" s="5" t="s">
        <v>844</v>
      </c>
      <c r="B362" s="6" t="s">
        <v>1999</v>
      </c>
      <c r="C362" s="7">
        <v>46198</v>
      </c>
      <c r="D362" s="9" t="s">
        <v>500</v>
      </c>
      <c r="E362" s="8" t="s">
        <v>3</v>
      </c>
      <c r="F362" s="9" t="s">
        <v>242</v>
      </c>
      <c r="G362" s="9">
        <v>1</v>
      </c>
      <c r="H362" s="6" t="s">
        <v>2000</v>
      </c>
      <c r="I362" s="9" t="s">
        <v>258</v>
      </c>
      <c r="J362" s="9" t="s">
        <v>145</v>
      </c>
    </row>
    <row r="363" spans="1:10">
      <c r="A363" s="5" t="s">
        <v>847</v>
      </c>
      <c r="B363" s="6" t="s">
        <v>1999</v>
      </c>
      <c r="C363" s="7">
        <v>46198</v>
      </c>
      <c r="D363" s="9" t="s">
        <v>270</v>
      </c>
      <c r="E363" s="8" t="s">
        <v>271</v>
      </c>
      <c r="F363" s="9" t="s">
        <v>242</v>
      </c>
      <c r="G363" s="9">
        <v>4</v>
      </c>
      <c r="H363" s="6" t="s">
        <v>2000</v>
      </c>
      <c r="I363" s="9" t="s">
        <v>258</v>
      </c>
      <c r="J363" s="9" t="s">
        <v>145</v>
      </c>
    </row>
    <row r="364" spans="1:10">
      <c r="A364" s="5" t="s">
        <v>849</v>
      </c>
      <c r="B364" s="6" t="s">
        <v>1999</v>
      </c>
      <c r="C364" s="7">
        <v>46198</v>
      </c>
      <c r="D364" s="9" t="s">
        <v>503</v>
      </c>
      <c r="E364" s="8" t="s">
        <v>1429</v>
      </c>
      <c r="F364" s="9" t="s">
        <v>242</v>
      </c>
      <c r="G364" s="9">
        <v>6</v>
      </c>
      <c r="H364" s="6" t="s">
        <v>2000</v>
      </c>
      <c r="I364" s="9" t="s">
        <v>258</v>
      </c>
      <c r="J364" s="9" t="s">
        <v>145</v>
      </c>
    </row>
    <row r="365" spans="1:10">
      <c r="A365" s="5" t="s">
        <v>852</v>
      </c>
      <c r="B365" s="6" t="s">
        <v>2001</v>
      </c>
      <c r="C365" s="7">
        <v>46198</v>
      </c>
      <c r="D365" s="9" t="s">
        <v>299</v>
      </c>
      <c r="E365" s="8" t="s">
        <v>24</v>
      </c>
      <c r="F365" s="9" t="s">
        <v>242</v>
      </c>
      <c r="G365" s="9">
        <v>1</v>
      </c>
      <c r="H365" s="6" t="s">
        <v>925</v>
      </c>
      <c r="I365" s="9" t="s">
        <v>2002</v>
      </c>
      <c r="J365" s="9" t="s">
        <v>145</v>
      </c>
    </row>
    <row r="366" spans="1:10">
      <c r="A366" s="5" t="s">
        <v>853</v>
      </c>
      <c r="B366" s="6" t="s">
        <v>2001</v>
      </c>
      <c r="C366" s="7">
        <v>46198</v>
      </c>
      <c r="D366" s="9" t="s">
        <v>299</v>
      </c>
      <c r="E366" s="8" t="s">
        <v>1334</v>
      </c>
      <c r="F366" s="9" t="s">
        <v>246</v>
      </c>
      <c r="G366" s="9">
        <v>1</v>
      </c>
      <c r="H366" s="6" t="s">
        <v>925</v>
      </c>
      <c r="I366" s="9" t="s">
        <v>2002</v>
      </c>
      <c r="J366" s="9" t="s">
        <v>145</v>
      </c>
    </row>
    <row r="367" spans="1:10">
      <c r="A367" s="5" t="s">
        <v>856</v>
      </c>
      <c r="B367" s="6" t="s">
        <v>2001</v>
      </c>
      <c r="C367" s="7">
        <v>46198</v>
      </c>
      <c r="D367" s="9" t="s">
        <v>270</v>
      </c>
      <c r="E367" s="8" t="s">
        <v>271</v>
      </c>
      <c r="F367" s="9" t="s">
        <v>242</v>
      </c>
      <c r="G367" s="9">
        <v>3</v>
      </c>
      <c r="H367" s="6" t="s">
        <v>925</v>
      </c>
      <c r="I367" s="9" t="s">
        <v>2002</v>
      </c>
      <c r="J367" s="9" t="s">
        <v>145</v>
      </c>
    </row>
    <row r="368" spans="1:10">
      <c r="A368" s="5" t="s">
        <v>857</v>
      </c>
      <c r="B368" s="6" t="s">
        <v>2001</v>
      </c>
      <c r="C368" s="7">
        <v>46198</v>
      </c>
      <c r="D368" s="9" t="s">
        <v>503</v>
      </c>
      <c r="E368" s="4" t="s">
        <v>162</v>
      </c>
      <c r="F368" s="9" t="s">
        <v>242</v>
      </c>
      <c r="G368" s="9">
        <v>1</v>
      </c>
      <c r="H368" s="6" t="s">
        <v>925</v>
      </c>
      <c r="I368" s="9" t="s">
        <v>2002</v>
      </c>
      <c r="J368" s="9" t="s">
        <v>145</v>
      </c>
    </row>
    <row r="369" spans="1:10">
      <c r="A369" s="5" t="s">
        <v>858</v>
      </c>
      <c r="B369" s="6" t="s">
        <v>2003</v>
      </c>
      <c r="C369" s="7">
        <v>46198</v>
      </c>
      <c r="D369" s="9" t="s">
        <v>241</v>
      </c>
      <c r="E369" s="8" t="s">
        <v>1152</v>
      </c>
      <c r="F369" s="9" t="s">
        <v>242</v>
      </c>
      <c r="G369" s="9">
        <v>1</v>
      </c>
      <c r="H369" s="6" t="s">
        <v>560</v>
      </c>
      <c r="I369" s="9" t="s">
        <v>363</v>
      </c>
      <c r="J369" s="9" t="s">
        <v>145</v>
      </c>
    </row>
    <row r="370" spans="1:10">
      <c r="A370" s="5" t="s">
        <v>860</v>
      </c>
      <c r="B370" s="6" t="s">
        <v>2003</v>
      </c>
      <c r="C370" s="7">
        <v>46198</v>
      </c>
      <c r="D370" s="9" t="s">
        <v>241</v>
      </c>
      <c r="E370" s="8" t="s">
        <v>27</v>
      </c>
      <c r="F370" s="9" t="s">
        <v>246</v>
      </c>
      <c r="G370" s="9">
        <v>1</v>
      </c>
      <c r="H370" s="6" t="s">
        <v>560</v>
      </c>
      <c r="I370" s="9" t="s">
        <v>363</v>
      </c>
      <c r="J370" s="9" t="s">
        <v>145</v>
      </c>
    </row>
    <row r="371" spans="1:10">
      <c r="A371" s="5" t="s">
        <v>862</v>
      </c>
      <c r="B371" s="6" t="s">
        <v>2004</v>
      </c>
      <c r="C371" s="7">
        <v>46198</v>
      </c>
      <c r="D371" s="9" t="s">
        <v>241</v>
      </c>
      <c r="E371" s="8" t="s">
        <v>28</v>
      </c>
      <c r="F371" s="9" t="s">
        <v>242</v>
      </c>
      <c r="G371" s="9">
        <v>1</v>
      </c>
      <c r="H371" s="6" t="s">
        <v>931</v>
      </c>
      <c r="I371" s="9" t="s">
        <v>363</v>
      </c>
      <c r="J371" s="9" t="s">
        <v>145</v>
      </c>
    </row>
    <row r="372" spans="1:10">
      <c r="A372" s="5" t="s">
        <v>863</v>
      </c>
      <c r="B372" s="6" t="s">
        <v>2004</v>
      </c>
      <c r="C372" s="7">
        <v>46198</v>
      </c>
      <c r="D372" s="9" t="s">
        <v>241</v>
      </c>
      <c r="E372" s="8" t="s">
        <v>29</v>
      </c>
      <c r="F372" s="9" t="s">
        <v>246</v>
      </c>
      <c r="G372" s="9">
        <v>1</v>
      </c>
      <c r="H372" s="6" t="s">
        <v>931</v>
      </c>
      <c r="I372" s="9" t="s">
        <v>363</v>
      </c>
      <c r="J372" s="9" t="s">
        <v>145</v>
      </c>
    </row>
    <row r="373" spans="1:10">
      <c r="A373" s="5" t="s">
        <v>864</v>
      </c>
      <c r="B373" s="6" t="s">
        <v>2004</v>
      </c>
      <c r="C373" s="7">
        <v>46198</v>
      </c>
      <c r="D373" s="9" t="s">
        <v>261</v>
      </c>
      <c r="E373" s="8" t="s">
        <v>281</v>
      </c>
      <c r="F373" s="9" t="s">
        <v>242</v>
      </c>
      <c r="G373" s="9">
        <v>2</v>
      </c>
      <c r="H373" s="6" t="s">
        <v>931</v>
      </c>
      <c r="I373" s="9" t="s">
        <v>363</v>
      </c>
      <c r="J373" s="9" t="s">
        <v>145</v>
      </c>
    </row>
    <row r="374" spans="1:10">
      <c r="A374" s="5" t="s">
        <v>867</v>
      </c>
      <c r="B374" s="6" t="s">
        <v>2005</v>
      </c>
      <c r="C374" s="7">
        <v>46198</v>
      </c>
      <c r="D374" s="9" t="s">
        <v>241</v>
      </c>
      <c r="E374" s="8" t="s">
        <v>1152</v>
      </c>
      <c r="F374" s="9" t="s">
        <v>242</v>
      </c>
      <c r="G374" s="9">
        <v>1</v>
      </c>
      <c r="H374" s="6" t="s">
        <v>243</v>
      </c>
      <c r="I374" s="9" t="s">
        <v>363</v>
      </c>
      <c r="J374" s="9" t="s">
        <v>145</v>
      </c>
    </row>
    <row r="375" spans="1:10">
      <c r="A375" s="5" t="s">
        <v>868</v>
      </c>
      <c r="B375" s="6" t="s">
        <v>2005</v>
      </c>
      <c r="C375" s="7">
        <v>46198</v>
      </c>
      <c r="D375" s="9" t="s">
        <v>241</v>
      </c>
      <c r="E375" s="8" t="s">
        <v>27</v>
      </c>
      <c r="F375" s="9" t="s">
        <v>246</v>
      </c>
      <c r="G375" s="9">
        <v>1</v>
      </c>
      <c r="H375" s="6" t="s">
        <v>243</v>
      </c>
      <c r="I375" s="9" t="s">
        <v>363</v>
      </c>
      <c r="J375" s="9" t="s">
        <v>145</v>
      </c>
    </row>
    <row r="376" spans="1:10">
      <c r="A376" s="5" t="s">
        <v>869</v>
      </c>
      <c r="B376" s="6" t="s">
        <v>2006</v>
      </c>
      <c r="C376" s="7">
        <v>45862</v>
      </c>
      <c r="D376" s="9" t="s">
        <v>299</v>
      </c>
      <c r="E376" s="4" t="s">
        <v>24</v>
      </c>
      <c r="F376" s="9" t="s">
        <v>242</v>
      </c>
      <c r="G376" s="9">
        <v>1</v>
      </c>
      <c r="H376" s="6" t="s">
        <v>328</v>
      </c>
      <c r="I376" s="9" t="s">
        <v>258</v>
      </c>
      <c r="J376" s="9" t="s">
        <v>145</v>
      </c>
    </row>
    <row r="377" spans="1:10">
      <c r="A377" s="5" t="s">
        <v>872</v>
      </c>
      <c r="B377" s="6" t="s">
        <v>2006</v>
      </c>
      <c r="C377" s="7">
        <v>45862</v>
      </c>
      <c r="D377" s="9" t="s">
        <v>299</v>
      </c>
      <c r="E377" s="8" t="s">
        <v>376</v>
      </c>
      <c r="F377" s="9" t="s">
        <v>246</v>
      </c>
      <c r="G377" s="9">
        <v>1</v>
      </c>
      <c r="H377" s="6" t="s">
        <v>328</v>
      </c>
      <c r="I377" s="9" t="s">
        <v>258</v>
      </c>
      <c r="J377" s="9" t="s">
        <v>145</v>
      </c>
    </row>
    <row r="378" spans="1:10">
      <c r="A378" s="5" t="s">
        <v>874</v>
      </c>
      <c r="B378" s="6" t="s">
        <v>2006</v>
      </c>
      <c r="C378" s="7">
        <v>45862</v>
      </c>
      <c r="D378" s="9" t="s">
        <v>270</v>
      </c>
      <c r="E378" s="8" t="s">
        <v>271</v>
      </c>
      <c r="F378" s="9" t="s">
        <v>242</v>
      </c>
      <c r="G378" s="9">
        <v>4</v>
      </c>
      <c r="H378" s="6" t="s">
        <v>328</v>
      </c>
      <c r="I378" s="9" t="s">
        <v>258</v>
      </c>
      <c r="J378" s="9" t="s">
        <v>145</v>
      </c>
    </row>
    <row r="379" spans="1:10">
      <c r="A379" s="5" t="s">
        <v>877</v>
      </c>
      <c r="B379" s="6" t="s">
        <v>2006</v>
      </c>
      <c r="C379" s="7">
        <v>45862</v>
      </c>
      <c r="D379" s="9" t="s">
        <v>503</v>
      </c>
      <c r="E379" s="8" t="s">
        <v>206</v>
      </c>
      <c r="F379" s="9" t="s">
        <v>242</v>
      </c>
      <c r="G379" s="9">
        <v>2</v>
      </c>
      <c r="H379" s="6" t="s">
        <v>328</v>
      </c>
      <c r="I379" s="9" t="s">
        <v>258</v>
      </c>
      <c r="J379" s="9" t="s">
        <v>145</v>
      </c>
    </row>
    <row r="380" spans="1:10">
      <c r="A380" s="5" t="s">
        <v>878</v>
      </c>
      <c r="B380" s="6" t="s">
        <v>2007</v>
      </c>
      <c r="C380" s="7">
        <v>46199</v>
      </c>
      <c r="D380" s="9" t="s">
        <v>299</v>
      </c>
      <c r="E380" s="8" t="s">
        <v>20</v>
      </c>
      <c r="F380" s="9" t="s">
        <v>242</v>
      </c>
      <c r="G380" s="9">
        <v>1</v>
      </c>
      <c r="H380" s="6" t="s">
        <v>249</v>
      </c>
      <c r="I380" s="9" t="s">
        <v>628</v>
      </c>
      <c r="J380" s="9" t="s">
        <v>145</v>
      </c>
    </row>
    <row r="381" spans="1:10">
      <c r="A381" s="5" t="s">
        <v>880</v>
      </c>
      <c r="B381" s="6" t="s">
        <v>2007</v>
      </c>
      <c r="C381" s="7">
        <v>46199</v>
      </c>
      <c r="D381" s="9" t="s">
        <v>299</v>
      </c>
      <c r="E381" s="8" t="s">
        <v>1334</v>
      </c>
      <c r="F381" s="9" t="s">
        <v>246</v>
      </c>
      <c r="G381" s="9">
        <v>1</v>
      </c>
      <c r="H381" s="6" t="s">
        <v>249</v>
      </c>
      <c r="I381" s="9" t="s">
        <v>628</v>
      </c>
      <c r="J381" s="9" t="s">
        <v>145</v>
      </c>
    </row>
    <row r="382" spans="1:10">
      <c r="A382" s="5" t="s">
        <v>882</v>
      </c>
      <c r="B382" s="6" t="s">
        <v>2008</v>
      </c>
      <c r="C382" s="7">
        <v>46199</v>
      </c>
      <c r="D382" s="9" t="s">
        <v>299</v>
      </c>
      <c r="E382" s="8" t="s">
        <v>21</v>
      </c>
      <c r="F382" s="9" t="s">
        <v>242</v>
      </c>
      <c r="G382" s="9">
        <v>1</v>
      </c>
      <c r="H382" s="6" t="s">
        <v>526</v>
      </c>
      <c r="I382" s="9" t="s">
        <v>514</v>
      </c>
      <c r="J382" s="9" t="s">
        <v>145</v>
      </c>
    </row>
    <row r="383" spans="1:10">
      <c r="A383" s="5" t="s">
        <v>884</v>
      </c>
      <c r="B383" s="6" t="s">
        <v>2008</v>
      </c>
      <c r="C383" s="7">
        <v>46199</v>
      </c>
      <c r="D383" s="9" t="s">
        <v>299</v>
      </c>
      <c r="E383" s="8" t="s">
        <v>21</v>
      </c>
      <c r="F383" s="9" t="s">
        <v>246</v>
      </c>
      <c r="G383" s="9">
        <v>1</v>
      </c>
      <c r="H383" s="6" t="s">
        <v>526</v>
      </c>
      <c r="I383" s="9" t="s">
        <v>514</v>
      </c>
      <c r="J383" s="9" t="s">
        <v>145</v>
      </c>
    </row>
    <row r="384" spans="1:10">
      <c r="A384" s="5" t="s">
        <v>886</v>
      </c>
      <c r="B384" s="6" t="s">
        <v>2009</v>
      </c>
      <c r="C384" s="7">
        <v>46169</v>
      </c>
      <c r="D384" s="9" t="s">
        <v>500</v>
      </c>
      <c r="E384" s="8" t="s">
        <v>46</v>
      </c>
      <c r="F384" s="9" t="s">
        <v>242</v>
      </c>
      <c r="G384" s="9">
        <v>1</v>
      </c>
      <c r="H384" s="6" t="s">
        <v>742</v>
      </c>
      <c r="I384" s="9" t="s">
        <v>388</v>
      </c>
      <c r="J384" s="9" t="s">
        <v>145</v>
      </c>
    </row>
    <row r="385" spans="1:10">
      <c r="A385" s="5" t="s">
        <v>887</v>
      </c>
      <c r="B385" s="6" t="s">
        <v>2009</v>
      </c>
      <c r="C385" s="7">
        <v>46169</v>
      </c>
      <c r="D385" s="9" t="s">
        <v>261</v>
      </c>
      <c r="E385" s="8" t="s">
        <v>63</v>
      </c>
      <c r="F385" s="9" t="s">
        <v>242</v>
      </c>
      <c r="G385" s="9">
        <v>1</v>
      </c>
      <c r="H385" s="6" t="s">
        <v>742</v>
      </c>
      <c r="I385" s="9" t="s">
        <v>388</v>
      </c>
      <c r="J385" s="9" t="s">
        <v>145</v>
      </c>
    </row>
    <row r="386" spans="1:10">
      <c r="A386" s="5" t="s">
        <v>889</v>
      </c>
      <c r="B386" s="6" t="s">
        <v>2009</v>
      </c>
      <c r="C386" s="7">
        <v>46169</v>
      </c>
      <c r="D386" s="9" t="s">
        <v>261</v>
      </c>
      <c r="E386" s="8" t="s">
        <v>62</v>
      </c>
      <c r="F386" s="9" t="s">
        <v>242</v>
      </c>
      <c r="G386" s="9">
        <v>3</v>
      </c>
      <c r="H386" s="6" t="s">
        <v>742</v>
      </c>
      <c r="I386" s="9" t="s">
        <v>388</v>
      </c>
      <c r="J386" s="9" t="s">
        <v>145</v>
      </c>
    </row>
    <row r="387" spans="1:10">
      <c r="A387" s="5" t="s">
        <v>891</v>
      </c>
      <c r="B387" s="6" t="s">
        <v>2009</v>
      </c>
      <c r="C387" s="7">
        <v>46169</v>
      </c>
      <c r="D387" s="9" t="s">
        <v>270</v>
      </c>
      <c r="E387" s="8" t="s">
        <v>271</v>
      </c>
      <c r="F387" s="9" t="s">
        <v>242</v>
      </c>
      <c r="G387" s="9">
        <v>1</v>
      </c>
      <c r="H387" s="6" t="s">
        <v>742</v>
      </c>
      <c r="I387" s="9" t="s">
        <v>388</v>
      </c>
      <c r="J387" s="9" t="s">
        <v>145</v>
      </c>
    </row>
    <row r="388" spans="1:10">
      <c r="A388" s="5" t="s">
        <v>893</v>
      </c>
      <c r="B388" s="6" t="s">
        <v>2009</v>
      </c>
      <c r="C388" s="7">
        <v>46169</v>
      </c>
      <c r="D388" s="9" t="s">
        <v>270</v>
      </c>
      <c r="E388" s="8" t="s">
        <v>68</v>
      </c>
      <c r="F388" s="9" t="s">
        <v>242</v>
      </c>
      <c r="G388" s="9">
        <v>3</v>
      </c>
      <c r="H388" s="6" t="s">
        <v>742</v>
      </c>
      <c r="I388" s="9" t="s">
        <v>388</v>
      </c>
      <c r="J388" s="9" t="s">
        <v>145</v>
      </c>
    </row>
    <row r="389" spans="1:10">
      <c r="A389" s="5" t="s">
        <v>895</v>
      </c>
      <c r="B389" s="6" t="s">
        <v>2010</v>
      </c>
      <c r="C389" s="7">
        <v>46169</v>
      </c>
      <c r="D389" s="9" t="s">
        <v>261</v>
      </c>
      <c r="E389" s="4" t="s">
        <v>62</v>
      </c>
      <c r="F389" s="9" t="s">
        <v>242</v>
      </c>
      <c r="G389" s="9">
        <v>3</v>
      </c>
      <c r="H389" s="6" t="s">
        <v>1437</v>
      </c>
      <c r="I389" s="9" t="s">
        <v>628</v>
      </c>
      <c r="J389" s="9" t="s">
        <v>145</v>
      </c>
    </row>
    <row r="390" spans="1:10">
      <c r="A390" s="5" t="s">
        <v>897</v>
      </c>
      <c r="B390" s="6" t="s">
        <v>2011</v>
      </c>
      <c r="C390" s="7">
        <v>46169</v>
      </c>
      <c r="D390" s="9" t="s">
        <v>500</v>
      </c>
      <c r="E390" s="8" t="s">
        <v>51</v>
      </c>
      <c r="F390" s="9" t="s">
        <v>242</v>
      </c>
      <c r="G390" s="9">
        <v>1</v>
      </c>
      <c r="H390" s="6" t="s">
        <v>2012</v>
      </c>
      <c r="I390" s="9" t="s">
        <v>484</v>
      </c>
      <c r="J390" s="9" t="s">
        <v>145</v>
      </c>
    </row>
    <row r="391" spans="1:10">
      <c r="A391" s="5" t="s">
        <v>899</v>
      </c>
      <c r="B391" s="6" t="s">
        <v>2011</v>
      </c>
      <c r="C391" s="7">
        <v>46169</v>
      </c>
      <c r="D391" s="9" t="s">
        <v>261</v>
      </c>
      <c r="E391" s="8" t="s">
        <v>62</v>
      </c>
      <c r="F391" s="9" t="s">
        <v>242</v>
      </c>
      <c r="G391" s="9">
        <v>2</v>
      </c>
      <c r="H391" s="6" t="s">
        <v>2012</v>
      </c>
      <c r="I391" s="9" t="s">
        <v>484</v>
      </c>
      <c r="J391" s="9" t="s">
        <v>145</v>
      </c>
    </row>
    <row r="392" spans="1:10">
      <c r="A392" s="5" t="s">
        <v>900</v>
      </c>
      <c r="B392" s="6" t="s">
        <v>2011</v>
      </c>
      <c r="C392" s="7">
        <v>46169</v>
      </c>
      <c r="D392" s="9" t="s">
        <v>270</v>
      </c>
      <c r="E392" s="8" t="s">
        <v>271</v>
      </c>
      <c r="F392" s="9" t="s">
        <v>242</v>
      </c>
      <c r="G392" s="9">
        <v>2</v>
      </c>
      <c r="H392" s="6" t="s">
        <v>2012</v>
      </c>
      <c r="I392" s="9" t="s">
        <v>484</v>
      </c>
      <c r="J392" s="9" t="s">
        <v>145</v>
      </c>
    </row>
    <row r="393" spans="1:10">
      <c r="A393" s="5" t="s">
        <v>901</v>
      </c>
      <c r="B393" s="6" t="s">
        <v>2013</v>
      </c>
      <c r="C393" s="7">
        <v>46170</v>
      </c>
      <c r="D393" s="9" t="s">
        <v>500</v>
      </c>
      <c r="E393" s="8" t="s">
        <v>54</v>
      </c>
      <c r="F393" s="9" t="s">
        <v>242</v>
      </c>
      <c r="G393" s="9">
        <v>1</v>
      </c>
      <c r="H393" s="6" t="s">
        <v>1706</v>
      </c>
      <c r="I393" s="9" t="s">
        <v>628</v>
      </c>
      <c r="J393" s="9" t="s">
        <v>145</v>
      </c>
    </row>
    <row r="394" spans="1:10">
      <c r="A394" s="5" t="s">
        <v>903</v>
      </c>
      <c r="B394" s="6" t="s">
        <v>2013</v>
      </c>
      <c r="C394" s="7">
        <v>46170</v>
      </c>
      <c r="D394" s="9" t="s">
        <v>261</v>
      </c>
      <c r="E394" s="8" t="s">
        <v>62</v>
      </c>
      <c r="F394" s="9" t="s">
        <v>242</v>
      </c>
      <c r="G394" s="9">
        <v>2</v>
      </c>
      <c r="H394" s="6" t="s">
        <v>1706</v>
      </c>
      <c r="I394" s="9" t="s">
        <v>628</v>
      </c>
      <c r="J394" s="9" t="s">
        <v>145</v>
      </c>
    </row>
    <row r="395" spans="1:10">
      <c r="A395" s="5" t="s">
        <v>907</v>
      </c>
      <c r="B395" s="6" t="s">
        <v>1276</v>
      </c>
      <c r="C395" s="7">
        <v>46170</v>
      </c>
      <c r="D395" s="9" t="s">
        <v>261</v>
      </c>
      <c r="E395" s="8" t="s">
        <v>62</v>
      </c>
      <c r="F395" s="9" t="s">
        <v>242</v>
      </c>
      <c r="G395" s="9">
        <v>6</v>
      </c>
      <c r="H395" s="6" t="s">
        <v>722</v>
      </c>
      <c r="I395" s="9" t="s">
        <v>514</v>
      </c>
      <c r="J395" s="9" t="s">
        <v>145</v>
      </c>
    </row>
    <row r="396" spans="1:10">
      <c r="A396" s="5" t="s">
        <v>1530</v>
      </c>
      <c r="B396" s="6" t="s">
        <v>2014</v>
      </c>
      <c r="C396" s="7">
        <v>46174</v>
      </c>
      <c r="D396" s="9" t="s">
        <v>261</v>
      </c>
      <c r="E396" s="8" t="s">
        <v>62</v>
      </c>
      <c r="F396" s="9" t="s">
        <v>242</v>
      </c>
      <c r="G396" s="9">
        <v>12</v>
      </c>
      <c r="H396" s="6" t="s">
        <v>722</v>
      </c>
      <c r="I396" s="9" t="s">
        <v>258</v>
      </c>
      <c r="J396" s="9" t="s">
        <v>145</v>
      </c>
    </row>
    <row r="397" spans="1:10">
      <c r="A397" s="5" t="s">
        <v>1532</v>
      </c>
      <c r="B397" s="6" t="s">
        <v>2014</v>
      </c>
      <c r="C397" s="7">
        <v>46174</v>
      </c>
      <c r="D397" s="9" t="s">
        <v>261</v>
      </c>
      <c r="E397" s="8" t="s">
        <v>281</v>
      </c>
      <c r="F397" s="9" t="s">
        <v>242</v>
      </c>
      <c r="G397" s="9">
        <v>5</v>
      </c>
      <c r="H397" s="6" t="s">
        <v>722</v>
      </c>
      <c r="I397" s="9" t="s">
        <v>258</v>
      </c>
      <c r="J397" s="9" t="s">
        <v>145</v>
      </c>
    </row>
    <row r="398" spans="1:10">
      <c r="A398" s="5" t="s">
        <v>1533</v>
      </c>
      <c r="B398" s="6" t="s">
        <v>2015</v>
      </c>
      <c r="C398" s="7">
        <v>46174</v>
      </c>
      <c r="D398" s="9" t="s">
        <v>500</v>
      </c>
      <c r="E398" s="8" t="s">
        <v>48</v>
      </c>
      <c r="F398" s="9" t="s">
        <v>242</v>
      </c>
      <c r="G398" s="9">
        <v>1</v>
      </c>
      <c r="H398" s="6" t="s">
        <v>1236</v>
      </c>
      <c r="I398" s="9" t="s">
        <v>258</v>
      </c>
      <c r="J398" s="9" t="s">
        <v>145</v>
      </c>
    </row>
    <row r="399" spans="1:10">
      <c r="A399" s="5" t="s">
        <v>1534</v>
      </c>
      <c r="B399" s="6" t="s">
        <v>2015</v>
      </c>
      <c r="C399" s="7">
        <v>46174</v>
      </c>
      <c r="D399" s="9" t="s">
        <v>500</v>
      </c>
      <c r="E399" s="8" t="s">
        <v>50</v>
      </c>
      <c r="F399" s="9" t="s">
        <v>242</v>
      </c>
      <c r="G399" s="9">
        <v>1</v>
      </c>
      <c r="H399" s="6" t="s">
        <v>1236</v>
      </c>
      <c r="I399" s="9" t="s">
        <v>258</v>
      </c>
      <c r="J399" s="9" t="s">
        <v>145</v>
      </c>
    </row>
    <row r="400" spans="1:10">
      <c r="A400" s="5" t="s">
        <v>1537</v>
      </c>
      <c r="B400" s="6" t="s">
        <v>2015</v>
      </c>
      <c r="C400" s="7">
        <v>46174</v>
      </c>
      <c r="D400" s="9" t="s">
        <v>270</v>
      </c>
      <c r="E400" s="8" t="s">
        <v>271</v>
      </c>
      <c r="F400" s="9" t="s">
        <v>242</v>
      </c>
      <c r="G400" s="9">
        <v>4</v>
      </c>
      <c r="H400" s="6" t="s">
        <v>1236</v>
      </c>
      <c r="I400" s="9" t="s">
        <v>258</v>
      </c>
      <c r="J400" s="9" t="s">
        <v>145</v>
      </c>
    </row>
    <row r="401" spans="1:10">
      <c r="A401" s="5" t="s">
        <v>1720</v>
      </c>
      <c r="B401" s="6" t="s">
        <v>2015</v>
      </c>
      <c r="C401" s="7">
        <v>46174</v>
      </c>
      <c r="D401" s="9" t="s">
        <v>261</v>
      </c>
      <c r="E401" s="8" t="s">
        <v>62</v>
      </c>
      <c r="F401" s="9" t="s">
        <v>242</v>
      </c>
      <c r="G401" s="9">
        <v>4</v>
      </c>
      <c r="H401" s="6" t="s">
        <v>1236</v>
      </c>
      <c r="I401" s="9" t="s">
        <v>258</v>
      </c>
      <c r="J401" s="9" t="s">
        <v>145</v>
      </c>
    </row>
    <row r="402" spans="1:10">
      <c r="A402" s="5" t="s">
        <v>1721</v>
      </c>
      <c r="B402" s="6" t="s">
        <v>2015</v>
      </c>
      <c r="C402" s="7">
        <v>46174</v>
      </c>
      <c r="D402" s="9" t="s">
        <v>503</v>
      </c>
      <c r="E402" s="8" t="s">
        <v>162</v>
      </c>
      <c r="F402" s="9" t="s">
        <v>242</v>
      </c>
      <c r="G402" s="9">
        <v>1</v>
      </c>
      <c r="H402" s="6" t="s">
        <v>1236</v>
      </c>
      <c r="I402" s="9" t="s">
        <v>258</v>
      </c>
      <c r="J402" s="9" t="s">
        <v>145</v>
      </c>
    </row>
    <row r="403" spans="1:10">
      <c r="A403" s="5" t="s">
        <v>1722</v>
      </c>
      <c r="B403" s="6" t="s">
        <v>2016</v>
      </c>
      <c r="C403" s="7">
        <v>46171</v>
      </c>
      <c r="D403" s="9" t="s">
        <v>261</v>
      </c>
      <c r="E403" s="8" t="s">
        <v>65</v>
      </c>
      <c r="F403" s="9" t="s">
        <v>242</v>
      </c>
      <c r="G403" s="9">
        <v>2</v>
      </c>
      <c r="H403" s="6" t="s">
        <v>2017</v>
      </c>
      <c r="I403" s="9" t="s">
        <v>253</v>
      </c>
      <c r="J403" s="9" t="s">
        <v>145</v>
      </c>
    </row>
    <row r="404" spans="1:10">
      <c r="A404" s="5" t="s">
        <v>1724</v>
      </c>
      <c r="B404" s="6" t="s">
        <v>2016</v>
      </c>
      <c r="C404" s="7">
        <v>46171</v>
      </c>
      <c r="D404" s="9" t="s">
        <v>270</v>
      </c>
      <c r="E404" s="8" t="s">
        <v>271</v>
      </c>
      <c r="F404" s="9" t="s">
        <v>242</v>
      </c>
      <c r="G404" s="9">
        <v>6</v>
      </c>
      <c r="H404" s="6" t="s">
        <v>2017</v>
      </c>
      <c r="I404" s="9" t="s">
        <v>253</v>
      </c>
      <c r="J404" s="9" t="s">
        <v>145</v>
      </c>
    </row>
    <row r="405" spans="1:10">
      <c r="A405" s="5" t="s">
        <v>1726</v>
      </c>
      <c r="B405" s="6" t="s">
        <v>2018</v>
      </c>
      <c r="C405" s="7">
        <v>46171</v>
      </c>
      <c r="D405" s="9" t="s">
        <v>261</v>
      </c>
      <c r="E405" s="4" t="s">
        <v>62</v>
      </c>
      <c r="F405" s="9" t="s">
        <v>242</v>
      </c>
      <c r="G405" s="9">
        <v>9</v>
      </c>
      <c r="H405" s="6" t="s">
        <v>722</v>
      </c>
      <c r="I405" s="9" t="s">
        <v>253</v>
      </c>
      <c r="J405" s="9" t="s">
        <v>145</v>
      </c>
    </row>
    <row r="406" spans="1:10">
      <c r="A406" s="5" t="s">
        <v>1727</v>
      </c>
      <c r="B406" s="6" t="s">
        <v>2019</v>
      </c>
      <c r="C406" s="7">
        <v>46174</v>
      </c>
      <c r="D406" s="9" t="s">
        <v>500</v>
      </c>
      <c r="E406" s="8" t="s">
        <v>46</v>
      </c>
      <c r="F406" s="9" t="s">
        <v>242</v>
      </c>
      <c r="G406" s="9">
        <v>1</v>
      </c>
      <c r="H406" s="6" t="s">
        <v>742</v>
      </c>
      <c r="I406" s="9" t="s">
        <v>388</v>
      </c>
      <c r="J406" s="9" t="s">
        <v>145</v>
      </c>
    </row>
    <row r="407" spans="1:10">
      <c r="A407" s="5" t="s">
        <v>1728</v>
      </c>
      <c r="B407" s="6" t="s">
        <v>2019</v>
      </c>
      <c r="C407" s="7">
        <v>46174</v>
      </c>
      <c r="D407" s="9" t="s">
        <v>261</v>
      </c>
      <c r="E407" s="8" t="s">
        <v>63</v>
      </c>
      <c r="F407" s="9" t="s">
        <v>242</v>
      </c>
      <c r="G407" s="9">
        <v>4</v>
      </c>
      <c r="H407" s="6" t="s">
        <v>742</v>
      </c>
      <c r="I407" s="9" t="s">
        <v>388</v>
      </c>
      <c r="J407" s="9" t="s">
        <v>145</v>
      </c>
    </row>
    <row r="408" spans="1:10">
      <c r="A408" s="5" t="s">
        <v>1730</v>
      </c>
      <c r="B408" s="6" t="s">
        <v>2019</v>
      </c>
      <c r="C408" s="7">
        <v>46174</v>
      </c>
      <c r="D408" s="9" t="s">
        <v>270</v>
      </c>
      <c r="E408" s="4" t="s">
        <v>271</v>
      </c>
      <c r="F408" s="9" t="s">
        <v>242</v>
      </c>
      <c r="G408" s="9">
        <v>4</v>
      </c>
      <c r="H408" s="6" t="s">
        <v>742</v>
      </c>
      <c r="I408" s="9" t="s">
        <v>388</v>
      </c>
      <c r="J408" s="9" t="s">
        <v>145</v>
      </c>
    </row>
    <row r="409" spans="1:10">
      <c r="A409" s="5" t="s">
        <v>1731</v>
      </c>
      <c r="B409" s="6" t="s">
        <v>2020</v>
      </c>
      <c r="C409" s="7">
        <v>46171</v>
      </c>
      <c r="D409" s="9" t="s">
        <v>696</v>
      </c>
      <c r="E409" s="8" t="s">
        <v>87</v>
      </c>
      <c r="F409" s="9" t="s">
        <v>242</v>
      </c>
      <c r="G409" s="9">
        <v>180</v>
      </c>
      <c r="H409" s="6" t="s">
        <v>2021</v>
      </c>
      <c r="I409" s="9" t="s">
        <v>484</v>
      </c>
      <c r="J409" s="9" t="s">
        <v>145</v>
      </c>
    </row>
    <row r="410" spans="1:10">
      <c r="A410" s="5" t="s">
        <v>1733</v>
      </c>
      <c r="B410" s="6" t="s">
        <v>2020</v>
      </c>
      <c r="C410" s="7">
        <v>46171</v>
      </c>
      <c r="D410" s="9" t="s">
        <v>261</v>
      </c>
      <c r="E410" s="8" t="s">
        <v>62</v>
      </c>
      <c r="F410" s="9" t="s">
        <v>242</v>
      </c>
      <c r="G410" s="9">
        <v>3</v>
      </c>
      <c r="H410" s="6" t="s">
        <v>2021</v>
      </c>
      <c r="I410" s="9" t="s">
        <v>484</v>
      </c>
      <c r="J410" s="9" t="s">
        <v>145</v>
      </c>
    </row>
    <row r="411" spans="1:10">
      <c r="A411" s="5" t="s">
        <v>1735</v>
      </c>
      <c r="B411" s="6" t="s">
        <v>2022</v>
      </c>
      <c r="C411" s="7">
        <v>46171</v>
      </c>
      <c r="D411" s="9" t="s">
        <v>261</v>
      </c>
      <c r="E411" s="4" t="s">
        <v>62</v>
      </c>
      <c r="F411" s="9" t="s">
        <v>242</v>
      </c>
      <c r="G411" s="9">
        <v>8</v>
      </c>
      <c r="H411" s="6" t="s">
        <v>722</v>
      </c>
      <c r="I411" s="9" t="s">
        <v>363</v>
      </c>
      <c r="J411" s="9" t="s">
        <v>145</v>
      </c>
    </row>
    <row r="412" spans="1:10">
      <c r="A412" s="5" t="s">
        <v>1736</v>
      </c>
      <c r="B412" s="6" t="s">
        <v>2023</v>
      </c>
      <c r="C412" s="7">
        <v>46174</v>
      </c>
      <c r="D412" s="9" t="s">
        <v>500</v>
      </c>
      <c r="E412" s="8" t="s">
        <v>53</v>
      </c>
      <c r="F412" s="9" t="s">
        <v>242</v>
      </c>
      <c r="G412" s="9">
        <v>1</v>
      </c>
      <c r="H412" s="6" t="s">
        <v>693</v>
      </c>
      <c r="I412" s="9" t="s">
        <v>609</v>
      </c>
      <c r="J412" s="9" t="s">
        <v>145</v>
      </c>
    </row>
    <row r="413" spans="1:10">
      <c r="A413" s="5" t="s">
        <v>1738</v>
      </c>
      <c r="B413" s="6" t="s">
        <v>2023</v>
      </c>
      <c r="C413" s="7">
        <v>46174</v>
      </c>
      <c r="D413" s="9" t="s">
        <v>261</v>
      </c>
      <c r="E413" s="8" t="s">
        <v>63</v>
      </c>
      <c r="F413" s="9" t="s">
        <v>242</v>
      </c>
      <c r="G413" s="9">
        <v>1</v>
      </c>
      <c r="H413" s="6" t="s">
        <v>693</v>
      </c>
      <c r="I413" s="9" t="s">
        <v>609</v>
      </c>
      <c r="J413" s="9" t="s">
        <v>145</v>
      </c>
    </row>
    <row r="414" spans="1:10">
      <c r="A414" s="5" t="s">
        <v>1740</v>
      </c>
      <c r="B414" s="6" t="s">
        <v>2023</v>
      </c>
      <c r="C414" s="7">
        <v>46174</v>
      </c>
      <c r="D414" s="9" t="s">
        <v>270</v>
      </c>
      <c r="E414" s="8" t="s">
        <v>271</v>
      </c>
      <c r="F414" s="9" t="s">
        <v>242</v>
      </c>
      <c r="G414" s="9">
        <v>1</v>
      </c>
      <c r="H414" s="6" t="s">
        <v>693</v>
      </c>
      <c r="I414" s="9" t="s">
        <v>609</v>
      </c>
      <c r="J414" s="9" t="s">
        <v>145</v>
      </c>
    </row>
    <row r="415" spans="1:10">
      <c r="A415" s="5" t="s">
        <v>1742</v>
      </c>
      <c r="B415" s="6" t="s">
        <v>2024</v>
      </c>
      <c r="C415" s="7">
        <v>46174</v>
      </c>
      <c r="D415" s="9" t="s">
        <v>261</v>
      </c>
      <c r="E415" s="8" t="s">
        <v>281</v>
      </c>
      <c r="F415" s="9" t="s">
        <v>242</v>
      </c>
      <c r="G415" s="9">
        <v>4</v>
      </c>
      <c r="H415" s="6" t="s">
        <v>2025</v>
      </c>
      <c r="I415" s="9" t="s">
        <v>258</v>
      </c>
      <c r="J415" s="9" t="s">
        <v>145</v>
      </c>
    </row>
    <row r="416" spans="1:10">
      <c r="A416" s="5" t="s">
        <v>1744</v>
      </c>
      <c r="B416" s="6" t="s">
        <v>2026</v>
      </c>
      <c r="C416" s="7">
        <v>46174</v>
      </c>
      <c r="D416" s="9" t="s">
        <v>500</v>
      </c>
      <c r="E416" s="8" t="s">
        <v>54</v>
      </c>
      <c r="F416" s="9" t="s">
        <v>242</v>
      </c>
      <c r="G416" s="9">
        <v>1</v>
      </c>
      <c r="H416" s="6" t="s">
        <v>759</v>
      </c>
      <c r="I416" s="9" t="s">
        <v>258</v>
      </c>
      <c r="J416" s="9" t="s">
        <v>145</v>
      </c>
    </row>
    <row r="417" spans="1:10">
      <c r="A417" s="5" t="s">
        <v>1745</v>
      </c>
      <c r="B417" s="6" t="s">
        <v>2026</v>
      </c>
      <c r="C417" s="7">
        <v>46174</v>
      </c>
      <c r="D417" s="9" t="s">
        <v>261</v>
      </c>
      <c r="E417" s="4" t="s">
        <v>62</v>
      </c>
      <c r="F417" s="9" t="s">
        <v>242</v>
      </c>
      <c r="G417" s="9">
        <v>1</v>
      </c>
      <c r="H417" s="6" t="s">
        <v>759</v>
      </c>
      <c r="I417" s="9" t="s">
        <v>258</v>
      </c>
      <c r="J417" s="9" t="s">
        <v>145</v>
      </c>
    </row>
    <row r="418" spans="1:10">
      <c r="A418" s="5" t="s">
        <v>1746</v>
      </c>
      <c r="B418" s="6" t="s">
        <v>2027</v>
      </c>
      <c r="C418" s="7">
        <v>46174</v>
      </c>
      <c r="D418" s="9" t="s">
        <v>500</v>
      </c>
      <c r="E418" s="8" t="s">
        <v>48</v>
      </c>
      <c r="F418" s="9" t="s">
        <v>242</v>
      </c>
      <c r="G418" s="9">
        <v>1</v>
      </c>
      <c r="H418" s="6" t="s">
        <v>2028</v>
      </c>
      <c r="I418" s="9" t="s">
        <v>258</v>
      </c>
      <c r="J418" s="9" t="s">
        <v>145</v>
      </c>
    </row>
    <row r="419" spans="1:10">
      <c r="A419" s="5" t="s">
        <v>1747</v>
      </c>
      <c r="B419" s="6" t="s">
        <v>2027</v>
      </c>
      <c r="C419" s="7">
        <v>46174</v>
      </c>
      <c r="D419" s="9" t="s">
        <v>261</v>
      </c>
      <c r="E419" s="8" t="s">
        <v>63</v>
      </c>
      <c r="F419" s="9" t="s">
        <v>242</v>
      </c>
      <c r="G419" s="9">
        <v>1</v>
      </c>
      <c r="H419" s="6" t="s">
        <v>2028</v>
      </c>
      <c r="I419" s="9" t="s">
        <v>258</v>
      </c>
      <c r="J419" s="9" t="s">
        <v>145</v>
      </c>
    </row>
    <row r="420" spans="1:10">
      <c r="A420" s="5" t="s">
        <v>1748</v>
      </c>
      <c r="B420" s="6" t="s">
        <v>2027</v>
      </c>
      <c r="C420" s="7">
        <v>46174</v>
      </c>
      <c r="D420" s="9" t="s">
        <v>261</v>
      </c>
      <c r="E420" s="8" t="s">
        <v>63</v>
      </c>
      <c r="F420" s="9" t="s">
        <v>242</v>
      </c>
      <c r="G420" s="9">
        <v>2</v>
      </c>
      <c r="H420" s="6" t="s">
        <v>2028</v>
      </c>
      <c r="I420" s="9" t="s">
        <v>258</v>
      </c>
      <c r="J420" s="9" t="s">
        <v>145</v>
      </c>
    </row>
    <row r="421" spans="1:10">
      <c r="A421" s="5" t="s">
        <v>1750</v>
      </c>
      <c r="B421" s="6" t="s">
        <v>2027</v>
      </c>
      <c r="C421" s="7">
        <v>46174</v>
      </c>
      <c r="D421" s="9" t="s">
        <v>270</v>
      </c>
      <c r="E421" s="8" t="s">
        <v>271</v>
      </c>
      <c r="F421" s="9" t="s">
        <v>242</v>
      </c>
      <c r="G421" s="9">
        <v>1</v>
      </c>
      <c r="H421" s="6" t="s">
        <v>2028</v>
      </c>
      <c r="I421" s="9" t="s">
        <v>258</v>
      </c>
      <c r="J421" s="9" t="s">
        <v>145</v>
      </c>
    </row>
    <row r="422" spans="1:10">
      <c r="A422" s="5" t="s">
        <v>1751</v>
      </c>
      <c r="B422" s="6" t="s">
        <v>2027</v>
      </c>
      <c r="C422" s="7">
        <v>46174</v>
      </c>
      <c r="D422" s="9" t="s">
        <v>270</v>
      </c>
      <c r="E422" s="8" t="s">
        <v>68</v>
      </c>
      <c r="F422" s="9" t="s">
        <v>242</v>
      </c>
      <c r="G422" s="9">
        <v>2</v>
      </c>
      <c r="H422" s="6" t="s">
        <v>2028</v>
      </c>
      <c r="I422" s="9" t="s">
        <v>258</v>
      </c>
      <c r="J422" s="9" t="s">
        <v>145</v>
      </c>
    </row>
    <row r="423" spans="1:10">
      <c r="A423" s="5" t="s">
        <v>1752</v>
      </c>
      <c r="B423" s="6" t="s">
        <v>2029</v>
      </c>
      <c r="C423" s="7">
        <v>46174</v>
      </c>
      <c r="D423" s="9" t="s">
        <v>261</v>
      </c>
      <c r="E423" s="8" t="s">
        <v>62</v>
      </c>
      <c r="F423" s="9" t="s">
        <v>242</v>
      </c>
      <c r="G423" s="9">
        <v>5</v>
      </c>
      <c r="H423" s="6" t="s">
        <v>722</v>
      </c>
      <c r="I423" s="9" t="s">
        <v>258</v>
      </c>
      <c r="J423" s="9" t="s">
        <v>145</v>
      </c>
    </row>
    <row r="424" spans="1:10">
      <c r="A424" s="5" t="s">
        <v>1753</v>
      </c>
      <c r="B424" s="6" t="s">
        <v>2030</v>
      </c>
      <c r="C424" s="7">
        <v>46175</v>
      </c>
      <c r="D424" s="9" t="s">
        <v>261</v>
      </c>
      <c r="E424" s="8" t="s">
        <v>62</v>
      </c>
      <c r="F424" s="9" t="s">
        <v>242</v>
      </c>
      <c r="G424" s="9">
        <v>4</v>
      </c>
      <c r="H424" s="6" t="s">
        <v>722</v>
      </c>
      <c r="I424" s="9" t="s">
        <v>311</v>
      </c>
      <c r="J424" s="9" t="s">
        <v>145</v>
      </c>
    </row>
    <row r="425" spans="1:10">
      <c r="A425" s="5" t="s">
        <v>1755</v>
      </c>
      <c r="B425" s="6" t="s">
        <v>2030</v>
      </c>
      <c r="C425" s="7">
        <v>46175</v>
      </c>
      <c r="D425" s="9" t="s">
        <v>261</v>
      </c>
      <c r="E425" s="8" t="s">
        <v>281</v>
      </c>
      <c r="F425" s="9" t="s">
        <v>242</v>
      </c>
      <c r="G425" s="9">
        <v>8</v>
      </c>
      <c r="H425" s="6" t="s">
        <v>722</v>
      </c>
      <c r="I425" s="9" t="s">
        <v>311</v>
      </c>
      <c r="J425" s="9" t="s">
        <v>145</v>
      </c>
    </row>
    <row r="426" spans="1:10">
      <c r="A426" s="5" t="s">
        <v>1756</v>
      </c>
      <c r="B426" s="6" t="s">
        <v>1870</v>
      </c>
      <c r="C426" s="7">
        <v>46175</v>
      </c>
      <c r="D426" s="9" t="s">
        <v>500</v>
      </c>
      <c r="E426" s="8" t="s">
        <v>48</v>
      </c>
      <c r="F426" s="9" t="s">
        <v>242</v>
      </c>
      <c r="G426" s="9">
        <v>1</v>
      </c>
      <c r="H426" s="6" t="s">
        <v>2028</v>
      </c>
      <c r="I426" s="9" t="s">
        <v>609</v>
      </c>
      <c r="J426" s="9" t="s">
        <v>145</v>
      </c>
    </row>
    <row r="427" spans="1:10">
      <c r="A427" s="5" t="s">
        <v>1757</v>
      </c>
      <c r="B427" s="6" t="s">
        <v>1870</v>
      </c>
      <c r="C427" s="7">
        <v>46175</v>
      </c>
      <c r="D427" s="9" t="s">
        <v>261</v>
      </c>
      <c r="E427" s="8" t="s">
        <v>63</v>
      </c>
      <c r="F427" s="9" t="s">
        <v>242</v>
      </c>
      <c r="G427" s="9">
        <v>1</v>
      </c>
      <c r="H427" s="6" t="s">
        <v>2028</v>
      </c>
      <c r="I427" s="9" t="s">
        <v>609</v>
      </c>
      <c r="J427" s="9" t="s">
        <v>145</v>
      </c>
    </row>
    <row r="428" spans="1:10">
      <c r="A428" s="5" t="s">
        <v>1758</v>
      </c>
      <c r="B428" s="6" t="s">
        <v>1870</v>
      </c>
      <c r="C428" s="7">
        <v>46175</v>
      </c>
      <c r="D428" s="9" t="s">
        <v>261</v>
      </c>
      <c r="E428" s="8" t="s">
        <v>63</v>
      </c>
      <c r="F428" s="9" t="s">
        <v>242</v>
      </c>
      <c r="G428" s="9">
        <v>2</v>
      </c>
      <c r="H428" s="6" t="s">
        <v>2028</v>
      </c>
      <c r="I428" s="9" t="s">
        <v>609</v>
      </c>
      <c r="J428" s="9" t="s">
        <v>145</v>
      </c>
    </row>
    <row r="429" spans="1:10">
      <c r="A429" s="5" t="s">
        <v>1760</v>
      </c>
      <c r="B429" s="6" t="s">
        <v>1870</v>
      </c>
      <c r="C429" s="7">
        <v>46175</v>
      </c>
      <c r="D429" s="9" t="s">
        <v>270</v>
      </c>
      <c r="E429" s="8" t="s">
        <v>271</v>
      </c>
      <c r="F429" s="9" t="s">
        <v>242</v>
      </c>
      <c r="G429" s="9">
        <v>1</v>
      </c>
      <c r="H429" s="6" t="s">
        <v>2028</v>
      </c>
      <c r="I429" s="9" t="s">
        <v>609</v>
      </c>
      <c r="J429" s="9" t="s">
        <v>145</v>
      </c>
    </row>
    <row r="430" spans="1:10">
      <c r="A430" s="5" t="s">
        <v>1762</v>
      </c>
      <c r="B430" s="6" t="s">
        <v>1870</v>
      </c>
      <c r="C430" s="7">
        <v>46175</v>
      </c>
      <c r="D430" s="9" t="s">
        <v>270</v>
      </c>
      <c r="E430" s="8" t="s">
        <v>68</v>
      </c>
      <c r="F430" s="9" t="s">
        <v>242</v>
      </c>
      <c r="G430" s="9">
        <v>2</v>
      </c>
      <c r="H430" s="6" t="s">
        <v>2028</v>
      </c>
      <c r="I430" s="9" t="s">
        <v>609</v>
      </c>
      <c r="J430" s="9" t="s">
        <v>145</v>
      </c>
    </row>
    <row r="431" spans="1:10">
      <c r="A431" s="5" t="s">
        <v>1763</v>
      </c>
      <c r="B431" s="6" t="s">
        <v>2031</v>
      </c>
      <c r="C431" s="7">
        <v>46175</v>
      </c>
      <c r="D431" s="9" t="s">
        <v>261</v>
      </c>
      <c r="E431" s="4" t="s">
        <v>62</v>
      </c>
      <c r="F431" s="9" t="s">
        <v>242</v>
      </c>
      <c r="G431" s="9">
        <v>3</v>
      </c>
      <c r="H431" s="6" t="s">
        <v>722</v>
      </c>
      <c r="I431" s="9" t="s">
        <v>609</v>
      </c>
      <c r="J431" s="9" t="s">
        <v>145</v>
      </c>
    </row>
    <row r="432" spans="1:10">
      <c r="A432" s="5" t="s">
        <v>1764</v>
      </c>
      <c r="B432" s="6" t="s">
        <v>2032</v>
      </c>
      <c r="C432" s="7">
        <v>46175</v>
      </c>
      <c r="D432" s="9" t="s">
        <v>261</v>
      </c>
      <c r="E432" s="8" t="s">
        <v>62</v>
      </c>
      <c r="F432" s="9" t="s">
        <v>242</v>
      </c>
      <c r="G432" s="9">
        <v>4</v>
      </c>
      <c r="H432" s="6" t="s">
        <v>2033</v>
      </c>
      <c r="I432" s="9" t="s">
        <v>616</v>
      </c>
      <c r="J432" s="9" t="s">
        <v>145</v>
      </c>
    </row>
    <row r="433" spans="1:10">
      <c r="A433" s="5" t="s">
        <v>1765</v>
      </c>
      <c r="B433" s="6" t="s">
        <v>2034</v>
      </c>
      <c r="C433" s="7">
        <v>46175</v>
      </c>
      <c r="D433" s="9" t="s">
        <v>261</v>
      </c>
      <c r="E433" s="8" t="s">
        <v>62</v>
      </c>
      <c r="F433" s="9" t="s">
        <v>242</v>
      </c>
      <c r="G433" s="9">
        <v>2</v>
      </c>
      <c r="H433" s="6" t="s">
        <v>846</v>
      </c>
      <c r="I433" s="9" t="s">
        <v>628</v>
      </c>
      <c r="J433" s="9" t="s">
        <v>145</v>
      </c>
    </row>
    <row r="434" spans="1:10">
      <c r="A434" s="5" t="s">
        <v>1768</v>
      </c>
      <c r="B434" s="6" t="s">
        <v>2035</v>
      </c>
      <c r="C434" s="7">
        <v>46175</v>
      </c>
      <c r="D434" s="9" t="s">
        <v>696</v>
      </c>
      <c r="E434" s="8" t="s">
        <v>87</v>
      </c>
      <c r="F434" s="9" t="s">
        <v>242</v>
      </c>
      <c r="G434" s="9">
        <v>100</v>
      </c>
      <c r="H434" s="6" t="s">
        <v>2036</v>
      </c>
      <c r="I434" s="9" t="s">
        <v>1280</v>
      </c>
      <c r="J434" s="9" t="s">
        <v>145</v>
      </c>
    </row>
    <row r="435" spans="1:10">
      <c r="A435" s="5" t="s">
        <v>1769</v>
      </c>
      <c r="B435" s="6" t="s">
        <v>2035</v>
      </c>
      <c r="C435" s="7">
        <v>46175</v>
      </c>
      <c r="D435" s="9" t="s">
        <v>261</v>
      </c>
      <c r="E435" s="8" t="s">
        <v>62</v>
      </c>
      <c r="F435" s="9" t="s">
        <v>242</v>
      </c>
      <c r="G435" s="9">
        <v>2</v>
      </c>
      <c r="H435" s="6" t="s">
        <v>2036</v>
      </c>
      <c r="I435" s="9" t="s">
        <v>1280</v>
      </c>
      <c r="J435" s="9" t="s">
        <v>145</v>
      </c>
    </row>
    <row r="436" spans="1:10">
      <c r="A436" s="5" t="s">
        <v>1770</v>
      </c>
      <c r="B436" s="6" t="s">
        <v>2037</v>
      </c>
      <c r="C436" s="7">
        <v>46175</v>
      </c>
      <c r="D436" s="9" t="s">
        <v>500</v>
      </c>
      <c r="E436" s="8" t="s">
        <v>51</v>
      </c>
      <c r="F436" s="9" t="s">
        <v>242</v>
      </c>
      <c r="G436" s="9">
        <v>1</v>
      </c>
      <c r="H436" s="6" t="s">
        <v>2038</v>
      </c>
      <c r="I436" s="9" t="s">
        <v>976</v>
      </c>
      <c r="J436" s="9" t="s">
        <v>145</v>
      </c>
    </row>
    <row r="437" spans="1:10">
      <c r="A437" s="5" t="s">
        <v>1773</v>
      </c>
      <c r="B437" s="6" t="s">
        <v>2037</v>
      </c>
      <c r="C437" s="7">
        <v>46175</v>
      </c>
      <c r="D437" s="9" t="s">
        <v>500</v>
      </c>
      <c r="E437" s="8" t="s">
        <v>52</v>
      </c>
      <c r="F437" s="9" t="s">
        <v>242</v>
      </c>
      <c r="G437" s="9">
        <v>1</v>
      </c>
      <c r="H437" s="6" t="s">
        <v>2038</v>
      </c>
      <c r="I437" s="9" t="s">
        <v>976</v>
      </c>
      <c r="J437" s="9" t="s">
        <v>145</v>
      </c>
    </row>
    <row r="438" spans="1:10">
      <c r="A438" s="5" t="s">
        <v>1775</v>
      </c>
      <c r="B438" s="6" t="s">
        <v>2037</v>
      </c>
      <c r="C438" s="7">
        <v>46175</v>
      </c>
      <c r="D438" s="9" t="s">
        <v>270</v>
      </c>
      <c r="E438" s="4" t="s">
        <v>271</v>
      </c>
      <c r="F438" s="9" t="s">
        <v>242</v>
      </c>
      <c r="G438" s="9">
        <v>4</v>
      </c>
      <c r="H438" s="6" t="s">
        <v>2038</v>
      </c>
      <c r="I438" s="9" t="s">
        <v>976</v>
      </c>
      <c r="J438" s="9" t="s">
        <v>145</v>
      </c>
    </row>
    <row r="439" spans="1:10">
      <c r="A439" s="5" t="s">
        <v>1776</v>
      </c>
      <c r="B439" s="6" t="s">
        <v>2037</v>
      </c>
      <c r="C439" s="7">
        <v>46175</v>
      </c>
      <c r="D439" s="9" t="s">
        <v>261</v>
      </c>
      <c r="E439" s="4" t="s">
        <v>62</v>
      </c>
      <c r="F439" s="9" t="s">
        <v>242</v>
      </c>
      <c r="G439" s="9">
        <v>18</v>
      </c>
      <c r="H439" s="6" t="s">
        <v>2038</v>
      </c>
      <c r="I439" s="9" t="s">
        <v>976</v>
      </c>
      <c r="J439" s="9" t="s">
        <v>145</v>
      </c>
    </row>
    <row r="440" spans="1:10">
      <c r="A440" s="5" t="s">
        <v>1777</v>
      </c>
      <c r="B440" s="6" t="s">
        <v>2039</v>
      </c>
      <c r="C440" s="7">
        <v>46177</v>
      </c>
      <c r="D440" s="9" t="s">
        <v>500</v>
      </c>
      <c r="E440" s="8" t="s">
        <v>53</v>
      </c>
      <c r="F440" s="9" t="s">
        <v>242</v>
      </c>
      <c r="G440" s="9">
        <v>1</v>
      </c>
      <c r="H440" s="6" t="s">
        <v>693</v>
      </c>
      <c r="I440" s="9" t="s">
        <v>1280</v>
      </c>
      <c r="J440" s="9" t="s">
        <v>145</v>
      </c>
    </row>
    <row r="441" spans="1:10">
      <c r="A441" s="5" t="s">
        <v>1779</v>
      </c>
      <c r="B441" s="6" t="s">
        <v>2039</v>
      </c>
      <c r="C441" s="7">
        <v>46177</v>
      </c>
      <c r="D441" s="9" t="s">
        <v>261</v>
      </c>
      <c r="E441" s="8" t="s">
        <v>62</v>
      </c>
      <c r="F441" s="9" t="s">
        <v>242</v>
      </c>
      <c r="G441" s="9">
        <v>1</v>
      </c>
      <c r="H441" s="6" t="s">
        <v>693</v>
      </c>
      <c r="I441" s="9" t="s">
        <v>1280</v>
      </c>
      <c r="J441" s="9" t="s">
        <v>145</v>
      </c>
    </row>
    <row r="442" spans="1:10">
      <c r="A442" s="5" t="s">
        <v>1780</v>
      </c>
      <c r="B442" s="6" t="s">
        <v>2039</v>
      </c>
      <c r="C442" s="7">
        <v>46177</v>
      </c>
      <c r="D442" s="9" t="s">
        <v>270</v>
      </c>
      <c r="E442" s="8" t="s">
        <v>271</v>
      </c>
      <c r="F442" s="9" t="s">
        <v>242</v>
      </c>
      <c r="G442" s="9">
        <v>1</v>
      </c>
      <c r="H442" s="6" t="s">
        <v>693</v>
      </c>
      <c r="I442" s="9" t="s">
        <v>1280</v>
      </c>
      <c r="J442" s="9" t="s">
        <v>145</v>
      </c>
    </row>
    <row r="443" spans="1:10">
      <c r="A443" s="5" t="s">
        <v>1781</v>
      </c>
      <c r="B443" s="6" t="s">
        <v>2040</v>
      </c>
      <c r="C443" s="7">
        <v>46177</v>
      </c>
      <c r="D443" s="9" t="s">
        <v>500</v>
      </c>
      <c r="E443" s="4" t="s">
        <v>3</v>
      </c>
      <c r="F443" s="9" t="s">
        <v>242</v>
      </c>
      <c r="G443" s="9">
        <v>1</v>
      </c>
      <c r="H443" s="6" t="s">
        <v>1306</v>
      </c>
      <c r="I443" s="9" t="s">
        <v>1280</v>
      </c>
      <c r="J443" s="9" t="s">
        <v>145</v>
      </c>
    </row>
    <row r="444" spans="1:10">
      <c r="A444" s="5" t="s">
        <v>1784</v>
      </c>
      <c r="B444" s="6" t="s">
        <v>2040</v>
      </c>
      <c r="C444" s="7">
        <v>46177</v>
      </c>
      <c r="D444" s="9" t="s">
        <v>261</v>
      </c>
      <c r="E444" s="8" t="s">
        <v>63</v>
      </c>
      <c r="F444" s="9" t="s">
        <v>242</v>
      </c>
      <c r="G444" s="9">
        <v>2</v>
      </c>
      <c r="H444" s="6" t="s">
        <v>1306</v>
      </c>
      <c r="I444" s="9" t="s">
        <v>1280</v>
      </c>
      <c r="J444" s="9" t="s">
        <v>145</v>
      </c>
    </row>
    <row r="445" spans="1:10">
      <c r="A445" s="5" t="s">
        <v>1785</v>
      </c>
      <c r="B445" s="6" t="s">
        <v>2040</v>
      </c>
      <c r="C445" s="7">
        <v>46177</v>
      </c>
      <c r="D445" s="9" t="s">
        <v>270</v>
      </c>
      <c r="E445" s="8" t="s">
        <v>271</v>
      </c>
      <c r="F445" s="9" t="s">
        <v>242</v>
      </c>
      <c r="G445" s="9">
        <v>2</v>
      </c>
      <c r="H445" s="6" t="s">
        <v>1306</v>
      </c>
      <c r="I445" s="9" t="s">
        <v>1280</v>
      </c>
      <c r="J445" s="9" t="s">
        <v>145</v>
      </c>
    </row>
    <row r="446" spans="1:10">
      <c r="A446" s="5" t="s">
        <v>1787</v>
      </c>
      <c r="B446" s="6" t="s">
        <v>2040</v>
      </c>
      <c r="C446" s="7">
        <v>46177</v>
      </c>
      <c r="D446" s="9" t="s">
        <v>503</v>
      </c>
      <c r="E446" s="8" t="s">
        <v>162</v>
      </c>
      <c r="F446" s="9" t="s">
        <v>242</v>
      </c>
      <c r="G446" s="9">
        <v>1</v>
      </c>
      <c r="H446" s="6" t="s">
        <v>1306</v>
      </c>
      <c r="I446" s="9" t="s">
        <v>1280</v>
      </c>
      <c r="J446" s="9" t="s">
        <v>145</v>
      </c>
    </row>
    <row r="447" spans="1:10">
      <c r="A447" s="5" t="s">
        <v>1789</v>
      </c>
      <c r="B447" s="6" t="s">
        <v>2041</v>
      </c>
      <c r="C447" s="7">
        <v>46177</v>
      </c>
      <c r="D447" s="9" t="s">
        <v>500</v>
      </c>
      <c r="E447" s="4" t="s">
        <v>4</v>
      </c>
      <c r="F447" s="9" t="s">
        <v>242</v>
      </c>
      <c r="G447" s="9">
        <v>1</v>
      </c>
      <c r="H447" s="6" t="s">
        <v>2042</v>
      </c>
      <c r="I447" s="9" t="s">
        <v>258</v>
      </c>
      <c r="J447" s="9" t="s">
        <v>145</v>
      </c>
    </row>
    <row r="448" spans="1:10">
      <c r="A448" s="5" t="s">
        <v>1790</v>
      </c>
      <c r="B448" s="6" t="s">
        <v>2041</v>
      </c>
      <c r="C448" s="7">
        <v>46177</v>
      </c>
      <c r="D448" s="9" t="s">
        <v>261</v>
      </c>
      <c r="E448" s="8" t="s">
        <v>63</v>
      </c>
      <c r="F448" s="9" t="s">
        <v>242</v>
      </c>
      <c r="G448" s="9">
        <v>3</v>
      </c>
      <c r="H448" s="6" t="s">
        <v>2042</v>
      </c>
      <c r="I448" s="9" t="s">
        <v>258</v>
      </c>
      <c r="J448" s="9" t="s">
        <v>145</v>
      </c>
    </row>
    <row r="449" spans="1:10">
      <c r="A449" s="5" t="s">
        <v>1791</v>
      </c>
      <c r="B449" s="6" t="s">
        <v>2041</v>
      </c>
      <c r="C449" s="7">
        <v>46177</v>
      </c>
      <c r="D449" s="9" t="s">
        <v>270</v>
      </c>
      <c r="E449" s="4" t="s">
        <v>271</v>
      </c>
      <c r="F449" s="9" t="s">
        <v>242</v>
      </c>
      <c r="G449" s="9">
        <v>3</v>
      </c>
      <c r="H449" s="6" t="s">
        <v>2042</v>
      </c>
      <c r="I449" s="9" t="s">
        <v>258</v>
      </c>
      <c r="J449" s="9" t="s">
        <v>145</v>
      </c>
    </row>
    <row r="450" spans="1:10">
      <c r="A450" s="5" t="s">
        <v>1792</v>
      </c>
      <c r="B450" s="6" t="s">
        <v>2043</v>
      </c>
      <c r="C450" s="7">
        <v>46177</v>
      </c>
      <c r="D450" s="9" t="s">
        <v>500</v>
      </c>
      <c r="E450" s="8" t="s">
        <v>51</v>
      </c>
      <c r="F450" s="9" t="s">
        <v>242</v>
      </c>
      <c r="G450" s="9">
        <v>1</v>
      </c>
      <c r="H450" s="6" t="s">
        <v>693</v>
      </c>
      <c r="I450" s="9" t="s">
        <v>616</v>
      </c>
      <c r="J450" s="9" t="s">
        <v>145</v>
      </c>
    </row>
    <row r="451" spans="1:10">
      <c r="A451" s="5" t="s">
        <v>1795</v>
      </c>
      <c r="B451" s="6" t="s">
        <v>2043</v>
      </c>
      <c r="C451" s="7">
        <v>46177</v>
      </c>
      <c r="D451" s="9" t="s">
        <v>261</v>
      </c>
      <c r="E451" s="4" t="s">
        <v>62</v>
      </c>
      <c r="F451" s="9" t="s">
        <v>242</v>
      </c>
      <c r="G451" s="9">
        <v>2</v>
      </c>
      <c r="H451" s="6" t="s">
        <v>693</v>
      </c>
      <c r="I451" s="9" t="s">
        <v>616</v>
      </c>
      <c r="J451" s="9" t="s">
        <v>145</v>
      </c>
    </row>
    <row r="452" spans="1:10">
      <c r="A452" s="5" t="s">
        <v>1796</v>
      </c>
      <c r="B452" s="6" t="s">
        <v>2043</v>
      </c>
      <c r="C452" s="7">
        <v>46177</v>
      </c>
      <c r="D452" s="9" t="s">
        <v>270</v>
      </c>
      <c r="E452" s="8" t="s">
        <v>271</v>
      </c>
      <c r="F452" s="9" t="s">
        <v>242</v>
      </c>
      <c r="G452" s="9">
        <v>2</v>
      </c>
      <c r="H452" s="6" t="s">
        <v>693</v>
      </c>
      <c r="I452" s="9" t="s">
        <v>616</v>
      </c>
      <c r="J452" s="9" t="s">
        <v>145</v>
      </c>
    </row>
    <row r="453" spans="1:10">
      <c r="A453" s="5" t="s">
        <v>1798</v>
      </c>
      <c r="B453" s="6" t="s">
        <v>2044</v>
      </c>
      <c r="C453" s="7">
        <v>46177</v>
      </c>
      <c r="D453" s="9" t="s">
        <v>261</v>
      </c>
      <c r="E453" s="8" t="s">
        <v>62</v>
      </c>
      <c r="F453" s="9" t="s">
        <v>242</v>
      </c>
      <c r="G453" s="9">
        <v>6</v>
      </c>
      <c r="H453" s="6" t="s">
        <v>2033</v>
      </c>
      <c r="I453" s="9" t="s">
        <v>311</v>
      </c>
      <c r="J453" s="9" t="s">
        <v>145</v>
      </c>
    </row>
    <row r="454" spans="1:10">
      <c r="A454" s="5" t="s">
        <v>1799</v>
      </c>
      <c r="B454" s="6" t="s">
        <v>2045</v>
      </c>
      <c r="C454" s="7">
        <v>46177</v>
      </c>
      <c r="D454" s="9" t="s">
        <v>261</v>
      </c>
      <c r="E454" s="4" t="s">
        <v>62</v>
      </c>
      <c r="F454" s="9" t="s">
        <v>242</v>
      </c>
      <c r="G454" s="9">
        <v>4</v>
      </c>
      <c r="H454" s="6" t="s">
        <v>2046</v>
      </c>
      <c r="I454" s="9" t="s">
        <v>311</v>
      </c>
      <c r="J454" s="9" t="s">
        <v>145</v>
      </c>
    </row>
    <row r="455" spans="1:10">
      <c r="A455" s="5" t="s">
        <v>1801</v>
      </c>
      <c r="B455" s="6" t="s">
        <v>2047</v>
      </c>
      <c r="C455" s="7">
        <v>46178</v>
      </c>
      <c r="D455" s="9" t="s">
        <v>500</v>
      </c>
      <c r="E455" s="8" t="s">
        <v>51</v>
      </c>
      <c r="F455" s="9" t="s">
        <v>242</v>
      </c>
      <c r="G455" s="9">
        <v>1</v>
      </c>
      <c r="H455" s="6" t="s">
        <v>2038</v>
      </c>
      <c r="I455" s="9" t="s">
        <v>337</v>
      </c>
      <c r="J455" s="9" t="s">
        <v>145</v>
      </c>
    </row>
    <row r="456" spans="1:10">
      <c r="A456" s="5" t="s">
        <v>1802</v>
      </c>
      <c r="B456" s="6" t="s">
        <v>2047</v>
      </c>
      <c r="C456" s="7">
        <v>46178</v>
      </c>
      <c r="D456" s="9" t="s">
        <v>500</v>
      </c>
      <c r="E456" s="8" t="s">
        <v>53</v>
      </c>
      <c r="F456" s="9" t="s">
        <v>242</v>
      </c>
      <c r="G456" s="9">
        <v>1</v>
      </c>
      <c r="H456" s="6" t="s">
        <v>2038</v>
      </c>
      <c r="I456" s="9" t="s">
        <v>337</v>
      </c>
      <c r="J456" s="9" t="s">
        <v>145</v>
      </c>
    </row>
    <row r="457" spans="1:10">
      <c r="A457" s="5" t="s">
        <v>1804</v>
      </c>
      <c r="B457" s="6" t="s">
        <v>2047</v>
      </c>
      <c r="C457" s="7">
        <v>46178</v>
      </c>
      <c r="D457" s="9" t="s">
        <v>500</v>
      </c>
      <c r="E457" s="8" t="s">
        <v>54</v>
      </c>
      <c r="F457" s="9" t="s">
        <v>242</v>
      </c>
      <c r="G457" s="9">
        <v>2</v>
      </c>
      <c r="H457" s="6" t="s">
        <v>2038</v>
      </c>
      <c r="I457" s="9" t="s">
        <v>337</v>
      </c>
      <c r="J457" s="9" t="s">
        <v>145</v>
      </c>
    </row>
    <row r="458" spans="1:10">
      <c r="A458" s="5" t="s">
        <v>1805</v>
      </c>
      <c r="B458" s="6" t="s">
        <v>2047</v>
      </c>
      <c r="C458" s="7">
        <v>46178</v>
      </c>
      <c r="D458" s="9" t="s">
        <v>261</v>
      </c>
      <c r="E458" s="8" t="s">
        <v>63</v>
      </c>
      <c r="F458" s="9" t="s">
        <v>242</v>
      </c>
      <c r="G458" s="9">
        <v>1</v>
      </c>
      <c r="H458" s="6" t="s">
        <v>2038</v>
      </c>
      <c r="I458" s="9" t="s">
        <v>337</v>
      </c>
      <c r="J458" s="9" t="s">
        <v>145</v>
      </c>
    </row>
    <row r="459" spans="1:10">
      <c r="A459" s="5" t="s">
        <v>1806</v>
      </c>
      <c r="B459" s="6" t="s">
        <v>2047</v>
      </c>
      <c r="C459" s="7">
        <v>46178</v>
      </c>
      <c r="D459" s="9" t="s">
        <v>270</v>
      </c>
      <c r="E459" s="8" t="s">
        <v>271</v>
      </c>
      <c r="F459" s="9" t="s">
        <v>242</v>
      </c>
      <c r="G459" s="9">
        <v>1</v>
      </c>
      <c r="H459" s="6" t="s">
        <v>2038</v>
      </c>
      <c r="I459" s="9" t="s">
        <v>337</v>
      </c>
      <c r="J459" s="9" t="s">
        <v>145</v>
      </c>
    </row>
    <row r="460" spans="1:10">
      <c r="A460" s="5" t="s">
        <v>1809</v>
      </c>
      <c r="B460" s="6" t="s">
        <v>2047</v>
      </c>
      <c r="C460" s="7">
        <v>46178</v>
      </c>
      <c r="D460" s="9" t="s">
        <v>261</v>
      </c>
      <c r="E460" s="8" t="s">
        <v>62</v>
      </c>
      <c r="F460" s="9" t="s">
        <v>242</v>
      </c>
      <c r="G460" s="9">
        <v>8</v>
      </c>
      <c r="H460" s="6" t="s">
        <v>2038</v>
      </c>
      <c r="I460" s="9" t="s">
        <v>337</v>
      </c>
      <c r="J460" s="9" t="s">
        <v>145</v>
      </c>
    </row>
    <row r="461" spans="1:10">
      <c r="A461" s="5" t="s">
        <v>1810</v>
      </c>
      <c r="B461" s="6" t="s">
        <v>2048</v>
      </c>
      <c r="C461" s="7">
        <v>46178</v>
      </c>
      <c r="D461" s="9" t="s">
        <v>261</v>
      </c>
      <c r="E461" s="4" t="s">
        <v>65</v>
      </c>
      <c r="F461" s="9" t="s">
        <v>242</v>
      </c>
      <c r="G461" s="9">
        <v>1</v>
      </c>
      <c r="H461" s="6" t="s">
        <v>2049</v>
      </c>
      <c r="I461" s="9" t="s">
        <v>484</v>
      </c>
      <c r="J461" s="9" t="s">
        <v>145</v>
      </c>
    </row>
    <row r="462" spans="1:10">
      <c r="A462" s="5" t="s">
        <v>1813</v>
      </c>
      <c r="B462" s="6" t="s">
        <v>2048</v>
      </c>
      <c r="C462" s="7">
        <v>46178</v>
      </c>
      <c r="D462" s="9" t="s">
        <v>270</v>
      </c>
      <c r="E462" s="4" t="s">
        <v>271</v>
      </c>
      <c r="F462" s="9" t="s">
        <v>242</v>
      </c>
      <c r="G462" s="9">
        <v>3</v>
      </c>
      <c r="H462" s="6" t="s">
        <v>2049</v>
      </c>
      <c r="I462" s="9" t="s">
        <v>484</v>
      </c>
      <c r="J462" s="9" t="s">
        <v>145</v>
      </c>
    </row>
    <row r="463" spans="1:10">
      <c r="A463" s="5" t="s">
        <v>1815</v>
      </c>
      <c r="B463" s="6" t="s">
        <v>2050</v>
      </c>
      <c r="C463" s="7">
        <v>46178</v>
      </c>
      <c r="D463" s="9" t="s">
        <v>261</v>
      </c>
      <c r="E463" s="8" t="s">
        <v>62</v>
      </c>
      <c r="F463" s="9" t="s">
        <v>242</v>
      </c>
      <c r="G463" s="9">
        <v>2</v>
      </c>
      <c r="H463" s="6" t="s">
        <v>722</v>
      </c>
      <c r="I463" s="9" t="s">
        <v>514</v>
      </c>
      <c r="J463" s="9" t="s">
        <v>145</v>
      </c>
    </row>
    <row r="464" spans="1:10">
      <c r="A464" s="5" t="s">
        <v>1816</v>
      </c>
      <c r="B464" s="6" t="s">
        <v>2051</v>
      </c>
      <c r="C464" s="7">
        <v>46178</v>
      </c>
      <c r="D464" s="9" t="s">
        <v>500</v>
      </c>
      <c r="E464" s="8" t="s">
        <v>4</v>
      </c>
      <c r="F464" s="9" t="s">
        <v>242</v>
      </c>
      <c r="G464" s="9">
        <v>1</v>
      </c>
      <c r="H464" s="6" t="s">
        <v>866</v>
      </c>
      <c r="I464" s="9" t="s">
        <v>605</v>
      </c>
      <c r="J464" s="9" t="s">
        <v>145</v>
      </c>
    </row>
    <row r="465" spans="1:10">
      <c r="A465" s="5" t="s">
        <v>1818</v>
      </c>
      <c r="B465" s="6" t="s">
        <v>2051</v>
      </c>
      <c r="C465" s="7">
        <v>46178</v>
      </c>
      <c r="D465" s="9" t="s">
        <v>270</v>
      </c>
      <c r="E465" s="8" t="s">
        <v>271</v>
      </c>
      <c r="F465" s="9" t="s">
        <v>242</v>
      </c>
      <c r="G465" s="9">
        <v>3</v>
      </c>
      <c r="H465" s="6" t="s">
        <v>866</v>
      </c>
      <c r="I465" s="9" t="s">
        <v>605</v>
      </c>
      <c r="J465" s="9" t="s">
        <v>145</v>
      </c>
    </row>
    <row r="466" spans="1:10">
      <c r="A466" s="5" t="s">
        <v>1819</v>
      </c>
      <c r="B466" s="6" t="s">
        <v>2052</v>
      </c>
      <c r="C466" s="7">
        <v>46178</v>
      </c>
      <c r="D466" s="9" t="s">
        <v>696</v>
      </c>
      <c r="E466" s="4" t="s">
        <v>87</v>
      </c>
      <c r="F466" s="9" t="s">
        <v>242</v>
      </c>
      <c r="G466" s="9">
        <v>120</v>
      </c>
      <c r="H466" s="6" t="s">
        <v>2021</v>
      </c>
      <c r="I466" s="9" t="s">
        <v>1280</v>
      </c>
      <c r="J466" s="9" t="s">
        <v>145</v>
      </c>
    </row>
    <row r="467" spans="1:10">
      <c r="A467" s="5" t="s">
        <v>1821</v>
      </c>
      <c r="B467" s="6" t="s">
        <v>2052</v>
      </c>
      <c r="C467" s="7">
        <v>46178</v>
      </c>
      <c r="D467" s="9" t="s">
        <v>261</v>
      </c>
      <c r="E467" s="8" t="s">
        <v>62</v>
      </c>
      <c r="F467" s="9" t="s">
        <v>242</v>
      </c>
      <c r="G467" s="9">
        <v>2</v>
      </c>
      <c r="H467" s="6" t="s">
        <v>2021</v>
      </c>
      <c r="I467" s="9" t="s">
        <v>1280</v>
      </c>
      <c r="J467" s="9" t="s">
        <v>145</v>
      </c>
    </row>
    <row r="468" spans="1:10">
      <c r="A468" s="5" t="s">
        <v>1822</v>
      </c>
      <c r="B468" s="6" t="s">
        <v>2053</v>
      </c>
      <c r="C468" s="7">
        <v>46178</v>
      </c>
      <c r="D468" s="9" t="s">
        <v>500</v>
      </c>
      <c r="E468" s="8" t="s">
        <v>54</v>
      </c>
      <c r="F468" s="9" t="s">
        <v>242</v>
      </c>
      <c r="G468" s="9">
        <v>1</v>
      </c>
      <c r="H468" s="6" t="s">
        <v>759</v>
      </c>
      <c r="I468" s="9" t="s">
        <v>284</v>
      </c>
      <c r="J468" s="9" t="s">
        <v>145</v>
      </c>
    </row>
    <row r="469" spans="1:10">
      <c r="A469" s="5" t="s">
        <v>1824</v>
      </c>
      <c r="B469" s="6" t="s">
        <v>2053</v>
      </c>
      <c r="C469" s="7">
        <v>46178</v>
      </c>
      <c r="D469" s="9" t="s">
        <v>261</v>
      </c>
      <c r="E469" s="8" t="s">
        <v>62</v>
      </c>
      <c r="F469" s="9" t="s">
        <v>242</v>
      </c>
      <c r="G469" s="9">
        <v>1</v>
      </c>
      <c r="H469" s="6" t="s">
        <v>759</v>
      </c>
      <c r="I469" s="9" t="s">
        <v>284</v>
      </c>
      <c r="J469" s="9" t="s">
        <v>145</v>
      </c>
    </row>
    <row r="470" spans="1:10">
      <c r="A470" s="5" t="s">
        <v>1825</v>
      </c>
      <c r="B470" s="6" t="s">
        <v>2054</v>
      </c>
      <c r="C470" s="7">
        <v>46178</v>
      </c>
      <c r="D470" s="9" t="s">
        <v>261</v>
      </c>
      <c r="E470" s="4" t="s">
        <v>62</v>
      </c>
      <c r="F470" s="9" t="s">
        <v>242</v>
      </c>
      <c r="G470" s="9">
        <v>12</v>
      </c>
      <c r="H470" s="6" t="s">
        <v>722</v>
      </c>
      <c r="I470" s="9" t="s">
        <v>258</v>
      </c>
      <c r="J470" s="9" t="s">
        <v>145</v>
      </c>
    </row>
    <row r="471" spans="1:10">
      <c r="A471" s="5" t="s">
        <v>1827</v>
      </c>
      <c r="B471" s="6" t="s">
        <v>2055</v>
      </c>
      <c r="C471" s="7">
        <v>46178</v>
      </c>
      <c r="D471" s="9" t="s">
        <v>261</v>
      </c>
      <c r="E471" s="8" t="s">
        <v>65</v>
      </c>
      <c r="F471" s="9" t="s">
        <v>242</v>
      </c>
      <c r="G471" s="9">
        <v>2</v>
      </c>
      <c r="H471" s="6" t="s">
        <v>2056</v>
      </c>
      <c r="I471" s="9" t="s">
        <v>258</v>
      </c>
      <c r="J471" s="9" t="s">
        <v>145</v>
      </c>
    </row>
    <row r="472" spans="1:10">
      <c r="A472" s="5" t="s">
        <v>1828</v>
      </c>
      <c r="B472" s="6" t="s">
        <v>2055</v>
      </c>
      <c r="C472" s="7">
        <v>46178</v>
      </c>
      <c r="D472" s="9" t="s">
        <v>270</v>
      </c>
      <c r="E472" s="4" t="s">
        <v>271</v>
      </c>
      <c r="F472" s="9" t="s">
        <v>242</v>
      </c>
      <c r="G472" s="9">
        <v>4</v>
      </c>
      <c r="H472" s="6" t="s">
        <v>2056</v>
      </c>
      <c r="I472" s="9" t="s">
        <v>258</v>
      </c>
      <c r="J472" s="9" t="s">
        <v>145</v>
      </c>
    </row>
    <row r="473" spans="1:10">
      <c r="A473" s="5" t="s">
        <v>1829</v>
      </c>
      <c r="B473" s="6" t="s">
        <v>2057</v>
      </c>
      <c r="C473" s="7">
        <v>46178</v>
      </c>
      <c r="D473" s="9" t="s">
        <v>714</v>
      </c>
      <c r="E473" s="8" t="s">
        <v>151</v>
      </c>
      <c r="F473" s="9" t="s">
        <v>242</v>
      </c>
      <c r="G473" s="9">
        <v>1</v>
      </c>
      <c r="H473" s="6" t="s">
        <v>2058</v>
      </c>
      <c r="I473" s="9" t="s">
        <v>337</v>
      </c>
      <c r="J473" s="9" t="s">
        <v>145</v>
      </c>
    </row>
    <row r="474" spans="1:10">
      <c r="A474" s="5" t="s">
        <v>1831</v>
      </c>
      <c r="B474" s="6" t="s">
        <v>2059</v>
      </c>
      <c r="C474" s="7">
        <v>46181</v>
      </c>
      <c r="D474" s="9" t="s">
        <v>500</v>
      </c>
      <c r="E474" s="4" t="s">
        <v>52</v>
      </c>
      <c r="F474" s="9" t="s">
        <v>242</v>
      </c>
      <c r="G474" s="9">
        <v>1</v>
      </c>
      <c r="H474" s="6" t="s">
        <v>693</v>
      </c>
      <c r="I474" s="9" t="s">
        <v>415</v>
      </c>
      <c r="J474" s="9" t="s">
        <v>145</v>
      </c>
    </row>
    <row r="475" spans="1:10">
      <c r="A475" s="5" t="s">
        <v>1832</v>
      </c>
      <c r="B475" s="6" t="s">
        <v>2059</v>
      </c>
      <c r="C475" s="7">
        <v>46181</v>
      </c>
      <c r="D475" s="9" t="s">
        <v>270</v>
      </c>
      <c r="E475" s="8" t="s">
        <v>271</v>
      </c>
      <c r="F475" s="9" t="s">
        <v>242</v>
      </c>
      <c r="G475" s="9">
        <v>2</v>
      </c>
      <c r="H475" s="6" t="s">
        <v>693</v>
      </c>
      <c r="I475" s="9" t="s">
        <v>415</v>
      </c>
      <c r="J475" s="9" t="s">
        <v>145</v>
      </c>
    </row>
    <row r="476" spans="1:10">
      <c r="A476" s="5" t="s">
        <v>1833</v>
      </c>
      <c r="B476" s="6" t="s">
        <v>2060</v>
      </c>
      <c r="C476" s="7">
        <v>46181</v>
      </c>
      <c r="D476" s="9" t="s">
        <v>261</v>
      </c>
      <c r="E476" s="8" t="s">
        <v>62</v>
      </c>
      <c r="F476" s="9" t="s">
        <v>242</v>
      </c>
      <c r="G476" s="9">
        <v>5</v>
      </c>
      <c r="H476" s="6" t="s">
        <v>722</v>
      </c>
      <c r="I476" s="9" t="s">
        <v>258</v>
      </c>
      <c r="J476" s="9" t="s">
        <v>145</v>
      </c>
    </row>
    <row r="477" spans="1:10">
      <c r="A477" s="5" t="s">
        <v>1835</v>
      </c>
      <c r="B477" s="6" t="s">
        <v>2061</v>
      </c>
      <c r="C477" s="7">
        <v>46181</v>
      </c>
      <c r="D477" s="9" t="s">
        <v>261</v>
      </c>
      <c r="E477" s="8" t="s">
        <v>62</v>
      </c>
      <c r="F477" s="9" t="s">
        <v>242</v>
      </c>
      <c r="G477" s="9">
        <v>4</v>
      </c>
      <c r="H477" s="6" t="s">
        <v>722</v>
      </c>
      <c r="I477" s="9" t="s">
        <v>258</v>
      </c>
      <c r="J477" s="9" t="s">
        <v>145</v>
      </c>
    </row>
    <row r="478" spans="1:10">
      <c r="A478" s="5" t="s">
        <v>1836</v>
      </c>
      <c r="B478" s="6" t="s">
        <v>2062</v>
      </c>
      <c r="C478" s="7">
        <v>46181</v>
      </c>
      <c r="D478" s="9" t="s">
        <v>696</v>
      </c>
      <c r="E478" s="4" t="s">
        <v>88</v>
      </c>
      <c r="F478" s="9" t="s">
        <v>242</v>
      </c>
      <c r="G478" s="9">
        <v>60</v>
      </c>
      <c r="H478" s="6" t="s">
        <v>2063</v>
      </c>
      <c r="I478" s="9" t="s">
        <v>258</v>
      </c>
      <c r="J478" s="9" t="s">
        <v>145</v>
      </c>
    </row>
    <row r="479" spans="1:10">
      <c r="A479" s="5" t="s">
        <v>1837</v>
      </c>
      <c r="B479" s="6" t="s">
        <v>2062</v>
      </c>
      <c r="C479" s="7">
        <v>46181</v>
      </c>
      <c r="D479" s="9" t="s">
        <v>261</v>
      </c>
      <c r="E479" s="8" t="s">
        <v>281</v>
      </c>
      <c r="F479" s="9" t="s">
        <v>242</v>
      </c>
      <c r="G479" s="9">
        <v>4</v>
      </c>
      <c r="H479" s="6" t="s">
        <v>2063</v>
      </c>
      <c r="I479" s="9" t="s">
        <v>258</v>
      </c>
      <c r="J479" s="9" t="s">
        <v>145</v>
      </c>
    </row>
    <row r="480" spans="1:10">
      <c r="A480" s="5" t="s">
        <v>1839</v>
      </c>
      <c r="B480" s="6" t="s">
        <v>2064</v>
      </c>
      <c r="C480" s="7">
        <v>46182</v>
      </c>
      <c r="D480" s="9" t="s">
        <v>500</v>
      </c>
      <c r="E480" s="4" t="s">
        <v>52</v>
      </c>
      <c r="F480" s="9" t="s">
        <v>242</v>
      </c>
      <c r="G480" s="9">
        <v>1</v>
      </c>
      <c r="H480" s="6" t="s">
        <v>693</v>
      </c>
      <c r="I480" s="9" t="s">
        <v>266</v>
      </c>
      <c r="J480" s="9" t="s">
        <v>145</v>
      </c>
    </row>
    <row r="481" spans="1:10">
      <c r="A481" s="5" t="s">
        <v>1840</v>
      </c>
      <c r="B481" s="6" t="s">
        <v>2064</v>
      </c>
      <c r="C481" s="7">
        <v>46182</v>
      </c>
      <c r="D481" s="9" t="s">
        <v>270</v>
      </c>
      <c r="E481" s="8" t="s">
        <v>271</v>
      </c>
      <c r="F481" s="9" t="s">
        <v>242</v>
      </c>
      <c r="G481" s="9">
        <v>2</v>
      </c>
      <c r="H481" s="6" t="s">
        <v>693</v>
      </c>
      <c r="I481" s="9" t="s">
        <v>266</v>
      </c>
      <c r="J481" s="9" t="s">
        <v>145</v>
      </c>
    </row>
    <row r="482" spans="1:10">
      <c r="A482" s="5" t="s">
        <v>1841</v>
      </c>
      <c r="B482" s="6" t="s">
        <v>2065</v>
      </c>
      <c r="C482" s="7">
        <v>46182</v>
      </c>
      <c r="D482" s="9" t="s">
        <v>500</v>
      </c>
      <c r="E482" s="4" t="s">
        <v>53</v>
      </c>
      <c r="F482" s="9" t="s">
        <v>242</v>
      </c>
      <c r="G482" s="9">
        <v>1</v>
      </c>
      <c r="H482" s="6" t="s">
        <v>1236</v>
      </c>
      <c r="I482" s="9" t="s">
        <v>266</v>
      </c>
      <c r="J482" s="9" t="s">
        <v>145</v>
      </c>
    </row>
    <row r="483" spans="1:10">
      <c r="A483" s="5" t="s">
        <v>1842</v>
      </c>
      <c r="B483" s="6" t="s">
        <v>2065</v>
      </c>
      <c r="C483" s="7">
        <v>46182</v>
      </c>
      <c r="D483" s="9" t="s">
        <v>500</v>
      </c>
      <c r="E483" s="8" t="s">
        <v>51</v>
      </c>
      <c r="F483" s="9" t="s">
        <v>242</v>
      </c>
      <c r="G483" s="9">
        <v>1</v>
      </c>
      <c r="H483" s="6" t="s">
        <v>1236</v>
      </c>
      <c r="I483" s="9" t="s">
        <v>266</v>
      </c>
      <c r="J483" s="9" t="s">
        <v>145</v>
      </c>
    </row>
    <row r="484" spans="1:10">
      <c r="A484" s="5" t="s">
        <v>1845</v>
      </c>
      <c r="B484" s="6" t="s">
        <v>2065</v>
      </c>
      <c r="C484" s="7">
        <v>46182</v>
      </c>
      <c r="D484" s="9" t="s">
        <v>500</v>
      </c>
      <c r="E484" s="8" t="s">
        <v>4</v>
      </c>
      <c r="F484" s="9" t="s">
        <v>242</v>
      </c>
      <c r="G484" s="9">
        <v>1</v>
      </c>
      <c r="H484" s="6" t="s">
        <v>1236</v>
      </c>
      <c r="I484" s="9" t="s">
        <v>266</v>
      </c>
      <c r="J484" s="9" t="s">
        <v>145</v>
      </c>
    </row>
    <row r="485" spans="1:10">
      <c r="A485" s="5" t="s">
        <v>1846</v>
      </c>
      <c r="B485" s="6" t="s">
        <v>2065</v>
      </c>
      <c r="C485" s="7">
        <v>46182</v>
      </c>
      <c r="D485" s="9" t="s">
        <v>261</v>
      </c>
      <c r="E485" s="8" t="s">
        <v>62</v>
      </c>
      <c r="F485" s="9" t="s">
        <v>242</v>
      </c>
      <c r="G485" s="9">
        <v>6</v>
      </c>
      <c r="H485" s="6" t="s">
        <v>1236</v>
      </c>
      <c r="I485" s="9" t="s">
        <v>266</v>
      </c>
      <c r="J485" s="9" t="s">
        <v>145</v>
      </c>
    </row>
    <row r="486" spans="1:10">
      <c r="A486" s="5" t="s">
        <v>1848</v>
      </c>
      <c r="B486" s="6" t="s">
        <v>2065</v>
      </c>
      <c r="C486" s="7">
        <v>46182</v>
      </c>
      <c r="D486" s="9" t="s">
        <v>270</v>
      </c>
      <c r="E486" s="8" t="s">
        <v>271</v>
      </c>
      <c r="F486" s="9" t="s">
        <v>242</v>
      </c>
      <c r="G486" s="9">
        <v>6</v>
      </c>
      <c r="H486" s="6" t="s">
        <v>1236</v>
      </c>
      <c r="I486" s="9" t="s">
        <v>266</v>
      </c>
      <c r="J486" s="9" t="s">
        <v>145</v>
      </c>
    </row>
    <row r="487" spans="1:10">
      <c r="A487" s="5" t="s">
        <v>1849</v>
      </c>
      <c r="B487" s="6" t="s">
        <v>2066</v>
      </c>
      <c r="C487" s="7">
        <v>46182</v>
      </c>
      <c r="D487" s="9" t="s">
        <v>500</v>
      </c>
      <c r="E487" s="8" t="s">
        <v>4</v>
      </c>
      <c r="F487" s="9" t="s">
        <v>242</v>
      </c>
      <c r="G487" s="9">
        <v>1</v>
      </c>
      <c r="H487" s="6" t="s">
        <v>866</v>
      </c>
      <c r="I487" s="9" t="s">
        <v>415</v>
      </c>
      <c r="J487" s="9" t="s">
        <v>145</v>
      </c>
    </row>
    <row r="488" spans="1:10">
      <c r="A488" s="5" t="s">
        <v>2067</v>
      </c>
      <c r="B488" s="6" t="s">
        <v>2066</v>
      </c>
      <c r="C488" s="7">
        <v>46182</v>
      </c>
      <c r="D488" s="9" t="s">
        <v>261</v>
      </c>
      <c r="E488" s="4" t="s">
        <v>62</v>
      </c>
      <c r="F488" s="9" t="s">
        <v>242</v>
      </c>
      <c r="G488" s="9">
        <v>5</v>
      </c>
      <c r="H488" s="6" t="s">
        <v>866</v>
      </c>
      <c r="I488" s="9" t="s">
        <v>415</v>
      </c>
      <c r="J488" s="9" t="s">
        <v>145</v>
      </c>
    </row>
    <row r="489" spans="1:10">
      <c r="A489" s="5" t="s">
        <v>2068</v>
      </c>
      <c r="B489" s="6" t="s">
        <v>2066</v>
      </c>
      <c r="C489" s="7">
        <v>46182</v>
      </c>
      <c r="D489" s="9" t="s">
        <v>270</v>
      </c>
      <c r="E489" s="8" t="s">
        <v>271</v>
      </c>
      <c r="F489" s="9" t="s">
        <v>242</v>
      </c>
      <c r="G489" s="9">
        <v>5</v>
      </c>
      <c r="H489" s="6" t="s">
        <v>866</v>
      </c>
      <c r="I489" s="9" t="s">
        <v>415</v>
      </c>
      <c r="J489" s="9" t="s">
        <v>145</v>
      </c>
    </row>
    <row r="490" spans="1:10">
      <c r="A490" s="5" t="s">
        <v>2069</v>
      </c>
      <c r="B490" s="6" t="s">
        <v>2070</v>
      </c>
      <c r="C490" s="7">
        <v>46182</v>
      </c>
      <c r="D490" s="9" t="s">
        <v>696</v>
      </c>
      <c r="E490" s="8" t="s">
        <v>88</v>
      </c>
      <c r="F490" s="9" t="s">
        <v>242</v>
      </c>
      <c r="G490" s="9">
        <v>50</v>
      </c>
      <c r="H490" s="6" t="s">
        <v>2071</v>
      </c>
      <c r="I490" s="9" t="s">
        <v>1280</v>
      </c>
      <c r="J490" s="9" t="s">
        <v>145</v>
      </c>
    </row>
    <row r="491" spans="1:10">
      <c r="A491" s="5" t="s">
        <v>2072</v>
      </c>
      <c r="B491" s="6" t="s">
        <v>2073</v>
      </c>
      <c r="C491" s="7">
        <v>46182</v>
      </c>
      <c r="D491" s="9" t="s">
        <v>696</v>
      </c>
      <c r="E491" s="8" t="s">
        <v>843</v>
      </c>
      <c r="F491" s="9" t="s">
        <v>242</v>
      </c>
      <c r="G491" s="9">
        <v>150</v>
      </c>
      <c r="H491" s="6" t="s">
        <v>2074</v>
      </c>
      <c r="I491" s="9" t="s">
        <v>1280</v>
      </c>
      <c r="J491" s="9" t="s">
        <v>145</v>
      </c>
    </row>
    <row r="492" spans="1:10">
      <c r="A492" s="5" t="s">
        <v>2075</v>
      </c>
      <c r="B492" s="6" t="s">
        <v>2073</v>
      </c>
      <c r="C492" s="7">
        <v>46182</v>
      </c>
      <c r="D492" s="9" t="s">
        <v>270</v>
      </c>
      <c r="E492" s="8" t="s">
        <v>271</v>
      </c>
      <c r="F492" s="9" t="s">
        <v>242</v>
      </c>
      <c r="G492" s="9">
        <v>2</v>
      </c>
      <c r="H492" s="6" t="s">
        <v>2074</v>
      </c>
      <c r="I492" s="9" t="s">
        <v>1280</v>
      </c>
      <c r="J492" s="9" t="s">
        <v>145</v>
      </c>
    </row>
    <row r="493" spans="1:10">
      <c r="A493" s="5" t="s">
        <v>2076</v>
      </c>
      <c r="B493" s="6" t="s">
        <v>2077</v>
      </c>
      <c r="C493" s="7">
        <v>46182</v>
      </c>
      <c r="D493" s="9" t="s">
        <v>500</v>
      </c>
      <c r="E493" s="8" t="s">
        <v>53</v>
      </c>
      <c r="F493" s="9" t="s">
        <v>242</v>
      </c>
      <c r="G493" s="9">
        <v>1</v>
      </c>
      <c r="H493" s="6" t="s">
        <v>693</v>
      </c>
      <c r="I493" s="9" t="s">
        <v>357</v>
      </c>
      <c r="J493" s="9" t="s">
        <v>145</v>
      </c>
    </row>
    <row r="494" spans="1:10">
      <c r="A494" s="5" t="s">
        <v>2078</v>
      </c>
      <c r="B494" s="6" t="s">
        <v>2077</v>
      </c>
      <c r="C494" s="7">
        <v>46182</v>
      </c>
      <c r="D494" s="9" t="s">
        <v>261</v>
      </c>
      <c r="E494" s="8" t="s">
        <v>63</v>
      </c>
      <c r="F494" s="9" t="s">
        <v>242</v>
      </c>
      <c r="G494" s="9">
        <v>1</v>
      </c>
      <c r="H494" s="6" t="s">
        <v>693</v>
      </c>
      <c r="I494" s="9" t="s">
        <v>357</v>
      </c>
      <c r="J494" s="9" t="s">
        <v>145</v>
      </c>
    </row>
    <row r="495" spans="1:10">
      <c r="A495" s="5" t="s">
        <v>2079</v>
      </c>
      <c r="B495" s="6" t="s">
        <v>2077</v>
      </c>
      <c r="C495" s="7">
        <v>46182</v>
      </c>
      <c r="D495" s="9" t="s">
        <v>270</v>
      </c>
      <c r="E495" s="8" t="s">
        <v>271</v>
      </c>
      <c r="F495" s="9" t="s">
        <v>242</v>
      </c>
      <c r="G495" s="9">
        <v>1</v>
      </c>
      <c r="H495" s="6" t="s">
        <v>693</v>
      </c>
      <c r="I495" s="9" t="s">
        <v>357</v>
      </c>
      <c r="J495" s="9" t="s">
        <v>145</v>
      </c>
    </row>
    <row r="496" spans="1:10">
      <c r="A496" s="5" t="s">
        <v>2080</v>
      </c>
      <c r="B496" s="6" t="s">
        <v>2081</v>
      </c>
      <c r="C496" s="7">
        <v>46182</v>
      </c>
      <c r="D496" s="9" t="s">
        <v>500</v>
      </c>
      <c r="E496" s="8" t="s">
        <v>4</v>
      </c>
      <c r="F496" s="9" t="s">
        <v>242</v>
      </c>
      <c r="G496" s="9">
        <v>1</v>
      </c>
      <c r="H496" s="6" t="s">
        <v>866</v>
      </c>
      <c r="I496" s="9" t="s">
        <v>415</v>
      </c>
      <c r="J496" s="9" t="s">
        <v>145</v>
      </c>
    </row>
    <row r="497" spans="1:10">
      <c r="A497" s="5" t="s">
        <v>2082</v>
      </c>
      <c r="B497" s="6" t="s">
        <v>2083</v>
      </c>
      <c r="C497" s="7">
        <v>46183</v>
      </c>
      <c r="D497" s="9" t="s">
        <v>500</v>
      </c>
      <c r="E497" s="4" t="s">
        <v>53</v>
      </c>
      <c r="F497" s="9" t="s">
        <v>242</v>
      </c>
      <c r="G497" s="9">
        <v>1</v>
      </c>
      <c r="H497" s="6" t="s">
        <v>2084</v>
      </c>
      <c r="I497" s="9" t="s">
        <v>616</v>
      </c>
      <c r="J497" s="9" t="s">
        <v>145</v>
      </c>
    </row>
    <row r="498" spans="1:10">
      <c r="A498" s="5" t="s">
        <v>2085</v>
      </c>
      <c r="B498" s="6" t="s">
        <v>2083</v>
      </c>
      <c r="C498" s="7">
        <v>46183</v>
      </c>
      <c r="D498" s="9" t="s">
        <v>261</v>
      </c>
      <c r="E498" s="8" t="s">
        <v>63</v>
      </c>
      <c r="F498" s="9" t="s">
        <v>242</v>
      </c>
      <c r="G498" s="9">
        <v>1</v>
      </c>
      <c r="H498" s="6" t="s">
        <v>2084</v>
      </c>
      <c r="I498" s="9" t="s">
        <v>616</v>
      </c>
      <c r="J498" s="9" t="s">
        <v>145</v>
      </c>
    </row>
    <row r="499" spans="1:10">
      <c r="A499" s="5" t="s">
        <v>2086</v>
      </c>
      <c r="B499" s="6" t="s">
        <v>2083</v>
      </c>
      <c r="C499" s="7">
        <v>46183</v>
      </c>
      <c r="D499" s="9" t="s">
        <v>270</v>
      </c>
      <c r="E499" s="8" t="s">
        <v>271</v>
      </c>
      <c r="F499" s="9" t="s">
        <v>242</v>
      </c>
      <c r="G499" s="9">
        <v>1</v>
      </c>
      <c r="H499" s="6" t="s">
        <v>2084</v>
      </c>
      <c r="I499" s="9" t="s">
        <v>616</v>
      </c>
      <c r="J499" s="9" t="s">
        <v>145</v>
      </c>
    </row>
    <row r="500" spans="1:10">
      <c r="A500" s="5" t="s">
        <v>2087</v>
      </c>
      <c r="B500" s="6" t="s">
        <v>2083</v>
      </c>
      <c r="C500" s="7">
        <v>46183</v>
      </c>
      <c r="D500" s="9" t="s">
        <v>261</v>
      </c>
      <c r="E500" s="8" t="s">
        <v>62</v>
      </c>
      <c r="F500" s="9" t="s">
        <v>242</v>
      </c>
      <c r="G500" s="9">
        <v>6</v>
      </c>
      <c r="H500" s="6" t="s">
        <v>2084</v>
      </c>
      <c r="I500" s="9" t="s">
        <v>616</v>
      </c>
      <c r="J500" s="9" t="s">
        <v>145</v>
      </c>
    </row>
    <row r="501" spans="1:10">
      <c r="A501" s="5" t="s">
        <v>2088</v>
      </c>
      <c r="B501" s="6" t="s">
        <v>2089</v>
      </c>
      <c r="C501" s="7">
        <v>46183</v>
      </c>
      <c r="D501" s="9" t="s">
        <v>500</v>
      </c>
      <c r="E501" s="8" t="s">
        <v>52</v>
      </c>
      <c r="F501" s="9" t="s">
        <v>242</v>
      </c>
      <c r="G501" s="9">
        <v>1</v>
      </c>
      <c r="H501" s="6" t="s">
        <v>2038</v>
      </c>
      <c r="I501" s="9" t="s">
        <v>388</v>
      </c>
      <c r="J501" s="9" t="s">
        <v>145</v>
      </c>
    </row>
    <row r="502" spans="1:10">
      <c r="A502" s="5" t="s">
        <v>2090</v>
      </c>
      <c r="B502" s="6" t="s">
        <v>2089</v>
      </c>
      <c r="C502" s="7">
        <v>46183</v>
      </c>
      <c r="D502" s="9" t="s">
        <v>261</v>
      </c>
      <c r="E502" s="8" t="s">
        <v>62</v>
      </c>
      <c r="F502" s="9" t="s">
        <v>242</v>
      </c>
      <c r="G502" s="9">
        <v>1</v>
      </c>
      <c r="H502" s="6" t="s">
        <v>2038</v>
      </c>
      <c r="I502" s="9" t="s">
        <v>388</v>
      </c>
      <c r="J502" s="9" t="s">
        <v>145</v>
      </c>
    </row>
    <row r="503" spans="1:10">
      <c r="A503" s="5" t="s">
        <v>2091</v>
      </c>
      <c r="B503" s="6" t="s">
        <v>2089</v>
      </c>
      <c r="C503" s="7">
        <v>46183</v>
      </c>
      <c r="D503" s="9" t="s">
        <v>261</v>
      </c>
      <c r="E503" s="8" t="s">
        <v>281</v>
      </c>
      <c r="F503" s="9" t="s">
        <v>242</v>
      </c>
      <c r="G503" s="9">
        <v>4</v>
      </c>
      <c r="H503" s="6" t="s">
        <v>2038</v>
      </c>
      <c r="I503" s="9" t="s">
        <v>388</v>
      </c>
      <c r="J503" s="9" t="s">
        <v>145</v>
      </c>
    </row>
    <row r="504" spans="1:10">
      <c r="A504" s="5" t="s">
        <v>2092</v>
      </c>
      <c r="B504" s="6" t="s">
        <v>2093</v>
      </c>
      <c r="C504" s="7">
        <v>46183</v>
      </c>
      <c r="D504" s="9" t="s">
        <v>500</v>
      </c>
      <c r="E504" s="8" t="s">
        <v>48</v>
      </c>
      <c r="F504" s="9" t="s">
        <v>242</v>
      </c>
      <c r="G504" s="9">
        <v>1</v>
      </c>
      <c r="H504" s="6" t="s">
        <v>2028</v>
      </c>
      <c r="I504" s="9" t="s">
        <v>253</v>
      </c>
      <c r="J504" s="9" t="s">
        <v>145</v>
      </c>
    </row>
    <row r="505" spans="1:10">
      <c r="A505" s="5" t="s">
        <v>2094</v>
      </c>
      <c r="B505" s="6" t="s">
        <v>2093</v>
      </c>
      <c r="C505" s="7">
        <v>46183</v>
      </c>
      <c r="D505" s="9" t="s">
        <v>261</v>
      </c>
      <c r="E505" s="4" t="s">
        <v>62</v>
      </c>
      <c r="F505" s="9" t="s">
        <v>242</v>
      </c>
      <c r="G505" s="9">
        <v>3</v>
      </c>
      <c r="H505" s="6" t="s">
        <v>2028</v>
      </c>
      <c r="I505" s="9" t="s">
        <v>253</v>
      </c>
      <c r="J505" s="9" t="s">
        <v>145</v>
      </c>
    </row>
    <row r="506" spans="1:10">
      <c r="A506" s="5" t="s">
        <v>2095</v>
      </c>
      <c r="B506" s="6" t="s">
        <v>2093</v>
      </c>
      <c r="C506" s="7">
        <v>46183</v>
      </c>
      <c r="D506" s="9" t="s">
        <v>270</v>
      </c>
      <c r="E506" s="8" t="s">
        <v>271</v>
      </c>
      <c r="F506" s="9" t="s">
        <v>242</v>
      </c>
      <c r="G506" s="9">
        <v>3</v>
      </c>
      <c r="H506" s="6" t="s">
        <v>2028</v>
      </c>
      <c r="I506" s="9" t="s">
        <v>253</v>
      </c>
      <c r="J506" s="9" t="s">
        <v>145</v>
      </c>
    </row>
    <row r="507" spans="1:10">
      <c r="A507" s="5" t="s">
        <v>2096</v>
      </c>
      <c r="B507" s="6" t="s">
        <v>2097</v>
      </c>
      <c r="C507" s="7">
        <v>46183</v>
      </c>
      <c r="D507" s="9" t="s">
        <v>500</v>
      </c>
      <c r="E507" s="8" t="s">
        <v>52</v>
      </c>
      <c r="F507" s="9" t="s">
        <v>242</v>
      </c>
      <c r="G507" s="9">
        <v>1</v>
      </c>
      <c r="H507" s="6" t="s">
        <v>2038</v>
      </c>
      <c r="I507" s="9" t="s">
        <v>976</v>
      </c>
      <c r="J507" s="9" t="s">
        <v>145</v>
      </c>
    </row>
    <row r="508" spans="1:10">
      <c r="A508" s="5" t="s">
        <v>2098</v>
      </c>
      <c r="B508" s="6" t="s">
        <v>2097</v>
      </c>
      <c r="C508" s="7">
        <v>46183</v>
      </c>
      <c r="D508" s="9" t="s">
        <v>261</v>
      </c>
      <c r="E508" s="8" t="s">
        <v>62</v>
      </c>
      <c r="F508" s="9" t="s">
        <v>242</v>
      </c>
      <c r="G508" s="9">
        <v>3</v>
      </c>
      <c r="H508" s="6" t="s">
        <v>2038</v>
      </c>
      <c r="I508" s="9" t="s">
        <v>976</v>
      </c>
      <c r="J508" s="9" t="s">
        <v>145</v>
      </c>
    </row>
    <row r="509" spans="1:10">
      <c r="A509" s="5" t="s">
        <v>2099</v>
      </c>
      <c r="B509" s="6" t="s">
        <v>2100</v>
      </c>
      <c r="C509" s="7">
        <v>46183</v>
      </c>
      <c r="D509" s="9" t="s">
        <v>261</v>
      </c>
      <c r="E509" s="8" t="s">
        <v>62</v>
      </c>
      <c r="F509" s="9" t="s">
        <v>242</v>
      </c>
      <c r="G509" s="9">
        <v>15</v>
      </c>
      <c r="H509" s="6" t="s">
        <v>722</v>
      </c>
      <c r="I509" s="9" t="s">
        <v>976</v>
      </c>
      <c r="J509" s="9" t="s">
        <v>145</v>
      </c>
    </row>
    <row r="510" spans="1:10">
      <c r="A510" s="5" t="s">
        <v>2101</v>
      </c>
      <c r="B510" s="6" t="s">
        <v>2102</v>
      </c>
      <c r="C510" s="7">
        <v>46183</v>
      </c>
      <c r="D510" s="9" t="s">
        <v>500</v>
      </c>
      <c r="E510" s="8" t="s">
        <v>51</v>
      </c>
      <c r="F510" s="9" t="s">
        <v>242</v>
      </c>
      <c r="G510" s="9">
        <v>1</v>
      </c>
      <c r="H510" s="6" t="s">
        <v>693</v>
      </c>
      <c r="I510" s="9" t="s">
        <v>357</v>
      </c>
      <c r="J510" s="9" t="s">
        <v>145</v>
      </c>
    </row>
    <row r="511" spans="1:10">
      <c r="A511" s="5" t="s">
        <v>2103</v>
      </c>
      <c r="B511" s="6" t="s">
        <v>2102</v>
      </c>
      <c r="C511" s="7">
        <v>46183</v>
      </c>
      <c r="D511" s="9" t="s">
        <v>261</v>
      </c>
      <c r="E511" s="8" t="s">
        <v>63</v>
      </c>
      <c r="F511" s="9" t="s">
        <v>242</v>
      </c>
      <c r="G511" s="9">
        <v>1</v>
      </c>
      <c r="H511" s="6" t="s">
        <v>693</v>
      </c>
      <c r="I511" s="9" t="s">
        <v>357</v>
      </c>
      <c r="J511" s="9" t="s">
        <v>145</v>
      </c>
    </row>
    <row r="512" spans="1:10">
      <c r="A512" s="5" t="s">
        <v>2104</v>
      </c>
      <c r="B512" s="6" t="s">
        <v>2102</v>
      </c>
      <c r="C512" s="7">
        <v>46183</v>
      </c>
      <c r="D512" s="9" t="s">
        <v>261</v>
      </c>
      <c r="E512" s="8" t="s">
        <v>62</v>
      </c>
      <c r="F512" s="9" t="s">
        <v>242</v>
      </c>
      <c r="G512" s="9">
        <v>1</v>
      </c>
      <c r="H512" s="6" t="s">
        <v>693</v>
      </c>
      <c r="I512" s="9" t="s">
        <v>357</v>
      </c>
      <c r="J512" s="9" t="s">
        <v>145</v>
      </c>
    </row>
    <row r="513" spans="1:10">
      <c r="A513" s="5" t="s">
        <v>2105</v>
      </c>
      <c r="B513" s="6" t="s">
        <v>2102</v>
      </c>
      <c r="C513" s="7">
        <v>46183</v>
      </c>
      <c r="D513" s="9" t="s">
        <v>261</v>
      </c>
      <c r="E513" s="8" t="s">
        <v>753</v>
      </c>
      <c r="F513" s="9" t="s">
        <v>242</v>
      </c>
      <c r="G513" s="9">
        <v>1</v>
      </c>
      <c r="H513" s="6" t="s">
        <v>693</v>
      </c>
      <c r="I513" s="9" t="s">
        <v>357</v>
      </c>
      <c r="J513" s="9" t="s">
        <v>145</v>
      </c>
    </row>
    <row r="514" spans="1:10">
      <c r="A514" s="5" t="s">
        <v>2106</v>
      </c>
      <c r="B514" s="6" t="s">
        <v>2102</v>
      </c>
      <c r="C514" s="7">
        <v>46183</v>
      </c>
      <c r="D514" s="9" t="s">
        <v>270</v>
      </c>
      <c r="E514" s="8" t="s">
        <v>271</v>
      </c>
      <c r="F514" s="9" t="s">
        <v>242</v>
      </c>
      <c r="G514" s="9">
        <v>1</v>
      </c>
      <c r="H514" s="6" t="s">
        <v>693</v>
      </c>
      <c r="I514" s="9" t="s">
        <v>357</v>
      </c>
      <c r="J514" s="9" t="s">
        <v>145</v>
      </c>
    </row>
    <row r="515" spans="1:10">
      <c r="A515" s="5" t="s">
        <v>2107</v>
      </c>
      <c r="B515" s="6" t="s">
        <v>2102</v>
      </c>
      <c r="C515" s="7">
        <v>46183</v>
      </c>
      <c r="D515" s="9" t="s">
        <v>270</v>
      </c>
      <c r="E515" s="8" t="s">
        <v>68</v>
      </c>
      <c r="F515" s="9" t="s">
        <v>242</v>
      </c>
      <c r="G515" s="9">
        <v>1</v>
      </c>
      <c r="H515" s="6" t="s">
        <v>693</v>
      </c>
      <c r="I515" s="9" t="s">
        <v>357</v>
      </c>
      <c r="J515" s="9" t="s">
        <v>145</v>
      </c>
    </row>
    <row r="516" spans="1:10">
      <c r="A516" s="5" t="s">
        <v>2108</v>
      </c>
      <c r="B516" s="6" t="s">
        <v>2109</v>
      </c>
      <c r="C516" s="7">
        <v>46183</v>
      </c>
      <c r="D516" s="9" t="s">
        <v>500</v>
      </c>
      <c r="E516" s="8" t="s">
        <v>53</v>
      </c>
      <c r="F516" s="9" t="s">
        <v>242</v>
      </c>
      <c r="G516" s="9">
        <v>1</v>
      </c>
      <c r="H516" s="6" t="s">
        <v>693</v>
      </c>
      <c r="I516" s="9" t="s">
        <v>258</v>
      </c>
      <c r="J516" s="9" t="s">
        <v>145</v>
      </c>
    </row>
    <row r="517" spans="1:10">
      <c r="A517" s="5" t="s">
        <v>2110</v>
      </c>
      <c r="B517" s="6" t="s">
        <v>2109</v>
      </c>
      <c r="C517" s="7">
        <v>46183</v>
      </c>
      <c r="D517" s="9" t="s">
        <v>270</v>
      </c>
      <c r="E517" s="8" t="s">
        <v>68</v>
      </c>
      <c r="F517" s="9" t="s">
        <v>242</v>
      </c>
      <c r="G517" s="9">
        <v>1</v>
      </c>
      <c r="H517" s="6" t="s">
        <v>693</v>
      </c>
      <c r="I517" s="9" t="s">
        <v>258</v>
      </c>
      <c r="J517" s="9" t="s">
        <v>145</v>
      </c>
    </row>
    <row r="518" spans="1:10">
      <c r="A518" s="5" t="s">
        <v>2111</v>
      </c>
      <c r="B518" s="6" t="s">
        <v>2109</v>
      </c>
      <c r="C518" s="7">
        <v>46183</v>
      </c>
      <c r="D518" s="9" t="s">
        <v>270</v>
      </c>
      <c r="E518" s="4" t="s">
        <v>271</v>
      </c>
      <c r="F518" s="9" t="s">
        <v>242</v>
      </c>
      <c r="G518" s="9">
        <v>1</v>
      </c>
      <c r="H518" s="6" t="s">
        <v>693</v>
      </c>
      <c r="I518" s="9" t="s">
        <v>258</v>
      </c>
      <c r="J518" s="9" t="s">
        <v>145</v>
      </c>
    </row>
    <row r="519" spans="1:10">
      <c r="A519" s="5" t="s">
        <v>2112</v>
      </c>
      <c r="B519" s="6" t="s">
        <v>2113</v>
      </c>
      <c r="C519" s="7">
        <v>46184</v>
      </c>
      <c r="D519" s="9" t="s">
        <v>500</v>
      </c>
      <c r="E519" s="8" t="s">
        <v>53</v>
      </c>
      <c r="F519" s="9" t="s">
        <v>242</v>
      </c>
      <c r="G519" s="9">
        <v>1</v>
      </c>
      <c r="H519" s="6" t="s">
        <v>1666</v>
      </c>
      <c r="I519" s="9" t="s">
        <v>628</v>
      </c>
      <c r="J519" s="9" t="s">
        <v>145</v>
      </c>
    </row>
    <row r="520" spans="1:10">
      <c r="A520" s="5" t="s">
        <v>2114</v>
      </c>
      <c r="B520" s="6" t="s">
        <v>2113</v>
      </c>
      <c r="C520" s="7">
        <v>46184</v>
      </c>
      <c r="D520" s="9" t="s">
        <v>261</v>
      </c>
      <c r="E520" s="8" t="s">
        <v>62</v>
      </c>
      <c r="F520" s="9" t="s">
        <v>242</v>
      </c>
      <c r="G520" s="9">
        <v>2</v>
      </c>
      <c r="H520" s="6" t="s">
        <v>1666</v>
      </c>
      <c r="I520" s="9" t="s">
        <v>628</v>
      </c>
      <c r="J520" s="9" t="s">
        <v>145</v>
      </c>
    </row>
    <row r="521" spans="1:10">
      <c r="A521" s="5" t="s">
        <v>2115</v>
      </c>
      <c r="B521" s="6" t="s">
        <v>2116</v>
      </c>
      <c r="C521" s="7">
        <v>46184</v>
      </c>
      <c r="D521" s="9" t="s">
        <v>696</v>
      </c>
      <c r="E521" s="8" t="s">
        <v>88</v>
      </c>
      <c r="F521" s="9" t="s">
        <v>242</v>
      </c>
      <c r="G521" s="9">
        <v>55</v>
      </c>
      <c r="H521" s="6" t="s">
        <v>2117</v>
      </c>
      <c r="I521" s="9" t="s">
        <v>258</v>
      </c>
      <c r="J521" s="9" t="s">
        <v>145</v>
      </c>
    </row>
    <row r="522" spans="1:10">
      <c r="A522" s="5" t="s">
        <v>2118</v>
      </c>
      <c r="B522" s="6" t="s">
        <v>2116</v>
      </c>
      <c r="C522" s="7">
        <v>46184</v>
      </c>
      <c r="D522" s="9" t="s">
        <v>261</v>
      </c>
      <c r="E522" s="8" t="s">
        <v>281</v>
      </c>
      <c r="F522" s="9" t="s">
        <v>242</v>
      </c>
      <c r="G522" s="9">
        <v>2</v>
      </c>
      <c r="H522" s="6" t="s">
        <v>2117</v>
      </c>
      <c r="I522" s="9" t="s">
        <v>258</v>
      </c>
      <c r="J522" s="9" t="s">
        <v>145</v>
      </c>
    </row>
    <row r="523" spans="1:10">
      <c r="A523" s="5" t="s">
        <v>2119</v>
      </c>
      <c r="B523" s="6" t="s">
        <v>2120</v>
      </c>
      <c r="C523" s="7">
        <v>46184</v>
      </c>
      <c r="D523" s="9" t="s">
        <v>696</v>
      </c>
      <c r="E523" s="8" t="s">
        <v>88</v>
      </c>
      <c r="F523" s="9" t="s">
        <v>242</v>
      </c>
      <c r="G523" s="9">
        <v>60</v>
      </c>
      <c r="H523" s="6" t="s">
        <v>2117</v>
      </c>
      <c r="I523" s="9" t="s">
        <v>258</v>
      </c>
      <c r="J523" s="9" t="s">
        <v>145</v>
      </c>
    </row>
    <row r="524" spans="1:10">
      <c r="A524" s="5" t="s">
        <v>2121</v>
      </c>
      <c r="B524" s="6" t="s">
        <v>2120</v>
      </c>
      <c r="C524" s="7">
        <v>46184</v>
      </c>
      <c r="D524" s="9" t="s">
        <v>261</v>
      </c>
      <c r="E524" s="8" t="s">
        <v>281</v>
      </c>
      <c r="F524" s="9" t="s">
        <v>242</v>
      </c>
      <c r="G524" s="9">
        <v>2</v>
      </c>
      <c r="H524" s="6" t="s">
        <v>2117</v>
      </c>
      <c r="I524" s="9" t="s">
        <v>258</v>
      </c>
      <c r="J524" s="9" t="s">
        <v>145</v>
      </c>
    </row>
    <row r="525" spans="1:10">
      <c r="A525" s="5" t="s">
        <v>2122</v>
      </c>
      <c r="B525" s="6" t="s">
        <v>2123</v>
      </c>
      <c r="C525" s="7">
        <v>46185</v>
      </c>
      <c r="D525" s="9" t="s">
        <v>261</v>
      </c>
      <c r="E525" s="8" t="s">
        <v>62</v>
      </c>
      <c r="F525" s="9" t="s">
        <v>242</v>
      </c>
      <c r="G525" s="9">
        <v>2</v>
      </c>
      <c r="H525" s="6" t="s">
        <v>1035</v>
      </c>
      <c r="I525" s="9" t="s">
        <v>609</v>
      </c>
      <c r="J525" s="9" t="s">
        <v>145</v>
      </c>
    </row>
    <row r="526" spans="1:10">
      <c r="A526" s="5" t="s">
        <v>2124</v>
      </c>
      <c r="B526" s="6" t="s">
        <v>2125</v>
      </c>
      <c r="C526" s="7">
        <v>46185</v>
      </c>
      <c r="D526" s="9" t="s">
        <v>261</v>
      </c>
      <c r="E526" s="8" t="s">
        <v>65</v>
      </c>
      <c r="F526" s="9" t="s">
        <v>242</v>
      </c>
      <c r="G526" s="9">
        <v>2</v>
      </c>
      <c r="H526" s="6" t="s">
        <v>2126</v>
      </c>
      <c r="I526" s="9" t="s">
        <v>415</v>
      </c>
      <c r="J526" s="9" t="s">
        <v>145</v>
      </c>
    </row>
    <row r="527" spans="1:10">
      <c r="A527" s="5" t="s">
        <v>2127</v>
      </c>
      <c r="B527" s="6" t="s">
        <v>2125</v>
      </c>
      <c r="C527" s="7">
        <v>46185</v>
      </c>
      <c r="D527" s="9" t="s">
        <v>261</v>
      </c>
      <c r="E527" s="8" t="s">
        <v>62</v>
      </c>
      <c r="F527" s="9" t="s">
        <v>242</v>
      </c>
      <c r="G527" s="9">
        <v>5</v>
      </c>
      <c r="H527" s="6" t="s">
        <v>2126</v>
      </c>
      <c r="I527" s="9" t="s">
        <v>415</v>
      </c>
      <c r="J527" s="9" t="s">
        <v>145</v>
      </c>
    </row>
    <row r="528" spans="1:10">
      <c r="A528" s="5" t="s">
        <v>2128</v>
      </c>
      <c r="B528" s="6" t="s">
        <v>2125</v>
      </c>
      <c r="C528" s="7">
        <v>46185</v>
      </c>
      <c r="D528" s="9" t="s">
        <v>270</v>
      </c>
      <c r="E528" s="8" t="s">
        <v>271</v>
      </c>
      <c r="F528" s="9" t="s">
        <v>242</v>
      </c>
      <c r="G528" s="9">
        <v>3</v>
      </c>
      <c r="H528" s="6" t="s">
        <v>2126</v>
      </c>
      <c r="I528" s="9" t="s">
        <v>415</v>
      </c>
      <c r="J528" s="9" t="s">
        <v>145</v>
      </c>
    </row>
    <row r="529" spans="1:10">
      <c r="A529" s="5" t="s">
        <v>2129</v>
      </c>
      <c r="B529" s="6" t="s">
        <v>2130</v>
      </c>
      <c r="C529" s="7">
        <v>46185</v>
      </c>
      <c r="D529" s="9" t="s">
        <v>261</v>
      </c>
      <c r="E529" s="8" t="s">
        <v>62</v>
      </c>
      <c r="F529" s="9" t="s">
        <v>242</v>
      </c>
      <c r="G529" s="9">
        <v>2</v>
      </c>
      <c r="H529" s="6" t="s">
        <v>722</v>
      </c>
      <c r="I529" s="9" t="s">
        <v>616</v>
      </c>
      <c r="J529" s="9" t="s">
        <v>145</v>
      </c>
    </row>
    <row r="530" spans="1:10">
      <c r="A530" s="5" t="s">
        <v>2131</v>
      </c>
      <c r="B530" s="6" t="s">
        <v>2132</v>
      </c>
      <c r="C530" s="7">
        <v>46185</v>
      </c>
      <c r="D530" s="9" t="s">
        <v>711</v>
      </c>
      <c r="E530" s="8" t="s">
        <v>111</v>
      </c>
      <c r="F530" s="9" t="s">
        <v>242</v>
      </c>
      <c r="G530" s="9">
        <v>1</v>
      </c>
      <c r="H530" s="6" t="s">
        <v>2133</v>
      </c>
      <c r="I530" s="9" t="s">
        <v>258</v>
      </c>
      <c r="J530" s="9" t="s">
        <v>145</v>
      </c>
    </row>
    <row r="531" spans="1:10">
      <c r="A531" s="5" t="s">
        <v>2134</v>
      </c>
      <c r="B531" s="6" t="s">
        <v>2132</v>
      </c>
      <c r="C531" s="7">
        <v>46185</v>
      </c>
      <c r="D531" s="9" t="s">
        <v>714</v>
      </c>
      <c r="E531" s="8" t="s">
        <v>151</v>
      </c>
      <c r="F531" s="9" t="s">
        <v>242</v>
      </c>
      <c r="G531" s="9">
        <v>1</v>
      </c>
      <c r="H531" s="6" t="s">
        <v>2133</v>
      </c>
      <c r="I531" s="9" t="s">
        <v>258</v>
      </c>
      <c r="J531" s="9" t="s">
        <v>145</v>
      </c>
    </row>
    <row r="532" spans="1:10">
      <c r="A532" s="5" t="s">
        <v>2135</v>
      </c>
      <c r="B532" s="6" t="s">
        <v>2132</v>
      </c>
      <c r="C532" s="7">
        <v>46185</v>
      </c>
      <c r="D532" s="9" t="s">
        <v>503</v>
      </c>
      <c r="E532" s="8" t="s">
        <v>1429</v>
      </c>
      <c r="F532" s="9" t="s">
        <v>242</v>
      </c>
      <c r="G532" s="9">
        <v>10</v>
      </c>
      <c r="H532" s="6" t="s">
        <v>2133</v>
      </c>
      <c r="I532" s="9" t="s">
        <v>258</v>
      </c>
      <c r="J532" s="9" t="s">
        <v>145</v>
      </c>
    </row>
    <row r="533" spans="1:10">
      <c r="A533" s="5" t="s">
        <v>2136</v>
      </c>
      <c r="B533" s="6" t="s">
        <v>2132</v>
      </c>
      <c r="C533" s="7">
        <v>46185</v>
      </c>
      <c r="D533" s="9" t="s">
        <v>503</v>
      </c>
      <c r="E533" s="8" t="s">
        <v>75</v>
      </c>
      <c r="F533" s="9" t="s">
        <v>242</v>
      </c>
      <c r="G533" s="9">
        <v>2</v>
      </c>
      <c r="H533" s="6" t="s">
        <v>2133</v>
      </c>
      <c r="I533" s="9" t="s">
        <v>258</v>
      </c>
      <c r="J533" s="9" t="s">
        <v>145</v>
      </c>
    </row>
    <row r="534" spans="1:10">
      <c r="A534" s="5" t="s">
        <v>2137</v>
      </c>
      <c r="B534" s="6" t="s">
        <v>2138</v>
      </c>
      <c r="C534" s="7">
        <v>46186</v>
      </c>
      <c r="D534" s="9" t="s">
        <v>500</v>
      </c>
      <c r="E534" s="4" t="s">
        <v>4</v>
      </c>
      <c r="F534" s="9" t="s">
        <v>242</v>
      </c>
      <c r="G534" s="9">
        <v>1</v>
      </c>
      <c r="H534" s="6" t="s">
        <v>866</v>
      </c>
      <c r="I534" s="9" t="s">
        <v>628</v>
      </c>
      <c r="J534" s="9" t="s">
        <v>145</v>
      </c>
    </row>
    <row r="535" spans="1:10">
      <c r="A535" s="5" t="s">
        <v>2139</v>
      </c>
      <c r="B535" s="6" t="s">
        <v>2138</v>
      </c>
      <c r="C535" s="7">
        <v>46186</v>
      </c>
      <c r="D535" s="9" t="s">
        <v>261</v>
      </c>
      <c r="E535" s="8" t="s">
        <v>63</v>
      </c>
      <c r="F535" s="9" t="s">
        <v>242</v>
      </c>
      <c r="G535" s="9">
        <v>3</v>
      </c>
      <c r="H535" s="6" t="s">
        <v>866</v>
      </c>
      <c r="I535" s="9" t="s">
        <v>628</v>
      </c>
      <c r="J535" s="9" t="s">
        <v>145</v>
      </c>
    </row>
    <row r="536" spans="1:10">
      <c r="A536" s="5" t="s">
        <v>2140</v>
      </c>
      <c r="B536" s="6" t="s">
        <v>2138</v>
      </c>
      <c r="C536" s="7">
        <v>46186</v>
      </c>
      <c r="D536" s="9" t="s">
        <v>270</v>
      </c>
      <c r="E536" s="8" t="s">
        <v>271</v>
      </c>
      <c r="F536" s="9" t="s">
        <v>242</v>
      </c>
      <c r="G536" s="9">
        <v>3</v>
      </c>
      <c r="H536" s="6" t="s">
        <v>866</v>
      </c>
      <c r="I536" s="9" t="s">
        <v>628</v>
      </c>
      <c r="J536" s="9" t="s">
        <v>145</v>
      </c>
    </row>
    <row r="537" spans="1:10">
      <c r="A537" s="5" t="s">
        <v>2141</v>
      </c>
      <c r="B537" s="6" t="s">
        <v>2142</v>
      </c>
      <c r="C537" s="7">
        <v>46188</v>
      </c>
      <c r="D537" s="9" t="s">
        <v>500</v>
      </c>
      <c r="E537" s="4" t="s">
        <v>52</v>
      </c>
      <c r="F537" s="9" t="s">
        <v>242</v>
      </c>
      <c r="G537" s="9">
        <v>1</v>
      </c>
      <c r="H537" s="6" t="s">
        <v>693</v>
      </c>
      <c r="I537" s="9" t="s">
        <v>415</v>
      </c>
      <c r="J537" s="9" t="s">
        <v>145</v>
      </c>
    </row>
    <row r="538" spans="1:10">
      <c r="A538" s="5" t="s">
        <v>2143</v>
      </c>
      <c r="B538" s="6" t="s">
        <v>2144</v>
      </c>
      <c r="C538" s="7">
        <v>46188</v>
      </c>
      <c r="D538" s="9" t="s">
        <v>500</v>
      </c>
      <c r="E538" s="8" t="s">
        <v>50</v>
      </c>
      <c r="F538" s="9" t="s">
        <v>242</v>
      </c>
      <c r="G538" s="9">
        <v>1</v>
      </c>
      <c r="H538" s="6" t="s">
        <v>1666</v>
      </c>
      <c r="I538" s="9" t="s">
        <v>628</v>
      </c>
      <c r="J538" s="9" t="s">
        <v>145</v>
      </c>
    </row>
    <row r="539" spans="1:10">
      <c r="A539" s="5" t="s">
        <v>2145</v>
      </c>
      <c r="B539" s="6" t="s">
        <v>2144</v>
      </c>
      <c r="C539" s="7">
        <v>46188</v>
      </c>
      <c r="D539" s="9" t="s">
        <v>261</v>
      </c>
      <c r="E539" s="8" t="s">
        <v>62</v>
      </c>
      <c r="F539" s="9" t="s">
        <v>242</v>
      </c>
      <c r="G539" s="9">
        <v>2</v>
      </c>
      <c r="H539" s="6" t="s">
        <v>1666</v>
      </c>
      <c r="I539" s="9" t="s">
        <v>628</v>
      </c>
      <c r="J539" s="9" t="s">
        <v>145</v>
      </c>
    </row>
    <row r="540" spans="1:10">
      <c r="A540" s="5" t="s">
        <v>2146</v>
      </c>
      <c r="B540" s="6" t="s">
        <v>2144</v>
      </c>
      <c r="C540" s="7">
        <v>46188</v>
      </c>
      <c r="D540" s="9" t="s">
        <v>270</v>
      </c>
      <c r="E540" s="4" t="s">
        <v>271</v>
      </c>
      <c r="F540" s="9" t="s">
        <v>242</v>
      </c>
      <c r="G540" s="9">
        <v>2</v>
      </c>
      <c r="H540" s="6" t="s">
        <v>1666</v>
      </c>
      <c r="I540" s="9" t="s">
        <v>628</v>
      </c>
      <c r="J540" s="9" t="s">
        <v>145</v>
      </c>
    </row>
    <row r="541" spans="1:10">
      <c r="A541" s="5" t="s">
        <v>2147</v>
      </c>
      <c r="B541" s="6" t="s">
        <v>2144</v>
      </c>
      <c r="C541" s="7">
        <v>46188</v>
      </c>
      <c r="D541" s="9" t="s">
        <v>500</v>
      </c>
      <c r="E541" s="8" t="s">
        <v>48</v>
      </c>
      <c r="F541" s="9" t="s">
        <v>242</v>
      </c>
      <c r="G541" s="9">
        <v>1</v>
      </c>
      <c r="H541" s="6" t="s">
        <v>2028</v>
      </c>
      <c r="I541" s="9" t="s">
        <v>628</v>
      </c>
      <c r="J541" s="9" t="s">
        <v>145</v>
      </c>
    </row>
    <row r="542" spans="1:10">
      <c r="A542" s="5" t="s">
        <v>2148</v>
      </c>
      <c r="B542" s="6" t="s">
        <v>2144</v>
      </c>
      <c r="C542" s="7">
        <v>46188</v>
      </c>
      <c r="D542" s="9" t="s">
        <v>261</v>
      </c>
      <c r="E542" s="8" t="s">
        <v>62</v>
      </c>
      <c r="F542" s="9" t="s">
        <v>242</v>
      </c>
      <c r="G542" s="9">
        <v>3</v>
      </c>
      <c r="H542" s="6" t="s">
        <v>2028</v>
      </c>
      <c r="I542" s="9" t="s">
        <v>628</v>
      </c>
      <c r="J542" s="9" t="s">
        <v>145</v>
      </c>
    </row>
    <row r="543" spans="1:10">
      <c r="A543" s="5" t="s">
        <v>2149</v>
      </c>
      <c r="B543" s="6" t="s">
        <v>2144</v>
      </c>
      <c r="C543" s="7">
        <v>46188</v>
      </c>
      <c r="D543" s="9" t="s">
        <v>270</v>
      </c>
      <c r="E543" s="8" t="s">
        <v>271</v>
      </c>
      <c r="F543" s="9" t="s">
        <v>242</v>
      </c>
      <c r="G543" s="9">
        <v>3</v>
      </c>
      <c r="H543" s="6" t="s">
        <v>2028</v>
      </c>
      <c r="I543" s="9" t="s">
        <v>628</v>
      </c>
      <c r="J543" s="9" t="s">
        <v>145</v>
      </c>
    </row>
    <row r="544" spans="1:10">
      <c r="A544" s="5" t="s">
        <v>2150</v>
      </c>
      <c r="B544" s="6" t="s">
        <v>1916</v>
      </c>
      <c r="C544" s="7">
        <v>46188</v>
      </c>
      <c r="D544" s="9" t="s">
        <v>500</v>
      </c>
      <c r="E544" s="8" t="s">
        <v>52</v>
      </c>
      <c r="F544" s="9" t="s">
        <v>242</v>
      </c>
      <c r="G544" s="9">
        <v>1</v>
      </c>
      <c r="H544" s="6" t="s">
        <v>1666</v>
      </c>
      <c r="I544" s="9" t="s">
        <v>258</v>
      </c>
      <c r="J544" s="9" t="s">
        <v>145</v>
      </c>
    </row>
    <row r="545" spans="1:10">
      <c r="A545" s="5" t="s">
        <v>2151</v>
      </c>
      <c r="B545" s="6" t="s">
        <v>2152</v>
      </c>
      <c r="C545" s="7">
        <v>46188</v>
      </c>
      <c r="D545" s="9" t="s">
        <v>500</v>
      </c>
      <c r="E545" s="8" t="s">
        <v>4</v>
      </c>
      <c r="F545" s="9" t="s">
        <v>242</v>
      </c>
      <c r="G545" s="9">
        <v>1</v>
      </c>
      <c r="H545" s="6" t="s">
        <v>866</v>
      </c>
      <c r="I545" s="9" t="s">
        <v>605</v>
      </c>
      <c r="J545" s="9" t="s">
        <v>145</v>
      </c>
    </row>
    <row r="546" spans="1:10">
      <c r="A546" s="5" t="s">
        <v>2153</v>
      </c>
      <c r="B546" s="6" t="s">
        <v>2152</v>
      </c>
      <c r="C546" s="7">
        <v>46188</v>
      </c>
      <c r="D546" s="9" t="s">
        <v>261</v>
      </c>
      <c r="E546" s="4" t="s">
        <v>62</v>
      </c>
      <c r="F546" s="9" t="s">
        <v>242</v>
      </c>
      <c r="G546" s="9">
        <v>3</v>
      </c>
      <c r="H546" s="6" t="s">
        <v>866</v>
      </c>
      <c r="I546" s="9" t="s">
        <v>605</v>
      </c>
      <c r="J546" s="9" t="s">
        <v>145</v>
      </c>
    </row>
    <row r="547" spans="1:10">
      <c r="A547" s="5" t="s">
        <v>2154</v>
      </c>
      <c r="B547" s="6" t="s">
        <v>2152</v>
      </c>
      <c r="C547" s="7">
        <v>46188</v>
      </c>
      <c r="D547" s="9" t="s">
        <v>270</v>
      </c>
      <c r="E547" s="8" t="s">
        <v>271</v>
      </c>
      <c r="F547" s="9" t="s">
        <v>242</v>
      </c>
      <c r="G547" s="9">
        <v>3</v>
      </c>
      <c r="H547" s="6" t="s">
        <v>866</v>
      </c>
      <c r="I547" s="9" t="s">
        <v>605</v>
      </c>
      <c r="J547" s="9" t="s">
        <v>145</v>
      </c>
    </row>
    <row r="548" spans="1:10">
      <c r="A548" s="5" t="s">
        <v>2155</v>
      </c>
      <c r="B548" s="6" t="s">
        <v>2152</v>
      </c>
      <c r="C548" s="7">
        <v>46188</v>
      </c>
      <c r="D548" s="9" t="s">
        <v>500</v>
      </c>
      <c r="E548" s="8" t="s">
        <v>48</v>
      </c>
      <c r="F548" s="9" t="s">
        <v>242</v>
      </c>
      <c r="G548" s="9">
        <v>1</v>
      </c>
      <c r="H548" s="6" t="s">
        <v>2156</v>
      </c>
      <c r="I548" s="9" t="s">
        <v>605</v>
      </c>
      <c r="J548" s="9" t="s">
        <v>145</v>
      </c>
    </row>
    <row r="549" spans="1:10">
      <c r="A549" s="5" t="s">
        <v>2157</v>
      </c>
      <c r="B549" s="6" t="s">
        <v>2152</v>
      </c>
      <c r="C549" s="7">
        <v>46188</v>
      </c>
      <c r="D549" s="9" t="s">
        <v>261</v>
      </c>
      <c r="E549" s="8" t="s">
        <v>62</v>
      </c>
      <c r="F549" s="9" t="s">
        <v>242</v>
      </c>
      <c r="G549" s="9">
        <v>3</v>
      </c>
      <c r="H549" s="6" t="s">
        <v>2156</v>
      </c>
      <c r="I549" s="9" t="s">
        <v>605</v>
      </c>
      <c r="J549" s="9" t="s">
        <v>145</v>
      </c>
    </row>
    <row r="550" spans="1:10">
      <c r="A550" s="5" t="s">
        <v>2158</v>
      </c>
      <c r="B550" s="6" t="s">
        <v>2152</v>
      </c>
      <c r="C550" s="7">
        <v>46188</v>
      </c>
      <c r="D550" s="9" t="s">
        <v>270</v>
      </c>
      <c r="E550" s="8" t="s">
        <v>271</v>
      </c>
      <c r="F550" s="9" t="s">
        <v>242</v>
      </c>
      <c r="G550" s="9">
        <v>3</v>
      </c>
      <c r="H550" s="6" t="s">
        <v>2156</v>
      </c>
      <c r="I550" s="9" t="s">
        <v>605</v>
      </c>
      <c r="J550" s="9" t="s">
        <v>145</v>
      </c>
    </row>
    <row r="551" spans="1:10">
      <c r="A551" s="5" t="s">
        <v>2159</v>
      </c>
      <c r="B551" s="6" t="s">
        <v>2160</v>
      </c>
      <c r="C551" s="7">
        <v>46188</v>
      </c>
      <c r="D551" s="9" t="s">
        <v>500</v>
      </c>
      <c r="E551" s="8" t="s">
        <v>46</v>
      </c>
      <c r="F551" s="9" t="s">
        <v>242</v>
      </c>
      <c r="G551" s="9">
        <v>1</v>
      </c>
      <c r="H551" s="6" t="s">
        <v>742</v>
      </c>
      <c r="I551" s="9" t="s">
        <v>605</v>
      </c>
      <c r="J551" s="9" t="s">
        <v>145</v>
      </c>
    </row>
    <row r="552" spans="1:10">
      <c r="A552" s="5" t="s">
        <v>2161</v>
      </c>
      <c r="B552" s="6" t="s">
        <v>2160</v>
      </c>
      <c r="C552" s="7">
        <v>46188</v>
      </c>
      <c r="D552" s="9" t="s">
        <v>261</v>
      </c>
      <c r="E552" s="8" t="s">
        <v>62</v>
      </c>
      <c r="F552" s="9" t="s">
        <v>242</v>
      </c>
      <c r="G552" s="9">
        <v>4</v>
      </c>
      <c r="H552" s="6" t="s">
        <v>742</v>
      </c>
      <c r="I552" s="9" t="s">
        <v>605</v>
      </c>
      <c r="J552" s="9" t="s">
        <v>145</v>
      </c>
    </row>
    <row r="553" spans="1:10">
      <c r="A553" s="5" t="s">
        <v>2162</v>
      </c>
      <c r="B553" s="6" t="s">
        <v>2160</v>
      </c>
      <c r="C553" s="7">
        <v>46188</v>
      </c>
      <c r="D553" s="9" t="s">
        <v>270</v>
      </c>
      <c r="E553" s="8" t="s">
        <v>271</v>
      </c>
      <c r="F553" s="9" t="s">
        <v>242</v>
      </c>
      <c r="G553" s="9">
        <v>4</v>
      </c>
      <c r="H553" s="6" t="s">
        <v>742</v>
      </c>
      <c r="I553" s="9" t="s">
        <v>605</v>
      </c>
      <c r="J553" s="9" t="s">
        <v>145</v>
      </c>
    </row>
    <row r="554" spans="1:10">
      <c r="A554" s="5" t="s">
        <v>2163</v>
      </c>
      <c r="B554" s="6" t="s">
        <v>2164</v>
      </c>
      <c r="C554" s="7">
        <v>46188</v>
      </c>
      <c r="D554" s="9" t="s">
        <v>261</v>
      </c>
      <c r="E554" s="8" t="s">
        <v>62</v>
      </c>
      <c r="F554" s="9" t="s">
        <v>242</v>
      </c>
      <c r="G554" s="9">
        <v>3</v>
      </c>
      <c r="H554" s="6" t="s">
        <v>722</v>
      </c>
      <c r="I554" s="9" t="s">
        <v>1546</v>
      </c>
      <c r="J554" s="9" t="s">
        <v>145</v>
      </c>
    </row>
    <row r="555" spans="1:10">
      <c r="A555" s="5" t="s">
        <v>2165</v>
      </c>
      <c r="B555" s="6" t="s">
        <v>2164</v>
      </c>
      <c r="C555" s="7">
        <v>46188</v>
      </c>
      <c r="D555" s="9" t="s">
        <v>261</v>
      </c>
      <c r="E555" s="8" t="s">
        <v>281</v>
      </c>
      <c r="F555" s="9" t="s">
        <v>242</v>
      </c>
      <c r="G555" s="9">
        <v>5</v>
      </c>
      <c r="H555" s="6" t="s">
        <v>722</v>
      </c>
      <c r="I555" s="9" t="s">
        <v>1546</v>
      </c>
      <c r="J555" s="9" t="s">
        <v>145</v>
      </c>
    </row>
    <row r="556" spans="1:10">
      <c r="A556" s="5" t="s">
        <v>2166</v>
      </c>
      <c r="B556" s="6" t="s">
        <v>2167</v>
      </c>
      <c r="C556" s="7">
        <v>46189</v>
      </c>
      <c r="D556" s="9" t="s">
        <v>500</v>
      </c>
      <c r="E556" s="8" t="s">
        <v>54</v>
      </c>
      <c r="F556" s="9" t="s">
        <v>242</v>
      </c>
      <c r="G556" s="9">
        <v>1</v>
      </c>
      <c r="H556" s="6" t="s">
        <v>1706</v>
      </c>
      <c r="I556" s="9" t="s">
        <v>363</v>
      </c>
      <c r="J556" s="9" t="s">
        <v>145</v>
      </c>
    </row>
    <row r="557" spans="1:10">
      <c r="A557" s="5" t="s">
        <v>2168</v>
      </c>
      <c r="B557" s="6" t="s">
        <v>2167</v>
      </c>
      <c r="C557" s="7">
        <v>46189</v>
      </c>
      <c r="D557" s="9" t="s">
        <v>261</v>
      </c>
      <c r="E557" s="8" t="s">
        <v>62</v>
      </c>
      <c r="F557" s="9" t="s">
        <v>242</v>
      </c>
      <c r="G557" s="9">
        <v>3</v>
      </c>
      <c r="H557" s="6" t="s">
        <v>1706</v>
      </c>
      <c r="I557" s="9" t="s">
        <v>363</v>
      </c>
      <c r="J557" s="9" t="s">
        <v>145</v>
      </c>
    </row>
    <row r="558" spans="1:10">
      <c r="A558" s="5" t="s">
        <v>2169</v>
      </c>
      <c r="B558" s="6" t="s">
        <v>2170</v>
      </c>
      <c r="C558" s="7">
        <v>46189</v>
      </c>
      <c r="D558" s="9" t="s">
        <v>500</v>
      </c>
      <c r="E558" s="8" t="s">
        <v>50</v>
      </c>
      <c r="F558" s="9" t="s">
        <v>242</v>
      </c>
      <c r="G558" s="9">
        <v>1</v>
      </c>
      <c r="H558" s="6" t="s">
        <v>693</v>
      </c>
      <c r="I558" s="9" t="s">
        <v>266</v>
      </c>
      <c r="J558" s="9" t="s">
        <v>145</v>
      </c>
    </row>
    <row r="559" spans="1:10">
      <c r="A559" s="5" t="s">
        <v>2171</v>
      </c>
      <c r="B559" s="6" t="s">
        <v>2172</v>
      </c>
      <c r="C559" s="7">
        <v>46189</v>
      </c>
      <c r="D559" s="9" t="s">
        <v>261</v>
      </c>
      <c r="E559" s="8" t="s">
        <v>62</v>
      </c>
      <c r="F559" s="9" t="s">
        <v>242</v>
      </c>
      <c r="G559" s="9">
        <v>3</v>
      </c>
      <c r="H559" s="6" t="s">
        <v>1035</v>
      </c>
      <c r="I559" s="9" t="s">
        <v>616</v>
      </c>
      <c r="J559" s="9" t="s">
        <v>145</v>
      </c>
    </row>
    <row r="560" spans="1:10">
      <c r="A560" s="5" t="s">
        <v>2173</v>
      </c>
      <c r="B560" s="6" t="s">
        <v>2174</v>
      </c>
      <c r="C560" s="7">
        <v>46190</v>
      </c>
      <c r="D560" s="9" t="s">
        <v>500</v>
      </c>
      <c r="E560" s="4" t="s">
        <v>53</v>
      </c>
      <c r="F560" s="9" t="s">
        <v>242</v>
      </c>
      <c r="G560" s="9">
        <v>1</v>
      </c>
      <c r="H560" s="6" t="s">
        <v>2175</v>
      </c>
      <c r="I560" s="9" t="s">
        <v>363</v>
      </c>
      <c r="J560" s="9" t="s">
        <v>145</v>
      </c>
    </row>
    <row r="561" spans="1:10">
      <c r="A561" s="5" t="s">
        <v>2176</v>
      </c>
      <c r="B561" s="6" t="s">
        <v>2174</v>
      </c>
      <c r="C561" s="7">
        <v>46190</v>
      </c>
      <c r="D561" s="9" t="s">
        <v>500</v>
      </c>
      <c r="E561" s="8" t="s">
        <v>54</v>
      </c>
      <c r="F561" s="9" t="s">
        <v>242</v>
      </c>
      <c r="G561" s="9">
        <v>1</v>
      </c>
      <c r="H561" s="6" t="s">
        <v>2175</v>
      </c>
      <c r="I561" s="9" t="s">
        <v>363</v>
      </c>
      <c r="J561" s="9" t="s">
        <v>145</v>
      </c>
    </row>
    <row r="562" spans="1:10">
      <c r="A562" s="5" t="s">
        <v>2177</v>
      </c>
      <c r="B562" s="6" t="s">
        <v>2174</v>
      </c>
      <c r="C562" s="7">
        <v>46190</v>
      </c>
      <c r="D562" s="9" t="s">
        <v>261</v>
      </c>
      <c r="E562" s="8" t="s">
        <v>63</v>
      </c>
      <c r="F562" s="9" t="s">
        <v>242</v>
      </c>
      <c r="G562" s="9">
        <v>3</v>
      </c>
      <c r="H562" s="6" t="s">
        <v>2175</v>
      </c>
      <c r="I562" s="9" t="s">
        <v>363</v>
      </c>
      <c r="J562" s="9" t="s">
        <v>145</v>
      </c>
    </row>
    <row r="563" spans="1:10">
      <c r="A563" s="5" t="s">
        <v>2178</v>
      </c>
      <c r="B563" s="6" t="s">
        <v>2174</v>
      </c>
      <c r="C563" s="7">
        <v>46190</v>
      </c>
      <c r="D563" s="9" t="s">
        <v>261</v>
      </c>
      <c r="E563" s="8" t="s">
        <v>62</v>
      </c>
      <c r="F563" s="9" t="s">
        <v>242</v>
      </c>
      <c r="G563" s="9">
        <v>5</v>
      </c>
      <c r="H563" s="6" t="s">
        <v>2175</v>
      </c>
      <c r="I563" s="9" t="s">
        <v>363</v>
      </c>
      <c r="J563" s="9" t="s">
        <v>145</v>
      </c>
    </row>
    <row r="564" spans="1:10">
      <c r="A564" s="5" t="s">
        <v>2179</v>
      </c>
      <c r="B564" s="6" t="s">
        <v>2174</v>
      </c>
      <c r="C564" s="7">
        <v>46190</v>
      </c>
      <c r="D564" s="9" t="s">
        <v>270</v>
      </c>
      <c r="E564" s="8" t="s">
        <v>271</v>
      </c>
      <c r="F564" s="9" t="s">
        <v>242</v>
      </c>
      <c r="G564" s="9">
        <v>3</v>
      </c>
      <c r="H564" s="6" t="s">
        <v>2175</v>
      </c>
      <c r="I564" s="9" t="s">
        <v>363</v>
      </c>
      <c r="J564" s="9" t="s">
        <v>145</v>
      </c>
    </row>
    <row r="565" spans="1:10">
      <c r="A565" s="5" t="s">
        <v>2180</v>
      </c>
      <c r="B565" s="6" t="s">
        <v>2181</v>
      </c>
      <c r="C565" s="7">
        <v>46190</v>
      </c>
      <c r="D565" s="9" t="s">
        <v>261</v>
      </c>
      <c r="E565" s="8" t="s">
        <v>62</v>
      </c>
      <c r="F565" s="9" t="s">
        <v>242</v>
      </c>
      <c r="G565" s="9">
        <v>3</v>
      </c>
      <c r="H565" s="6" t="s">
        <v>722</v>
      </c>
      <c r="I565" s="9" t="s">
        <v>616</v>
      </c>
      <c r="J565" s="9" t="s">
        <v>145</v>
      </c>
    </row>
    <row r="566" spans="1:10">
      <c r="A566" s="5" t="s">
        <v>2182</v>
      </c>
      <c r="B566" s="6" t="s">
        <v>2183</v>
      </c>
      <c r="C566" s="7">
        <v>46191</v>
      </c>
      <c r="D566" s="9" t="s">
        <v>500</v>
      </c>
      <c r="E566" s="8" t="s">
        <v>54</v>
      </c>
      <c r="F566" s="9" t="s">
        <v>242</v>
      </c>
      <c r="G566" s="9">
        <v>1</v>
      </c>
      <c r="H566" s="6" t="s">
        <v>759</v>
      </c>
      <c r="I566" s="9" t="s">
        <v>284</v>
      </c>
      <c r="J566" s="9" t="s">
        <v>145</v>
      </c>
    </row>
    <row r="567" spans="1:10">
      <c r="A567" s="5" t="s">
        <v>2184</v>
      </c>
      <c r="B567" s="6" t="s">
        <v>2183</v>
      </c>
      <c r="C567" s="7">
        <v>46191</v>
      </c>
      <c r="D567" s="9" t="s">
        <v>261</v>
      </c>
      <c r="E567" s="4" t="s">
        <v>62</v>
      </c>
      <c r="F567" s="9" t="s">
        <v>242</v>
      </c>
      <c r="G567" s="9">
        <v>3</v>
      </c>
      <c r="H567" s="6" t="s">
        <v>759</v>
      </c>
      <c r="I567" s="9" t="s">
        <v>284</v>
      </c>
      <c r="J567" s="9" t="s">
        <v>145</v>
      </c>
    </row>
    <row r="568" spans="1:10">
      <c r="A568" s="5" t="s">
        <v>2185</v>
      </c>
      <c r="B568" s="6" t="s">
        <v>2186</v>
      </c>
      <c r="C568" s="7">
        <v>46191</v>
      </c>
      <c r="D568" s="9" t="s">
        <v>500</v>
      </c>
      <c r="E568" s="4" t="s">
        <v>48</v>
      </c>
      <c r="F568" s="9" t="s">
        <v>242</v>
      </c>
      <c r="G568" s="9">
        <v>1</v>
      </c>
      <c r="H568" s="6" t="s">
        <v>2028</v>
      </c>
      <c r="I568" s="9" t="s">
        <v>628</v>
      </c>
      <c r="J568" s="9" t="s">
        <v>145</v>
      </c>
    </row>
    <row r="569" spans="1:10">
      <c r="A569" s="5" t="s">
        <v>2187</v>
      </c>
      <c r="B569" s="6" t="s">
        <v>2186</v>
      </c>
      <c r="C569" s="7">
        <v>46191</v>
      </c>
      <c r="D569" s="9" t="s">
        <v>261</v>
      </c>
      <c r="E569" s="8" t="s">
        <v>63</v>
      </c>
      <c r="F569" s="9" t="s">
        <v>242</v>
      </c>
      <c r="G569" s="9">
        <v>3</v>
      </c>
      <c r="H569" s="6" t="s">
        <v>2028</v>
      </c>
      <c r="I569" s="9" t="s">
        <v>628</v>
      </c>
      <c r="J569" s="9" t="s">
        <v>145</v>
      </c>
    </row>
    <row r="570" spans="1:10">
      <c r="A570" s="5" t="s">
        <v>2188</v>
      </c>
      <c r="B570" s="6" t="s">
        <v>2186</v>
      </c>
      <c r="C570" s="7">
        <v>46191</v>
      </c>
      <c r="D570" s="9" t="s">
        <v>261</v>
      </c>
      <c r="E570" s="8" t="s">
        <v>62</v>
      </c>
      <c r="F570" s="9" t="s">
        <v>242</v>
      </c>
      <c r="G570" s="9">
        <v>2</v>
      </c>
      <c r="H570" s="6" t="s">
        <v>2028</v>
      </c>
      <c r="I570" s="9" t="s">
        <v>628</v>
      </c>
      <c r="J570" s="9" t="s">
        <v>145</v>
      </c>
    </row>
    <row r="571" spans="1:10">
      <c r="A571" s="5" t="s">
        <v>2189</v>
      </c>
      <c r="B571" s="6" t="s">
        <v>2186</v>
      </c>
      <c r="C571" s="7">
        <v>46191</v>
      </c>
      <c r="D571" s="9" t="s">
        <v>270</v>
      </c>
      <c r="E571" s="8" t="s">
        <v>68</v>
      </c>
      <c r="F571" s="9" t="s">
        <v>242</v>
      </c>
      <c r="G571" s="9">
        <v>3</v>
      </c>
      <c r="H571" s="6" t="s">
        <v>2028</v>
      </c>
      <c r="I571" s="9" t="s">
        <v>628</v>
      </c>
      <c r="J571" s="9" t="s">
        <v>145</v>
      </c>
    </row>
    <row r="572" spans="1:10">
      <c r="A572" s="5" t="s">
        <v>2190</v>
      </c>
      <c r="B572" s="6" t="s">
        <v>2191</v>
      </c>
      <c r="C572" s="7">
        <v>46191</v>
      </c>
      <c r="D572" s="9" t="s">
        <v>261</v>
      </c>
      <c r="E572" s="4" t="s">
        <v>62</v>
      </c>
      <c r="F572" s="9" t="s">
        <v>242</v>
      </c>
      <c r="G572" s="9">
        <v>4</v>
      </c>
      <c r="H572" s="6" t="s">
        <v>2192</v>
      </c>
      <c r="I572" s="9" t="s">
        <v>258</v>
      </c>
      <c r="J572" s="9" t="s">
        <v>145</v>
      </c>
    </row>
    <row r="573" spans="1:10">
      <c r="A573" s="5" t="s">
        <v>2193</v>
      </c>
      <c r="B573" s="6" t="s">
        <v>2194</v>
      </c>
      <c r="C573" s="7">
        <v>46192</v>
      </c>
      <c r="D573" s="9" t="s">
        <v>500</v>
      </c>
      <c r="E573" s="8" t="s">
        <v>53</v>
      </c>
      <c r="F573" s="9" t="s">
        <v>242</v>
      </c>
      <c r="G573" s="9">
        <v>1</v>
      </c>
      <c r="H573" s="6" t="s">
        <v>693</v>
      </c>
      <c r="I573" s="9" t="s">
        <v>609</v>
      </c>
      <c r="J573" s="9" t="s">
        <v>145</v>
      </c>
    </row>
    <row r="574" spans="1:10">
      <c r="A574" s="5" t="s">
        <v>2195</v>
      </c>
      <c r="B574" s="6" t="s">
        <v>2194</v>
      </c>
      <c r="C574" s="7">
        <v>46192</v>
      </c>
      <c r="D574" s="9" t="s">
        <v>261</v>
      </c>
      <c r="E574" s="8" t="s">
        <v>63</v>
      </c>
      <c r="F574" s="9" t="s">
        <v>242</v>
      </c>
      <c r="G574" s="9">
        <v>1</v>
      </c>
      <c r="H574" s="6" t="s">
        <v>693</v>
      </c>
      <c r="I574" s="9" t="s">
        <v>609</v>
      </c>
      <c r="J574" s="9" t="s">
        <v>145</v>
      </c>
    </row>
    <row r="575" spans="1:10">
      <c r="A575" s="5" t="s">
        <v>2196</v>
      </c>
      <c r="B575" s="6" t="s">
        <v>2194</v>
      </c>
      <c r="C575" s="7">
        <v>46192</v>
      </c>
      <c r="D575" s="9" t="s">
        <v>270</v>
      </c>
      <c r="E575" s="8" t="s">
        <v>271</v>
      </c>
      <c r="F575" s="9" t="s">
        <v>242</v>
      </c>
      <c r="G575" s="9">
        <v>1</v>
      </c>
      <c r="H575" s="6" t="s">
        <v>693</v>
      </c>
      <c r="I575" s="9" t="s">
        <v>609</v>
      </c>
      <c r="J575" s="9" t="s">
        <v>145</v>
      </c>
    </row>
    <row r="576" spans="1:10">
      <c r="A576" s="5" t="s">
        <v>2197</v>
      </c>
      <c r="B576" s="6" t="s">
        <v>2198</v>
      </c>
      <c r="C576" s="7">
        <v>46194</v>
      </c>
      <c r="D576" s="9" t="s">
        <v>261</v>
      </c>
      <c r="E576" s="4" t="s">
        <v>65</v>
      </c>
      <c r="F576" s="9" t="s">
        <v>242</v>
      </c>
      <c r="G576" s="9">
        <v>1</v>
      </c>
      <c r="H576" s="6" t="s">
        <v>2199</v>
      </c>
      <c r="I576" s="9" t="s">
        <v>415</v>
      </c>
      <c r="J576" s="9" t="s">
        <v>145</v>
      </c>
    </row>
    <row r="577" spans="1:10">
      <c r="A577" s="5" t="s">
        <v>2200</v>
      </c>
      <c r="B577" s="6" t="s">
        <v>2198</v>
      </c>
      <c r="C577" s="7">
        <v>46194</v>
      </c>
      <c r="D577" s="9" t="s">
        <v>270</v>
      </c>
      <c r="E577" s="8" t="s">
        <v>271</v>
      </c>
      <c r="F577" s="9" t="s">
        <v>242</v>
      </c>
      <c r="G577" s="9">
        <v>2</v>
      </c>
      <c r="H577" s="6" t="s">
        <v>2199</v>
      </c>
      <c r="I577" s="9" t="s">
        <v>415</v>
      </c>
      <c r="J577" s="9" t="s">
        <v>145</v>
      </c>
    </row>
    <row r="578" spans="1:10">
      <c r="A578" s="5" t="s">
        <v>2201</v>
      </c>
      <c r="B578" s="6" t="s">
        <v>2202</v>
      </c>
      <c r="C578" s="7">
        <v>46195</v>
      </c>
      <c r="D578" s="9" t="s">
        <v>500</v>
      </c>
      <c r="E578" s="4" t="s">
        <v>46</v>
      </c>
      <c r="F578" s="9" t="s">
        <v>242</v>
      </c>
      <c r="G578" s="9">
        <v>1</v>
      </c>
      <c r="H578" s="6" t="s">
        <v>742</v>
      </c>
      <c r="I578" s="9" t="s">
        <v>258</v>
      </c>
      <c r="J578" s="9" t="s">
        <v>145</v>
      </c>
    </row>
    <row r="579" spans="1:10">
      <c r="A579" s="5" t="s">
        <v>2203</v>
      </c>
      <c r="B579" s="6" t="s">
        <v>2202</v>
      </c>
      <c r="C579" s="7">
        <v>46195</v>
      </c>
      <c r="D579" s="9" t="s">
        <v>261</v>
      </c>
      <c r="E579" s="8" t="s">
        <v>63</v>
      </c>
      <c r="F579" s="9" t="s">
        <v>242</v>
      </c>
      <c r="G579" s="9">
        <v>2</v>
      </c>
      <c r="H579" s="6" t="s">
        <v>742</v>
      </c>
      <c r="I579" s="9" t="s">
        <v>258</v>
      </c>
      <c r="J579" s="9" t="s">
        <v>145</v>
      </c>
    </row>
    <row r="580" spans="1:10">
      <c r="A580" s="5" t="s">
        <v>2204</v>
      </c>
      <c r="B580" s="6" t="s">
        <v>2202</v>
      </c>
      <c r="C580" s="7">
        <v>46195</v>
      </c>
      <c r="D580" s="9" t="s">
        <v>270</v>
      </c>
      <c r="E580" s="4" t="s">
        <v>271</v>
      </c>
      <c r="F580" s="9" t="s">
        <v>242</v>
      </c>
      <c r="G580" s="9">
        <v>2</v>
      </c>
      <c r="H580" s="6" t="s">
        <v>742</v>
      </c>
      <c r="I580" s="9" t="s">
        <v>258</v>
      </c>
      <c r="J580" s="9" t="s">
        <v>145</v>
      </c>
    </row>
    <row r="581" spans="1:10">
      <c r="A581" s="5" t="s">
        <v>2205</v>
      </c>
      <c r="B581" s="6" t="s">
        <v>2202</v>
      </c>
      <c r="C581" s="7">
        <v>46195</v>
      </c>
      <c r="D581" s="9" t="s">
        <v>270</v>
      </c>
      <c r="E581" s="8" t="s">
        <v>68</v>
      </c>
      <c r="F581" s="9" t="s">
        <v>242</v>
      </c>
      <c r="G581" s="9">
        <v>2</v>
      </c>
      <c r="H581" s="6" t="s">
        <v>742</v>
      </c>
      <c r="I581" s="9" t="s">
        <v>258</v>
      </c>
      <c r="J581" s="9" t="s">
        <v>145</v>
      </c>
    </row>
    <row r="582" spans="1:10">
      <c r="A582" s="5" t="s">
        <v>2206</v>
      </c>
      <c r="B582" s="6" t="s">
        <v>2207</v>
      </c>
      <c r="C582" s="7">
        <v>46195</v>
      </c>
      <c r="D582" s="9" t="s">
        <v>261</v>
      </c>
      <c r="E582" s="8" t="s">
        <v>62</v>
      </c>
      <c r="F582" s="9" t="s">
        <v>242</v>
      </c>
      <c r="G582" s="9">
        <v>13</v>
      </c>
      <c r="H582" s="6" t="s">
        <v>722</v>
      </c>
      <c r="I582" s="9" t="s">
        <v>258</v>
      </c>
      <c r="J582" s="9" t="s">
        <v>145</v>
      </c>
    </row>
    <row r="583" spans="1:10">
      <c r="A583" s="5" t="s">
        <v>2208</v>
      </c>
      <c r="B583" s="6" t="s">
        <v>2152</v>
      </c>
      <c r="C583" s="7">
        <v>46195</v>
      </c>
      <c r="D583" s="9" t="s">
        <v>261</v>
      </c>
      <c r="E583" s="4" t="s">
        <v>62</v>
      </c>
      <c r="F583" s="9" t="s">
        <v>242</v>
      </c>
      <c r="G583" s="9">
        <v>2</v>
      </c>
      <c r="H583" s="6" t="s">
        <v>1020</v>
      </c>
      <c r="I583" s="9" t="s">
        <v>258</v>
      </c>
      <c r="J583" s="9" t="s">
        <v>145</v>
      </c>
    </row>
    <row r="584" spans="1:10">
      <c r="A584" s="5" t="s">
        <v>2209</v>
      </c>
      <c r="B584" s="6" t="s">
        <v>2152</v>
      </c>
      <c r="C584" s="7">
        <v>46195</v>
      </c>
      <c r="D584" s="9" t="s">
        <v>261</v>
      </c>
      <c r="E584" s="8" t="s">
        <v>753</v>
      </c>
      <c r="F584" s="9" t="s">
        <v>242</v>
      </c>
      <c r="G584" s="9">
        <v>2</v>
      </c>
      <c r="H584" s="6" t="s">
        <v>1020</v>
      </c>
      <c r="I584" s="9" t="s">
        <v>258</v>
      </c>
      <c r="J584" s="9" t="s">
        <v>145</v>
      </c>
    </row>
    <row r="585" spans="1:10">
      <c r="A585" s="5" t="s">
        <v>2210</v>
      </c>
      <c r="B585" s="6" t="s">
        <v>2152</v>
      </c>
      <c r="C585" s="7">
        <v>46195</v>
      </c>
      <c r="D585" s="9" t="s">
        <v>696</v>
      </c>
      <c r="E585" s="8" t="s">
        <v>87</v>
      </c>
      <c r="F585" s="9" t="s">
        <v>242</v>
      </c>
      <c r="G585" s="9">
        <v>45</v>
      </c>
      <c r="H585" s="6" t="s">
        <v>1020</v>
      </c>
      <c r="I585" s="9" t="s">
        <v>258</v>
      </c>
      <c r="J585" s="9" t="s">
        <v>145</v>
      </c>
    </row>
    <row r="586" spans="1:10">
      <c r="A586" s="5" t="s">
        <v>2211</v>
      </c>
      <c r="B586" s="6" t="s">
        <v>2212</v>
      </c>
      <c r="C586" s="7">
        <v>46195</v>
      </c>
      <c r="D586" s="9" t="s">
        <v>500</v>
      </c>
      <c r="E586" s="8" t="s">
        <v>50</v>
      </c>
      <c r="F586" s="9" t="s">
        <v>242</v>
      </c>
      <c r="G586" s="9">
        <v>1</v>
      </c>
      <c r="H586" s="6" t="s">
        <v>693</v>
      </c>
      <c r="I586" s="9" t="s">
        <v>609</v>
      </c>
      <c r="J586" s="9" t="s">
        <v>145</v>
      </c>
    </row>
    <row r="587" spans="1:10">
      <c r="A587" s="5" t="s">
        <v>2213</v>
      </c>
      <c r="B587" s="6" t="s">
        <v>2212</v>
      </c>
      <c r="C587" s="7">
        <v>46195</v>
      </c>
      <c r="D587" s="9" t="s">
        <v>261</v>
      </c>
      <c r="E587" s="8" t="s">
        <v>62</v>
      </c>
      <c r="F587" s="9" t="s">
        <v>242</v>
      </c>
      <c r="G587" s="9">
        <v>2</v>
      </c>
      <c r="H587" s="6" t="s">
        <v>693</v>
      </c>
      <c r="I587" s="9" t="s">
        <v>609</v>
      </c>
      <c r="J587" s="9" t="s">
        <v>145</v>
      </c>
    </row>
    <row r="588" spans="1:10">
      <c r="A588" s="5" t="s">
        <v>2214</v>
      </c>
      <c r="B588" s="6" t="s">
        <v>2212</v>
      </c>
      <c r="C588" s="7">
        <v>46195</v>
      </c>
      <c r="D588" s="9" t="s">
        <v>270</v>
      </c>
      <c r="E588" s="8" t="s">
        <v>271</v>
      </c>
      <c r="F588" s="9" t="s">
        <v>242</v>
      </c>
      <c r="G588" s="9">
        <v>2</v>
      </c>
      <c r="H588" s="6" t="s">
        <v>693</v>
      </c>
      <c r="I588" s="9" t="s">
        <v>609</v>
      </c>
      <c r="J588" s="9" t="s">
        <v>145</v>
      </c>
    </row>
    <row r="589" spans="1:10">
      <c r="A589" s="5" t="s">
        <v>2215</v>
      </c>
      <c r="B589" s="6" t="s">
        <v>2216</v>
      </c>
      <c r="C589" s="7">
        <v>46196</v>
      </c>
      <c r="D589" s="9" t="s">
        <v>261</v>
      </c>
      <c r="E589" s="8" t="s">
        <v>62</v>
      </c>
      <c r="F589" s="9" t="s">
        <v>242</v>
      </c>
      <c r="G589" s="9">
        <v>3</v>
      </c>
      <c r="H589" s="6" t="s">
        <v>722</v>
      </c>
      <c r="I589" s="9" t="s">
        <v>284</v>
      </c>
      <c r="J589" s="9" t="s">
        <v>145</v>
      </c>
    </row>
    <row r="590" spans="1:10">
      <c r="A590" s="5" t="s">
        <v>2217</v>
      </c>
      <c r="B590" s="6" t="s">
        <v>2218</v>
      </c>
      <c r="C590" s="7">
        <v>46196</v>
      </c>
      <c r="D590" s="9" t="s">
        <v>261</v>
      </c>
      <c r="E590" s="4" t="s">
        <v>2219</v>
      </c>
      <c r="F590" s="9" t="s">
        <v>242</v>
      </c>
      <c r="G590" s="9">
        <v>50</v>
      </c>
      <c r="H590" s="6" t="s">
        <v>2220</v>
      </c>
      <c r="I590" s="9" t="s">
        <v>311</v>
      </c>
      <c r="J590" s="9" t="s">
        <v>145</v>
      </c>
    </row>
    <row r="591" spans="1:10">
      <c r="A591" s="5" t="s">
        <v>2221</v>
      </c>
      <c r="B591" s="6" t="s">
        <v>2222</v>
      </c>
      <c r="C591" s="7">
        <v>46196</v>
      </c>
      <c r="D591" s="9" t="s">
        <v>261</v>
      </c>
      <c r="E591" s="4" t="s">
        <v>2219</v>
      </c>
      <c r="F591" s="9" t="s">
        <v>242</v>
      </c>
      <c r="G591" s="9">
        <v>50</v>
      </c>
      <c r="H591" s="6" t="s">
        <v>2220</v>
      </c>
      <c r="I591" s="9" t="s">
        <v>918</v>
      </c>
      <c r="J591" s="9" t="s">
        <v>145</v>
      </c>
    </row>
    <row r="592" spans="1:10">
      <c r="A592" s="5" t="s">
        <v>2223</v>
      </c>
      <c r="B592" s="6" t="s">
        <v>2218</v>
      </c>
      <c r="C592" s="7">
        <v>46196</v>
      </c>
      <c r="D592" s="9" t="s">
        <v>696</v>
      </c>
      <c r="E592" s="8" t="s">
        <v>88</v>
      </c>
      <c r="F592" s="9" t="s">
        <v>242</v>
      </c>
      <c r="G592" s="9">
        <v>400</v>
      </c>
      <c r="H592" s="6" t="s">
        <v>2224</v>
      </c>
      <c r="I592" s="9" t="s">
        <v>311</v>
      </c>
      <c r="J592" s="9" t="s">
        <v>145</v>
      </c>
    </row>
    <row r="593" spans="1:10">
      <c r="A593" s="5" t="s">
        <v>2225</v>
      </c>
      <c r="B593" s="6" t="s">
        <v>2222</v>
      </c>
      <c r="C593" s="7">
        <v>46196</v>
      </c>
      <c r="D593" s="9" t="s">
        <v>696</v>
      </c>
      <c r="E593" s="8" t="s">
        <v>88</v>
      </c>
      <c r="F593" s="9" t="s">
        <v>242</v>
      </c>
      <c r="G593" s="9">
        <v>400</v>
      </c>
      <c r="H593" s="6" t="s">
        <v>2224</v>
      </c>
      <c r="I593" s="9" t="s">
        <v>830</v>
      </c>
      <c r="J593" s="9" t="s">
        <v>145</v>
      </c>
    </row>
    <row r="594" spans="1:10">
      <c r="A594" s="5" t="s">
        <v>2226</v>
      </c>
      <c r="B594" s="6" t="s">
        <v>2227</v>
      </c>
      <c r="C594" s="7">
        <v>46197</v>
      </c>
      <c r="D594" s="9" t="s">
        <v>500</v>
      </c>
      <c r="E594" s="8" t="s">
        <v>4</v>
      </c>
      <c r="F594" s="9" t="s">
        <v>242</v>
      </c>
      <c r="G594" s="9">
        <v>1</v>
      </c>
      <c r="H594" s="6" t="s">
        <v>866</v>
      </c>
      <c r="I594" s="9" t="s">
        <v>415</v>
      </c>
      <c r="J594" s="9" t="s">
        <v>145</v>
      </c>
    </row>
    <row r="595" spans="1:10">
      <c r="A595" s="5" t="s">
        <v>2228</v>
      </c>
      <c r="B595" s="6" t="s">
        <v>2227</v>
      </c>
      <c r="C595" s="7">
        <v>46197</v>
      </c>
      <c r="D595" s="9" t="s">
        <v>270</v>
      </c>
      <c r="E595" s="4" t="s">
        <v>271</v>
      </c>
      <c r="F595" s="9" t="s">
        <v>242</v>
      </c>
      <c r="G595" s="9">
        <v>3</v>
      </c>
      <c r="H595" s="6" t="s">
        <v>866</v>
      </c>
      <c r="I595" s="9" t="s">
        <v>415</v>
      </c>
      <c r="J595" s="9" t="s">
        <v>145</v>
      </c>
    </row>
    <row r="596" spans="1:10">
      <c r="A596" s="5" t="s">
        <v>2229</v>
      </c>
      <c r="B596" s="6" t="s">
        <v>2230</v>
      </c>
      <c r="C596" s="7">
        <v>46197</v>
      </c>
      <c r="D596" s="9" t="s">
        <v>261</v>
      </c>
      <c r="E596" s="8" t="s">
        <v>62</v>
      </c>
      <c r="F596" s="9" t="s">
        <v>242</v>
      </c>
      <c r="G596" s="9">
        <v>3</v>
      </c>
      <c r="H596" s="6" t="s">
        <v>722</v>
      </c>
      <c r="I596" s="9" t="s">
        <v>609</v>
      </c>
      <c r="J596" s="9" t="s">
        <v>145</v>
      </c>
    </row>
    <row r="597" spans="1:10">
      <c r="A597" s="5" t="s">
        <v>2231</v>
      </c>
      <c r="B597" s="6" t="s">
        <v>2232</v>
      </c>
      <c r="C597" s="7">
        <v>46198</v>
      </c>
      <c r="D597" s="9" t="s">
        <v>500</v>
      </c>
      <c r="E597" s="8" t="s">
        <v>54</v>
      </c>
      <c r="F597" s="9" t="s">
        <v>242</v>
      </c>
      <c r="G597" s="9">
        <v>1</v>
      </c>
      <c r="H597" s="6" t="s">
        <v>518</v>
      </c>
      <c r="I597" s="9" t="s">
        <v>484</v>
      </c>
      <c r="J597" s="9" t="s">
        <v>145</v>
      </c>
    </row>
    <row r="598" spans="1:10">
      <c r="A598" s="5" t="s">
        <v>2233</v>
      </c>
      <c r="B598" s="6" t="s">
        <v>2232</v>
      </c>
      <c r="C598" s="7">
        <v>46198</v>
      </c>
      <c r="D598" s="9" t="s">
        <v>261</v>
      </c>
      <c r="E598" s="8" t="s">
        <v>62</v>
      </c>
      <c r="F598" s="9" t="s">
        <v>242</v>
      </c>
      <c r="G598" s="9">
        <v>2</v>
      </c>
      <c r="H598" s="6" t="s">
        <v>518</v>
      </c>
      <c r="I598" s="9" t="s">
        <v>484</v>
      </c>
      <c r="J598" s="9" t="s">
        <v>145</v>
      </c>
    </row>
    <row r="599" spans="1:10">
      <c r="A599" s="5" t="s">
        <v>2234</v>
      </c>
      <c r="B599" s="6" t="s">
        <v>2235</v>
      </c>
      <c r="C599" s="7">
        <v>46198</v>
      </c>
      <c r="D599" s="9" t="s">
        <v>696</v>
      </c>
      <c r="E599" s="4" t="s">
        <v>88</v>
      </c>
      <c r="F599" s="9" t="s">
        <v>242</v>
      </c>
      <c r="G599" s="9">
        <v>35</v>
      </c>
      <c r="H599" s="6" t="s">
        <v>2236</v>
      </c>
      <c r="I599" s="9" t="s">
        <v>258</v>
      </c>
      <c r="J599" s="9" t="s">
        <v>145</v>
      </c>
    </row>
    <row r="600" spans="1:10">
      <c r="A600" s="5" t="s">
        <v>2237</v>
      </c>
      <c r="B600" s="6" t="s">
        <v>2235</v>
      </c>
      <c r="C600" s="7">
        <v>46198</v>
      </c>
      <c r="D600" s="9" t="s">
        <v>261</v>
      </c>
      <c r="E600" s="8" t="s">
        <v>281</v>
      </c>
      <c r="F600" s="9" t="s">
        <v>242</v>
      </c>
      <c r="G600" s="9">
        <v>2</v>
      </c>
      <c r="H600" s="6" t="s">
        <v>2236</v>
      </c>
      <c r="I600" s="9" t="s">
        <v>258</v>
      </c>
      <c r="J600" s="9" t="s">
        <v>145</v>
      </c>
    </row>
    <row r="601" spans="1:10">
      <c r="A601" s="5" t="s">
        <v>2238</v>
      </c>
      <c r="B601" s="6" t="s">
        <v>2001</v>
      </c>
      <c r="C601" s="7">
        <v>46198</v>
      </c>
      <c r="D601" s="9" t="s">
        <v>500</v>
      </c>
      <c r="E601" s="4" t="s">
        <v>48</v>
      </c>
      <c r="F601" s="9" t="s">
        <v>242</v>
      </c>
      <c r="G601" s="9">
        <v>1</v>
      </c>
      <c r="H601" s="6" t="s">
        <v>2239</v>
      </c>
      <c r="I601" s="9" t="s">
        <v>258</v>
      </c>
      <c r="J601" s="9" t="s">
        <v>145</v>
      </c>
    </row>
    <row r="602" spans="1:10">
      <c r="A602" s="5" t="s">
        <v>2240</v>
      </c>
      <c r="B602" s="6" t="s">
        <v>2001</v>
      </c>
      <c r="C602" s="7">
        <v>46198</v>
      </c>
      <c r="D602" s="9" t="s">
        <v>500</v>
      </c>
      <c r="E602" s="8" t="s">
        <v>54</v>
      </c>
      <c r="F602" s="9" t="s">
        <v>242</v>
      </c>
      <c r="G602" s="9">
        <v>1</v>
      </c>
      <c r="H602" s="6" t="s">
        <v>2239</v>
      </c>
      <c r="I602" s="9" t="s">
        <v>258</v>
      </c>
      <c r="J602" s="9" t="s">
        <v>145</v>
      </c>
    </row>
    <row r="603" spans="1:10">
      <c r="A603" s="5" t="s">
        <v>2241</v>
      </c>
      <c r="B603" s="6" t="s">
        <v>2001</v>
      </c>
      <c r="C603" s="7">
        <v>46198</v>
      </c>
      <c r="D603" s="9" t="s">
        <v>261</v>
      </c>
      <c r="E603" s="4" t="s">
        <v>63</v>
      </c>
      <c r="F603" s="9" t="s">
        <v>242</v>
      </c>
      <c r="G603" s="9">
        <v>3</v>
      </c>
      <c r="H603" s="6" t="s">
        <v>2239</v>
      </c>
      <c r="I603" s="9" t="s">
        <v>258</v>
      </c>
      <c r="J603" s="9" t="s">
        <v>145</v>
      </c>
    </row>
    <row r="604" spans="1:10">
      <c r="A604" s="5" t="s">
        <v>2242</v>
      </c>
      <c r="B604" s="6" t="s">
        <v>2001</v>
      </c>
      <c r="C604" s="7">
        <v>46198</v>
      </c>
      <c r="D604" s="9" t="s">
        <v>261</v>
      </c>
      <c r="E604" s="8" t="s">
        <v>62</v>
      </c>
      <c r="F604" s="9" t="s">
        <v>242</v>
      </c>
      <c r="G604" s="9">
        <v>2</v>
      </c>
      <c r="H604" s="6" t="s">
        <v>2239</v>
      </c>
      <c r="I604" s="9" t="s">
        <v>258</v>
      </c>
      <c r="J604" s="9" t="s">
        <v>145</v>
      </c>
    </row>
    <row r="605" spans="1:10">
      <c r="A605" s="5" t="s">
        <v>2243</v>
      </c>
      <c r="B605" s="6" t="s">
        <v>2001</v>
      </c>
      <c r="C605" s="7">
        <v>46198</v>
      </c>
      <c r="D605" s="9" t="s">
        <v>270</v>
      </c>
      <c r="E605" s="8" t="s">
        <v>68</v>
      </c>
      <c r="F605" s="9" t="s">
        <v>242</v>
      </c>
      <c r="G605" s="9">
        <v>3</v>
      </c>
      <c r="H605" s="6" t="s">
        <v>2239</v>
      </c>
      <c r="I605" s="9" t="s">
        <v>258</v>
      </c>
      <c r="J605" s="9" t="s">
        <v>145</v>
      </c>
    </row>
    <row r="606" spans="1:10">
      <c r="A606" s="5" t="s">
        <v>2244</v>
      </c>
      <c r="B606" s="6" t="s">
        <v>2245</v>
      </c>
      <c r="C606" s="7">
        <v>46198</v>
      </c>
      <c r="D606" s="9" t="s">
        <v>261</v>
      </c>
      <c r="E606" s="8" t="s">
        <v>62</v>
      </c>
      <c r="F606" s="9" t="s">
        <v>242</v>
      </c>
      <c r="G606" s="9">
        <v>11</v>
      </c>
      <c r="H606" s="6" t="s">
        <v>2246</v>
      </c>
      <c r="I606" s="9" t="s">
        <v>363</v>
      </c>
      <c r="J606" s="9" t="s">
        <v>145</v>
      </c>
    </row>
    <row r="607" spans="1:10">
      <c r="A607" s="5" t="s">
        <v>2247</v>
      </c>
      <c r="B607" s="6" t="s">
        <v>2248</v>
      </c>
      <c r="C607" s="7">
        <v>46199</v>
      </c>
      <c r="D607" s="9" t="s">
        <v>261</v>
      </c>
      <c r="E607" s="8" t="s">
        <v>62</v>
      </c>
      <c r="F607" s="9" t="s">
        <v>242</v>
      </c>
      <c r="G607" s="9">
        <v>6</v>
      </c>
      <c r="H607" s="6" t="s">
        <v>722</v>
      </c>
      <c r="I607" s="9" t="s">
        <v>616</v>
      </c>
      <c r="J607" s="9" t="s">
        <v>145</v>
      </c>
    </row>
    <row r="608" spans="1:10">
      <c r="A608" s="5" t="s">
        <v>2249</v>
      </c>
      <c r="B608" s="6" t="s">
        <v>1315</v>
      </c>
      <c r="C608" s="7">
        <v>46202</v>
      </c>
      <c r="D608" s="9" t="s">
        <v>261</v>
      </c>
      <c r="E608" s="8" t="s">
        <v>281</v>
      </c>
      <c r="F608" s="9" t="s">
        <v>242</v>
      </c>
      <c r="G608" s="9">
        <v>100</v>
      </c>
      <c r="H608" s="6" t="s">
        <v>2192</v>
      </c>
      <c r="I608" s="9" t="s">
        <v>311</v>
      </c>
      <c r="J608" s="9" t="s">
        <v>145</v>
      </c>
    </row>
    <row r="609" spans="1:10">
      <c r="A609" s="5" t="s">
        <v>2250</v>
      </c>
      <c r="B609" s="6" t="s">
        <v>1317</v>
      </c>
      <c r="C609" s="7">
        <v>46202</v>
      </c>
      <c r="D609" s="9" t="s">
        <v>261</v>
      </c>
      <c r="E609" s="8" t="s">
        <v>281</v>
      </c>
      <c r="F609" s="9" t="s">
        <v>242</v>
      </c>
      <c r="G609" s="9">
        <v>100</v>
      </c>
      <c r="H609" s="6" t="s">
        <v>2192</v>
      </c>
      <c r="I609" s="9" t="s">
        <v>918</v>
      </c>
      <c r="J609" s="9" t="s">
        <v>145</v>
      </c>
    </row>
    <row r="610" spans="1:10">
      <c r="A610" s="5" t="s">
        <v>2251</v>
      </c>
      <c r="B610" s="6" t="s">
        <v>1315</v>
      </c>
      <c r="C610" s="7">
        <v>46202</v>
      </c>
      <c r="D610" s="9" t="s">
        <v>905</v>
      </c>
      <c r="E610" s="8" t="s">
        <v>216</v>
      </c>
      <c r="F610" s="9" t="s">
        <v>242</v>
      </c>
      <c r="G610" s="9">
        <v>10</v>
      </c>
      <c r="H610" s="6" t="s">
        <v>906</v>
      </c>
      <c r="I610" s="9" t="s">
        <v>311</v>
      </c>
      <c r="J610" s="9" t="s">
        <v>145</v>
      </c>
    </row>
    <row r="611" spans="1:10">
      <c r="A611" s="5" t="s">
        <v>2252</v>
      </c>
      <c r="B611" s="6" t="s">
        <v>1317</v>
      </c>
      <c r="C611" s="7">
        <v>46202</v>
      </c>
      <c r="D611" s="9" t="s">
        <v>905</v>
      </c>
      <c r="E611" s="8" t="s">
        <v>207</v>
      </c>
      <c r="F611" s="9" t="s">
        <v>242</v>
      </c>
      <c r="G611" s="9">
        <v>7</v>
      </c>
      <c r="H611" s="6" t="s">
        <v>906</v>
      </c>
      <c r="I611" s="9" t="s">
        <v>918</v>
      </c>
      <c r="J611" s="9" t="s">
        <v>145</v>
      </c>
    </row>
    <row r="612" spans="1:10">
      <c r="A612" s="5" t="s">
        <v>2253</v>
      </c>
      <c r="B612" s="6" t="s">
        <v>1315</v>
      </c>
      <c r="C612" s="7">
        <v>46202</v>
      </c>
      <c r="D612" s="9" t="s">
        <v>905</v>
      </c>
      <c r="E612" s="4" t="s">
        <v>208</v>
      </c>
      <c r="F612" s="9" t="s">
        <v>242</v>
      </c>
      <c r="G612" s="9">
        <v>12</v>
      </c>
      <c r="H612" s="6" t="s">
        <v>906</v>
      </c>
      <c r="I612" s="9" t="s">
        <v>311</v>
      </c>
      <c r="J612" s="9" t="s">
        <v>145</v>
      </c>
    </row>
    <row r="613" spans="1:10">
      <c r="A613" s="5"/>
      <c r="B613" s="6"/>
      <c r="C613" s="7"/>
      <c r="D613" s="9"/>
      <c r="E613" s="8"/>
      <c r="F613" s="9"/>
      <c r="G613" s="9"/>
      <c r="H613" s="6"/>
      <c r="I613" s="9"/>
      <c r="J613" s="9" t="s">
        <v>145</v>
      </c>
    </row>
    <row r="614" spans="1:10">
      <c r="A614" s="5"/>
      <c r="B614" s="6"/>
      <c r="C614" s="7"/>
      <c r="D614" s="9"/>
      <c r="E614" s="8"/>
      <c r="F614" s="9"/>
      <c r="G614" s="9"/>
      <c r="H614" s="6"/>
      <c r="I614" s="9"/>
      <c r="J614" s="9" t="s">
        <v>145</v>
      </c>
    </row>
  </sheetData>
  <autoFilter ref="A6:M454" xr:uid="{B7411325-D959-40C5-9F01-09913600F1C6}"/>
  <mergeCells count="2">
    <mergeCell ref="A2:J2"/>
    <mergeCell ref="A3:B3"/>
  </mergeCells>
  <phoneticPr fontId="5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AC209-AD96-4452-81B4-1996D89E3C19}">
  <dimension ref="A2:M505"/>
  <sheetViews>
    <sheetView workbookViewId="0">
      <selection sqref="A1:A1048576"/>
    </sheetView>
  </sheetViews>
  <sheetFormatPr defaultColWidth="9.81640625" defaultRowHeight="17"/>
  <cols>
    <col min="1" max="1" width="7.81640625" style="10" customWidth="1"/>
    <col min="2" max="2" width="35.81640625" style="3" bestFit="1" customWidth="1"/>
    <col min="3" max="3" width="16.453125" style="10" customWidth="1"/>
    <col min="4" max="4" width="20.1796875" style="10" customWidth="1"/>
    <col min="5" max="5" width="27.453125" style="11" customWidth="1"/>
    <col min="6" max="7" width="10.54296875" style="10" customWidth="1"/>
    <col min="8" max="8" width="52.1796875" style="3" customWidth="1"/>
    <col min="9" max="9" width="8.7265625" style="10" customWidth="1"/>
    <col min="10" max="10" width="20" style="10" hidden="1" customWidth="1"/>
    <col min="11" max="16384" width="9.81640625" style="3"/>
  </cols>
  <sheetData>
    <row r="2" spans="1:13" s="31" customFormat="1" ht="35.15" customHeight="1">
      <c r="A2" s="96"/>
      <c r="B2" s="96"/>
      <c r="C2" s="96"/>
      <c r="D2" s="96"/>
      <c r="E2" s="96"/>
      <c r="F2" s="96"/>
      <c r="G2" s="96"/>
      <c r="H2" s="96"/>
      <c r="I2" s="96"/>
      <c r="J2" s="96"/>
      <c r="K2" s="30"/>
      <c r="L2" s="30"/>
      <c r="M2" s="30"/>
    </row>
    <row r="3" spans="1:13" s="31" customFormat="1" ht="23.15" customHeight="1">
      <c r="A3" s="97" t="s">
        <v>232</v>
      </c>
      <c r="B3" s="97"/>
      <c r="C3" s="32"/>
      <c r="D3" s="33"/>
      <c r="E3" s="32"/>
      <c r="F3" s="32"/>
      <c r="G3" s="32"/>
      <c r="H3" s="32"/>
      <c r="I3" s="32"/>
      <c r="J3" s="32"/>
      <c r="K3" s="32"/>
      <c r="L3" s="32"/>
      <c r="M3" s="34"/>
    </row>
    <row r="4" spans="1:13" ht="5.15" customHeight="1"/>
    <row r="5" spans="1:13">
      <c r="G5" s="10">
        <f>SUBTOTAL(3,G7:G806)</f>
        <v>499</v>
      </c>
    </row>
    <row r="6" spans="1:13" ht="25.5" customHeight="1">
      <c r="A6" s="1" t="s">
        <v>102</v>
      </c>
      <c r="B6" s="2" t="s">
        <v>103</v>
      </c>
      <c r="C6" s="1" t="s">
        <v>104</v>
      </c>
      <c r="D6" s="1" t="s">
        <v>105</v>
      </c>
      <c r="E6" s="2" t="s">
        <v>106</v>
      </c>
      <c r="F6" s="1" t="s">
        <v>107</v>
      </c>
      <c r="G6" s="1" t="s">
        <v>6</v>
      </c>
      <c r="H6" s="1" t="s">
        <v>108</v>
      </c>
      <c r="I6" s="1" t="s">
        <v>109</v>
      </c>
      <c r="J6" s="1" t="s">
        <v>110</v>
      </c>
    </row>
    <row r="7" spans="1:13">
      <c r="A7" s="5" t="s">
        <v>239</v>
      </c>
      <c r="B7" s="6" t="s">
        <v>2254</v>
      </c>
      <c r="C7" s="7">
        <v>46203</v>
      </c>
      <c r="D7" s="9" t="s">
        <v>241</v>
      </c>
      <c r="E7" s="8" t="s">
        <v>1152</v>
      </c>
      <c r="F7" s="9" t="s">
        <v>242</v>
      </c>
      <c r="G7" s="9">
        <v>1</v>
      </c>
      <c r="H7" s="6" t="s">
        <v>249</v>
      </c>
      <c r="I7" s="9" t="s">
        <v>258</v>
      </c>
      <c r="J7" s="9" t="s">
        <v>145</v>
      </c>
    </row>
    <row r="8" spans="1:13">
      <c r="A8" s="5" t="s">
        <v>245</v>
      </c>
      <c r="B8" s="6" t="s">
        <v>2254</v>
      </c>
      <c r="C8" s="7">
        <v>46203</v>
      </c>
      <c r="D8" s="9" t="s">
        <v>241</v>
      </c>
      <c r="E8" s="4" t="s">
        <v>28</v>
      </c>
      <c r="F8" s="9" t="s">
        <v>246</v>
      </c>
      <c r="G8" s="9">
        <v>1</v>
      </c>
      <c r="H8" s="6" t="s">
        <v>249</v>
      </c>
      <c r="I8" s="9" t="s">
        <v>258</v>
      </c>
      <c r="J8" s="9" t="s">
        <v>145</v>
      </c>
    </row>
    <row r="9" spans="1:13">
      <c r="A9" s="5" t="s">
        <v>247</v>
      </c>
      <c r="B9" s="6" t="s">
        <v>2254</v>
      </c>
      <c r="C9" s="7">
        <v>46203</v>
      </c>
      <c r="D9" s="9" t="s">
        <v>261</v>
      </c>
      <c r="E9" s="8" t="s">
        <v>281</v>
      </c>
      <c r="F9" s="9" t="s">
        <v>242</v>
      </c>
      <c r="G9" s="9">
        <v>2</v>
      </c>
      <c r="H9" s="6" t="s">
        <v>249</v>
      </c>
      <c r="I9" s="9" t="s">
        <v>258</v>
      </c>
      <c r="J9" s="9" t="s">
        <v>145</v>
      </c>
    </row>
    <row r="10" spans="1:13">
      <c r="A10" s="5" t="s">
        <v>250</v>
      </c>
      <c r="B10" s="6" t="s">
        <v>2255</v>
      </c>
      <c r="C10" s="7">
        <v>46203</v>
      </c>
      <c r="D10" s="9" t="s">
        <v>299</v>
      </c>
      <c r="E10" s="4" t="s">
        <v>22</v>
      </c>
      <c r="F10" s="9" t="s">
        <v>242</v>
      </c>
      <c r="G10" s="9">
        <v>1</v>
      </c>
      <c r="H10" s="6" t="s">
        <v>526</v>
      </c>
      <c r="I10" s="9" t="s">
        <v>258</v>
      </c>
      <c r="J10" s="9" t="s">
        <v>145</v>
      </c>
    </row>
    <row r="11" spans="1:13">
      <c r="A11" s="5" t="s">
        <v>251</v>
      </c>
      <c r="B11" s="6" t="s">
        <v>2255</v>
      </c>
      <c r="C11" s="7">
        <v>46203</v>
      </c>
      <c r="D11" s="9" t="s">
        <v>299</v>
      </c>
      <c r="E11" s="8" t="s">
        <v>22</v>
      </c>
      <c r="F11" s="9" t="s">
        <v>246</v>
      </c>
      <c r="G11" s="9">
        <v>1</v>
      </c>
      <c r="H11" s="6" t="s">
        <v>526</v>
      </c>
      <c r="I11" s="9" t="s">
        <v>258</v>
      </c>
      <c r="J11" s="9" t="s">
        <v>145</v>
      </c>
    </row>
    <row r="12" spans="1:13">
      <c r="A12" s="5" t="s">
        <v>254</v>
      </c>
      <c r="B12" s="6" t="s">
        <v>2256</v>
      </c>
      <c r="C12" s="7">
        <v>46203</v>
      </c>
      <c r="D12" s="9" t="s">
        <v>299</v>
      </c>
      <c r="E12" s="8" t="s">
        <v>21</v>
      </c>
      <c r="F12" s="9" t="s">
        <v>242</v>
      </c>
      <c r="G12" s="9">
        <v>1</v>
      </c>
      <c r="H12" s="6" t="s">
        <v>249</v>
      </c>
      <c r="I12" s="9" t="s">
        <v>258</v>
      </c>
      <c r="J12" s="9" t="s">
        <v>145</v>
      </c>
    </row>
    <row r="13" spans="1:13">
      <c r="A13" s="5" t="s">
        <v>255</v>
      </c>
      <c r="B13" s="6" t="s">
        <v>2256</v>
      </c>
      <c r="C13" s="7">
        <v>46203</v>
      </c>
      <c r="D13" s="9" t="s">
        <v>299</v>
      </c>
      <c r="E13" s="8" t="s">
        <v>21</v>
      </c>
      <c r="F13" s="9" t="s">
        <v>246</v>
      </c>
      <c r="G13" s="9">
        <v>1</v>
      </c>
      <c r="H13" s="6" t="s">
        <v>249</v>
      </c>
      <c r="I13" s="9" t="s">
        <v>258</v>
      </c>
      <c r="J13" s="9" t="s">
        <v>145</v>
      </c>
    </row>
    <row r="14" spans="1:13">
      <c r="A14" s="5" t="s">
        <v>259</v>
      </c>
      <c r="B14" s="6" t="s">
        <v>2256</v>
      </c>
      <c r="C14" s="7">
        <v>46203</v>
      </c>
      <c r="D14" s="9" t="s">
        <v>299</v>
      </c>
      <c r="E14" s="8" t="s">
        <v>22</v>
      </c>
      <c r="F14" s="9" t="s">
        <v>242</v>
      </c>
      <c r="G14" s="9">
        <v>1</v>
      </c>
      <c r="H14" s="6" t="s">
        <v>2257</v>
      </c>
      <c r="I14" s="9" t="s">
        <v>258</v>
      </c>
      <c r="J14" s="9" t="s">
        <v>145</v>
      </c>
    </row>
    <row r="15" spans="1:13">
      <c r="A15" s="5" t="s">
        <v>260</v>
      </c>
      <c r="B15" s="6" t="s">
        <v>2256</v>
      </c>
      <c r="C15" s="7">
        <v>46203</v>
      </c>
      <c r="D15" s="9" t="s">
        <v>299</v>
      </c>
      <c r="E15" s="8" t="s">
        <v>22</v>
      </c>
      <c r="F15" s="9" t="s">
        <v>246</v>
      </c>
      <c r="G15" s="9">
        <v>1</v>
      </c>
      <c r="H15" s="6" t="s">
        <v>2257</v>
      </c>
      <c r="I15" s="9" t="s">
        <v>258</v>
      </c>
      <c r="J15" s="9" t="s">
        <v>145</v>
      </c>
    </row>
    <row r="16" spans="1:13">
      <c r="A16" s="5" t="s">
        <v>262</v>
      </c>
      <c r="B16" s="6" t="s">
        <v>2258</v>
      </c>
      <c r="C16" s="7">
        <v>46203</v>
      </c>
      <c r="D16" s="9" t="s">
        <v>299</v>
      </c>
      <c r="E16" s="8" t="s">
        <v>21</v>
      </c>
      <c r="F16" s="9" t="s">
        <v>242</v>
      </c>
      <c r="G16" s="9">
        <v>1</v>
      </c>
      <c r="H16" s="6" t="s">
        <v>526</v>
      </c>
      <c r="I16" s="9" t="s">
        <v>258</v>
      </c>
      <c r="J16" s="9" t="s">
        <v>145</v>
      </c>
    </row>
    <row r="17" spans="1:10">
      <c r="A17" s="5" t="s">
        <v>267</v>
      </c>
      <c r="B17" s="6" t="s">
        <v>2258</v>
      </c>
      <c r="C17" s="7">
        <v>46203</v>
      </c>
      <c r="D17" s="9" t="s">
        <v>299</v>
      </c>
      <c r="E17" s="8" t="s">
        <v>21</v>
      </c>
      <c r="F17" s="9" t="s">
        <v>246</v>
      </c>
      <c r="G17" s="9">
        <v>1</v>
      </c>
      <c r="H17" s="6" t="s">
        <v>526</v>
      </c>
      <c r="I17" s="9" t="s">
        <v>258</v>
      </c>
      <c r="J17" s="9" t="s">
        <v>145</v>
      </c>
    </row>
    <row r="18" spans="1:10">
      <c r="A18" s="5" t="s">
        <v>268</v>
      </c>
      <c r="B18" s="6" t="s">
        <v>2259</v>
      </c>
      <c r="C18" s="7">
        <v>46203</v>
      </c>
      <c r="D18" s="9" t="s">
        <v>241</v>
      </c>
      <c r="E18" s="8" t="s">
        <v>1152</v>
      </c>
      <c r="F18" s="9" t="s">
        <v>242</v>
      </c>
      <c r="G18" s="9">
        <v>1</v>
      </c>
      <c r="H18" s="6" t="s">
        <v>249</v>
      </c>
      <c r="I18" s="9" t="s">
        <v>388</v>
      </c>
      <c r="J18" s="9" t="s">
        <v>145</v>
      </c>
    </row>
    <row r="19" spans="1:10">
      <c r="A19" s="5" t="s">
        <v>269</v>
      </c>
      <c r="B19" s="6" t="s">
        <v>2259</v>
      </c>
      <c r="C19" s="7">
        <v>46203</v>
      </c>
      <c r="D19" s="9" t="s">
        <v>241</v>
      </c>
      <c r="E19" s="8" t="s">
        <v>27</v>
      </c>
      <c r="F19" s="9" t="s">
        <v>246</v>
      </c>
      <c r="G19" s="9">
        <v>1</v>
      </c>
      <c r="H19" s="6" t="s">
        <v>249</v>
      </c>
      <c r="I19" s="9" t="s">
        <v>388</v>
      </c>
      <c r="J19" s="9" t="s">
        <v>145</v>
      </c>
    </row>
    <row r="20" spans="1:10">
      <c r="A20" s="5" t="s">
        <v>272</v>
      </c>
      <c r="B20" s="6" t="s">
        <v>2259</v>
      </c>
      <c r="C20" s="7">
        <v>46203</v>
      </c>
      <c r="D20" s="9" t="s">
        <v>261</v>
      </c>
      <c r="E20" s="4" t="s">
        <v>62</v>
      </c>
      <c r="F20" s="9" t="s">
        <v>242</v>
      </c>
      <c r="G20" s="9">
        <v>1</v>
      </c>
      <c r="H20" s="6" t="s">
        <v>249</v>
      </c>
      <c r="I20" s="9" t="s">
        <v>388</v>
      </c>
      <c r="J20" s="9" t="s">
        <v>145</v>
      </c>
    </row>
    <row r="21" spans="1:10">
      <c r="A21" s="5" t="s">
        <v>276</v>
      </c>
      <c r="B21" s="6" t="s">
        <v>2259</v>
      </c>
      <c r="C21" s="7">
        <v>46203</v>
      </c>
      <c r="D21" s="9" t="s">
        <v>261</v>
      </c>
      <c r="E21" s="8" t="s">
        <v>281</v>
      </c>
      <c r="F21" s="9" t="s">
        <v>242</v>
      </c>
      <c r="G21" s="9">
        <v>2</v>
      </c>
      <c r="H21" s="6" t="s">
        <v>249</v>
      </c>
      <c r="I21" s="9" t="s">
        <v>388</v>
      </c>
      <c r="J21" s="9" t="s">
        <v>145</v>
      </c>
    </row>
    <row r="22" spans="1:10">
      <c r="A22" s="5" t="s">
        <v>277</v>
      </c>
      <c r="B22" s="6" t="s">
        <v>2260</v>
      </c>
      <c r="C22" s="7">
        <v>46203</v>
      </c>
      <c r="D22" s="9" t="s">
        <v>299</v>
      </c>
      <c r="E22" s="8" t="s">
        <v>21</v>
      </c>
      <c r="F22" s="9" t="s">
        <v>242</v>
      </c>
      <c r="G22" s="9">
        <v>1</v>
      </c>
      <c r="H22" s="6" t="s">
        <v>615</v>
      </c>
      <c r="I22" s="9" t="s">
        <v>388</v>
      </c>
      <c r="J22" s="9" t="s">
        <v>145</v>
      </c>
    </row>
    <row r="23" spans="1:10">
      <c r="A23" s="5" t="s">
        <v>279</v>
      </c>
      <c r="B23" s="6" t="s">
        <v>2260</v>
      </c>
      <c r="C23" s="7">
        <v>46203</v>
      </c>
      <c r="D23" s="9" t="s">
        <v>299</v>
      </c>
      <c r="E23" s="8" t="s">
        <v>21</v>
      </c>
      <c r="F23" s="9" t="s">
        <v>246</v>
      </c>
      <c r="G23" s="9">
        <v>1</v>
      </c>
      <c r="H23" s="6" t="s">
        <v>615</v>
      </c>
      <c r="I23" s="9" t="s">
        <v>388</v>
      </c>
      <c r="J23" s="9" t="s">
        <v>145</v>
      </c>
    </row>
    <row r="24" spans="1:10">
      <c r="A24" s="5" t="s">
        <v>280</v>
      </c>
      <c r="B24" s="6" t="s">
        <v>2261</v>
      </c>
      <c r="C24" s="7">
        <v>46204</v>
      </c>
      <c r="D24" s="9" t="s">
        <v>241</v>
      </c>
      <c r="E24" s="8" t="s">
        <v>1152</v>
      </c>
      <c r="F24" s="9" t="s">
        <v>242</v>
      </c>
      <c r="G24" s="9">
        <v>1</v>
      </c>
      <c r="H24" s="6" t="s">
        <v>243</v>
      </c>
      <c r="I24" s="9" t="s">
        <v>605</v>
      </c>
      <c r="J24" s="9" t="s">
        <v>145</v>
      </c>
    </row>
    <row r="25" spans="1:10">
      <c r="A25" s="5" t="s">
        <v>282</v>
      </c>
      <c r="B25" s="6" t="s">
        <v>2261</v>
      </c>
      <c r="C25" s="7">
        <v>46204</v>
      </c>
      <c r="D25" s="9" t="s">
        <v>241</v>
      </c>
      <c r="E25" s="8" t="s">
        <v>27</v>
      </c>
      <c r="F25" s="9" t="s">
        <v>246</v>
      </c>
      <c r="G25" s="9">
        <v>1</v>
      </c>
      <c r="H25" s="6" t="s">
        <v>243</v>
      </c>
      <c r="I25" s="9" t="s">
        <v>605</v>
      </c>
      <c r="J25" s="9" t="s">
        <v>145</v>
      </c>
    </row>
    <row r="26" spans="1:10">
      <c r="A26" s="5" t="s">
        <v>285</v>
      </c>
      <c r="B26" s="6" t="s">
        <v>2261</v>
      </c>
      <c r="C26" s="7">
        <v>46204</v>
      </c>
      <c r="D26" s="9" t="s">
        <v>261</v>
      </c>
      <c r="E26" s="4" t="s">
        <v>281</v>
      </c>
      <c r="F26" s="9" t="s">
        <v>242</v>
      </c>
      <c r="G26" s="9">
        <v>2</v>
      </c>
      <c r="H26" s="6" t="s">
        <v>243</v>
      </c>
      <c r="I26" s="9" t="s">
        <v>605</v>
      </c>
      <c r="J26" s="9" t="s">
        <v>145</v>
      </c>
    </row>
    <row r="27" spans="1:10">
      <c r="A27" s="5" t="s">
        <v>286</v>
      </c>
      <c r="B27" s="6" t="s">
        <v>2262</v>
      </c>
      <c r="C27" s="7">
        <v>46204</v>
      </c>
      <c r="D27" s="9" t="s">
        <v>241</v>
      </c>
      <c r="E27" s="8" t="s">
        <v>28</v>
      </c>
      <c r="F27" s="9" t="s">
        <v>242</v>
      </c>
      <c r="G27" s="9">
        <v>1</v>
      </c>
      <c r="H27" s="6" t="s">
        <v>931</v>
      </c>
      <c r="I27" s="9" t="s">
        <v>284</v>
      </c>
      <c r="J27" s="9" t="s">
        <v>145</v>
      </c>
    </row>
    <row r="28" spans="1:10">
      <c r="A28" s="5" t="s">
        <v>287</v>
      </c>
      <c r="B28" s="6" t="s">
        <v>2262</v>
      </c>
      <c r="C28" s="7">
        <v>46204</v>
      </c>
      <c r="D28" s="9" t="s">
        <v>241</v>
      </c>
      <c r="E28" s="8" t="s">
        <v>29</v>
      </c>
      <c r="F28" s="9" t="s">
        <v>246</v>
      </c>
      <c r="G28" s="9">
        <v>1</v>
      </c>
      <c r="H28" s="6" t="s">
        <v>931</v>
      </c>
      <c r="I28" s="9" t="s">
        <v>284</v>
      </c>
      <c r="J28" s="9" t="s">
        <v>145</v>
      </c>
    </row>
    <row r="29" spans="1:10">
      <c r="A29" s="5" t="s">
        <v>290</v>
      </c>
      <c r="B29" s="6" t="s">
        <v>2262</v>
      </c>
      <c r="C29" s="7">
        <v>46204</v>
      </c>
      <c r="D29" s="9" t="s">
        <v>261</v>
      </c>
      <c r="E29" s="8" t="s">
        <v>281</v>
      </c>
      <c r="F29" s="9" t="s">
        <v>242</v>
      </c>
      <c r="G29" s="9">
        <v>3</v>
      </c>
      <c r="H29" s="6" t="s">
        <v>931</v>
      </c>
      <c r="I29" s="9" t="s">
        <v>284</v>
      </c>
      <c r="J29" s="9" t="s">
        <v>145</v>
      </c>
    </row>
    <row r="30" spans="1:10">
      <c r="A30" s="5" t="s">
        <v>291</v>
      </c>
      <c r="B30" s="6" t="s">
        <v>2263</v>
      </c>
      <c r="C30" s="7">
        <v>46205</v>
      </c>
      <c r="D30" s="9" t="s">
        <v>241</v>
      </c>
      <c r="E30" s="4" t="s">
        <v>1152</v>
      </c>
      <c r="F30" s="9" t="s">
        <v>586</v>
      </c>
      <c r="G30" s="9">
        <v>1</v>
      </c>
      <c r="H30" s="6" t="s">
        <v>587</v>
      </c>
      <c r="I30" s="9" t="s">
        <v>289</v>
      </c>
      <c r="J30" s="9" t="s">
        <v>145</v>
      </c>
    </row>
    <row r="31" spans="1:10">
      <c r="A31" s="5" t="s">
        <v>293</v>
      </c>
      <c r="B31" s="6" t="s">
        <v>2264</v>
      </c>
      <c r="C31" s="7">
        <v>46205</v>
      </c>
      <c r="D31" s="9" t="s">
        <v>241</v>
      </c>
      <c r="E31" s="8" t="s">
        <v>1152</v>
      </c>
      <c r="F31" s="9" t="s">
        <v>242</v>
      </c>
      <c r="G31" s="9">
        <v>1</v>
      </c>
      <c r="H31" s="6" t="s">
        <v>931</v>
      </c>
      <c r="I31" s="9" t="s">
        <v>289</v>
      </c>
      <c r="J31" s="9" t="s">
        <v>145</v>
      </c>
    </row>
    <row r="32" spans="1:10">
      <c r="A32" s="5" t="s">
        <v>294</v>
      </c>
      <c r="B32" s="6" t="s">
        <v>2264</v>
      </c>
      <c r="C32" s="7">
        <v>46205</v>
      </c>
      <c r="D32" s="9" t="s">
        <v>241</v>
      </c>
      <c r="E32" s="8" t="s">
        <v>29</v>
      </c>
      <c r="F32" s="9" t="s">
        <v>246</v>
      </c>
      <c r="G32" s="9">
        <v>1</v>
      </c>
      <c r="H32" s="6" t="s">
        <v>931</v>
      </c>
      <c r="I32" s="9" t="s">
        <v>289</v>
      </c>
      <c r="J32" s="9" t="s">
        <v>145</v>
      </c>
    </row>
    <row r="33" spans="1:10">
      <c r="A33" s="5" t="s">
        <v>296</v>
      </c>
      <c r="B33" s="6" t="s">
        <v>2264</v>
      </c>
      <c r="C33" s="7">
        <v>46205</v>
      </c>
      <c r="D33" s="9" t="s">
        <v>261</v>
      </c>
      <c r="E33" s="8" t="s">
        <v>281</v>
      </c>
      <c r="F33" s="9" t="s">
        <v>242</v>
      </c>
      <c r="G33" s="9">
        <v>2</v>
      </c>
      <c r="H33" s="6" t="s">
        <v>931</v>
      </c>
      <c r="I33" s="9" t="s">
        <v>289</v>
      </c>
      <c r="J33" s="9" t="s">
        <v>145</v>
      </c>
    </row>
    <row r="34" spans="1:10">
      <c r="A34" s="5" t="s">
        <v>297</v>
      </c>
      <c r="B34" s="6" t="s">
        <v>2265</v>
      </c>
      <c r="C34" s="7">
        <v>46205</v>
      </c>
      <c r="D34" s="9" t="s">
        <v>241</v>
      </c>
      <c r="E34" s="8" t="s">
        <v>1152</v>
      </c>
      <c r="F34" s="9" t="s">
        <v>242</v>
      </c>
      <c r="G34" s="9">
        <v>1</v>
      </c>
      <c r="H34" s="6" t="s">
        <v>243</v>
      </c>
      <c r="I34" s="9" t="s">
        <v>311</v>
      </c>
      <c r="J34" s="9" t="s">
        <v>145</v>
      </c>
    </row>
    <row r="35" spans="1:10">
      <c r="A35" s="5" t="s">
        <v>300</v>
      </c>
      <c r="B35" s="6" t="s">
        <v>2265</v>
      </c>
      <c r="C35" s="7">
        <v>46205</v>
      </c>
      <c r="D35" s="9" t="s">
        <v>241</v>
      </c>
      <c r="E35" s="8" t="s">
        <v>29</v>
      </c>
      <c r="F35" s="9" t="s">
        <v>246</v>
      </c>
      <c r="G35" s="9">
        <v>1</v>
      </c>
      <c r="H35" s="6" t="s">
        <v>243</v>
      </c>
      <c r="I35" s="9" t="s">
        <v>311</v>
      </c>
      <c r="J35" s="9" t="s">
        <v>145</v>
      </c>
    </row>
    <row r="36" spans="1:10">
      <c r="A36" s="5" t="s">
        <v>301</v>
      </c>
      <c r="B36" s="6" t="s">
        <v>2266</v>
      </c>
      <c r="C36" s="7">
        <v>46205</v>
      </c>
      <c r="D36" s="9" t="s">
        <v>241</v>
      </c>
      <c r="E36" s="8" t="s">
        <v>1152</v>
      </c>
      <c r="F36" s="9" t="s">
        <v>242</v>
      </c>
      <c r="G36" s="9">
        <v>1</v>
      </c>
      <c r="H36" s="6" t="s">
        <v>615</v>
      </c>
      <c r="I36" s="9" t="s">
        <v>616</v>
      </c>
      <c r="J36" s="9" t="s">
        <v>145</v>
      </c>
    </row>
    <row r="37" spans="1:10">
      <c r="A37" s="5" t="s">
        <v>302</v>
      </c>
      <c r="B37" s="6" t="s">
        <v>2266</v>
      </c>
      <c r="C37" s="7">
        <v>46205</v>
      </c>
      <c r="D37" s="9" t="s">
        <v>241</v>
      </c>
      <c r="E37" s="8" t="s">
        <v>29</v>
      </c>
      <c r="F37" s="9" t="s">
        <v>246</v>
      </c>
      <c r="G37" s="9">
        <v>1</v>
      </c>
      <c r="H37" s="6" t="s">
        <v>615</v>
      </c>
      <c r="I37" s="9" t="s">
        <v>616</v>
      </c>
      <c r="J37" s="9" t="s">
        <v>145</v>
      </c>
    </row>
    <row r="38" spans="1:10">
      <c r="A38" s="5" t="s">
        <v>303</v>
      </c>
      <c r="B38" s="6" t="s">
        <v>2267</v>
      </c>
      <c r="C38" s="7">
        <v>46205</v>
      </c>
      <c r="D38" s="9" t="s">
        <v>264</v>
      </c>
      <c r="E38" s="8" t="s">
        <v>38</v>
      </c>
      <c r="F38" s="9" t="s">
        <v>242</v>
      </c>
      <c r="G38" s="9">
        <v>1</v>
      </c>
      <c r="H38" s="6" t="s">
        <v>1891</v>
      </c>
      <c r="I38" s="9" t="s">
        <v>337</v>
      </c>
      <c r="J38" s="9" t="s">
        <v>145</v>
      </c>
    </row>
    <row r="39" spans="1:10">
      <c r="A39" s="5" t="s">
        <v>305</v>
      </c>
      <c r="B39" s="6" t="s">
        <v>2267</v>
      </c>
      <c r="C39" s="7">
        <v>46205</v>
      </c>
      <c r="D39" s="9" t="s">
        <v>299</v>
      </c>
      <c r="E39" s="8" t="s">
        <v>23</v>
      </c>
      <c r="F39" s="9" t="s">
        <v>246</v>
      </c>
      <c r="G39" s="9">
        <v>1</v>
      </c>
      <c r="H39" s="6" t="s">
        <v>1891</v>
      </c>
      <c r="I39" s="9" t="s">
        <v>337</v>
      </c>
      <c r="J39" s="9" t="s">
        <v>145</v>
      </c>
    </row>
    <row r="40" spans="1:10">
      <c r="A40" s="5" t="s">
        <v>306</v>
      </c>
      <c r="B40" s="6" t="s">
        <v>2267</v>
      </c>
      <c r="C40" s="7">
        <v>46205</v>
      </c>
      <c r="D40" s="9" t="s">
        <v>261</v>
      </c>
      <c r="E40" s="8" t="s">
        <v>64</v>
      </c>
      <c r="F40" s="9" t="s">
        <v>242</v>
      </c>
      <c r="G40" s="9">
        <v>4</v>
      </c>
      <c r="H40" s="6" t="s">
        <v>1891</v>
      </c>
      <c r="I40" s="9" t="s">
        <v>337</v>
      </c>
      <c r="J40" s="9" t="s">
        <v>145</v>
      </c>
    </row>
    <row r="41" spans="1:10">
      <c r="A41" s="5" t="s">
        <v>307</v>
      </c>
      <c r="B41" s="6" t="s">
        <v>2267</v>
      </c>
      <c r="C41" s="7">
        <v>46205</v>
      </c>
      <c r="D41" s="9" t="s">
        <v>270</v>
      </c>
      <c r="E41" s="8" t="s">
        <v>271</v>
      </c>
      <c r="F41" s="9" t="s">
        <v>242</v>
      </c>
      <c r="G41" s="9">
        <v>4</v>
      </c>
      <c r="H41" s="6" t="s">
        <v>1891</v>
      </c>
      <c r="I41" s="9" t="s">
        <v>337</v>
      </c>
      <c r="J41" s="9" t="s">
        <v>145</v>
      </c>
    </row>
    <row r="42" spans="1:10">
      <c r="A42" s="5" t="s">
        <v>308</v>
      </c>
      <c r="B42" s="6" t="s">
        <v>2268</v>
      </c>
      <c r="C42" s="7">
        <v>46206</v>
      </c>
      <c r="D42" s="9" t="s">
        <v>241</v>
      </c>
      <c r="E42" s="8" t="s">
        <v>1152</v>
      </c>
      <c r="F42" s="9" t="s">
        <v>242</v>
      </c>
      <c r="G42" s="9">
        <v>1</v>
      </c>
      <c r="H42" s="6" t="s">
        <v>243</v>
      </c>
      <c r="I42" s="9" t="s">
        <v>605</v>
      </c>
      <c r="J42" s="9" t="s">
        <v>145</v>
      </c>
    </row>
    <row r="43" spans="1:10">
      <c r="A43" s="5" t="s">
        <v>312</v>
      </c>
      <c r="B43" s="6" t="s">
        <v>2268</v>
      </c>
      <c r="C43" s="7">
        <v>46206</v>
      </c>
      <c r="D43" s="9" t="s">
        <v>241</v>
      </c>
      <c r="E43" s="8" t="s">
        <v>27</v>
      </c>
      <c r="F43" s="9" t="s">
        <v>246</v>
      </c>
      <c r="G43" s="9">
        <v>1</v>
      </c>
      <c r="H43" s="6" t="s">
        <v>243</v>
      </c>
      <c r="I43" s="9" t="s">
        <v>605</v>
      </c>
      <c r="J43" s="9" t="s">
        <v>145</v>
      </c>
    </row>
    <row r="44" spans="1:10">
      <c r="A44" s="5" t="s">
        <v>313</v>
      </c>
      <c r="B44" s="6" t="s">
        <v>2268</v>
      </c>
      <c r="C44" s="7">
        <v>46206</v>
      </c>
      <c r="D44" s="9" t="s">
        <v>261</v>
      </c>
      <c r="E44" s="8" t="s">
        <v>62</v>
      </c>
      <c r="F44" s="9" t="s">
        <v>242</v>
      </c>
      <c r="G44" s="9">
        <v>2</v>
      </c>
      <c r="H44" s="6" t="s">
        <v>243</v>
      </c>
      <c r="I44" s="9" t="s">
        <v>605</v>
      </c>
      <c r="J44" s="9" t="s">
        <v>145</v>
      </c>
    </row>
    <row r="45" spans="1:10">
      <c r="A45" s="5" t="s">
        <v>314</v>
      </c>
      <c r="B45" s="6" t="s">
        <v>2268</v>
      </c>
      <c r="C45" s="7">
        <v>46206</v>
      </c>
      <c r="D45" s="9" t="s">
        <v>261</v>
      </c>
      <c r="E45" s="8" t="s">
        <v>281</v>
      </c>
      <c r="F45" s="9" t="s">
        <v>242</v>
      </c>
      <c r="G45" s="9">
        <v>1</v>
      </c>
      <c r="H45" s="6" t="s">
        <v>243</v>
      </c>
      <c r="I45" s="9" t="s">
        <v>605</v>
      </c>
      <c r="J45" s="9" t="s">
        <v>145</v>
      </c>
    </row>
    <row r="46" spans="1:10">
      <c r="A46" s="5" t="s">
        <v>317</v>
      </c>
      <c r="B46" s="6" t="s">
        <v>2269</v>
      </c>
      <c r="C46" s="7">
        <v>46206</v>
      </c>
      <c r="D46" s="9" t="s">
        <v>241</v>
      </c>
      <c r="E46" s="8" t="s">
        <v>1152</v>
      </c>
      <c r="F46" s="9" t="s">
        <v>242</v>
      </c>
      <c r="G46" s="9">
        <v>1</v>
      </c>
      <c r="H46" s="6" t="s">
        <v>931</v>
      </c>
      <c r="I46" s="9" t="s">
        <v>363</v>
      </c>
      <c r="J46" s="9" t="s">
        <v>145</v>
      </c>
    </row>
    <row r="47" spans="1:10">
      <c r="A47" s="5" t="s">
        <v>318</v>
      </c>
      <c r="B47" s="6" t="s">
        <v>2269</v>
      </c>
      <c r="C47" s="7">
        <v>46206</v>
      </c>
      <c r="D47" s="9" t="s">
        <v>241</v>
      </c>
      <c r="E47" s="8" t="s">
        <v>29</v>
      </c>
      <c r="F47" s="9" t="s">
        <v>246</v>
      </c>
      <c r="G47" s="9">
        <v>1</v>
      </c>
      <c r="H47" s="6" t="s">
        <v>931</v>
      </c>
      <c r="I47" s="9" t="s">
        <v>363</v>
      </c>
      <c r="J47" s="9" t="s">
        <v>145</v>
      </c>
    </row>
    <row r="48" spans="1:10">
      <c r="A48" s="5" t="s">
        <v>321</v>
      </c>
      <c r="B48" s="6" t="s">
        <v>2270</v>
      </c>
      <c r="C48" s="7">
        <v>46206</v>
      </c>
      <c r="D48" s="9" t="s">
        <v>241</v>
      </c>
      <c r="E48" s="4" t="s">
        <v>1152</v>
      </c>
      <c r="F48" s="9" t="s">
        <v>242</v>
      </c>
      <c r="G48" s="9">
        <v>1</v>
      </c>
      <c r="H48" s="6" t="s">
        <v>931</v>
      </c>
      <c r="I48" s="9" t="s">
        <v>605</v>
      </c>
      <c r="J48" s="9" t="s">
        <v>145</v>
      </c>
    </row>
    <row r="49" spans="1:10">
      <c r="A49" s="5" t="s">
        <v>322</v>
      </c>
      <c r="B49" s="6" t="s">
        <v>2270</v>
      </c>
      <c r="C49" s="7">
        <v>46206</v>
      </c>
      <c r="D49" s="9" t="s">
        <v>241</v>
      </c>
      <c r="E49" s="4" t="s">
        <v>29</v>
      </c>
      <c r="F49" s="9" t="s">
        <v>246</v>
      </c>
      <c r="G49" s="9">
        <v>1</v>
      </c>
      <c r="H49" s="6" t="s">
        <v>931</v>
      </c>
      <c r="I49" s="9" t="s">
        <v>605</v>
      </c>
      <c r="J49" s="9" t="s">
        <v>145</v>
      </c>
    </row>
    <row r="50" spans="1:10">
      <c r="A50" s="5" t="s">
        <v>324</v>
      </c>
      <c r="B50" s="6" t="s">
        <v>2270</v>
      </c>
      <c r="C50" s="7">
        <v>46206</v>
      </c>
      <c r="D50" s="9" t="s">
        <v>261</v>
      </c>
      <c r="E50" s="8" t="s">
        <v>62</v>
      </c>
      <c r="F50" s="9" t="s">
        <v>242</v>
      </c>
      <c r="G50" s="9">
        <v>1</v>
      </c>
      <c r="H50" s="6" t="s">
        <v>931</v>
      </c>
      <c r="I50" s="9" t="s">
        <v>605</v>
      </c>
      <c r="J50" s="9" t="s">
        <v>145</v>
      </c>
    </row>
    <row r="51" spans="1:10">
      <c r="A51" s="5" t="s">
        <v>325</v>
      </c>
      <c r="B51" s="6" t="s">
        <v>2271</v>
      </c>
      <c r="C51" s="7">
        <v>46206</v>
      </c>
      <c r="D51" s="9" t="s">
        <v>241</v>
      </c>
      <c r="E51" s="8" t="s">
        <v>1152</v>
      </c>
      <c r="F51" s="9" t="s">
        <v>242</v>
      </c>
      <c r="G51" s="9">
        <v>1</v>
      </c>
      <c r="H51" s="6" t="s">
        <v>243</v>
      </c>
      <c r="I51" s="9" t="s">
        <v>253</v>
      </c>
      <c r="J51" s="9" t="s">
        <v>145</v>
      </c>
    </row>
    <row r="52" spans="1:10">
      <c r="A52" s="5" t="s">
        <v>326</v>
      </c>
      <c r="B52" s="6" t="s">
        <v>2271</v>
      </c>
      <c r="C52" s="7">
        <v>46206</v>
      </c>
      <c r="D52" s="9" t="s">
        <v>241</v>
      </c>
      <c r="E52" s="8" t="s">
        <v>29</v>
      </c>
      <c r="F52" s="9" t="s">
        <v>246</v>
      </c>
      <c r="G52" s="9">
        <v>1</v>
      </c>
      <c r="H52" s="6" t="s">
        <v>243</v>
      </c>
      <c r="I52" s="9" t="s">
        <v>253</v>
      </c>
      <c r="J52" s="9" t="s">
        <v>145</v>
      </c>
    </row>
    <row r="53" spans="1:10">
      <c r="A53" s="5" t="s">
        <v>330</v>
      </c>
      <c r="B53" s="6" t="s">
        <v>2271</v>
      </c>
      <c r="C53" s="7">
        <v>46206</v>
      </c>
      <c r="D53" s="9" t="s">
        <v>261</v>
      </c>
      <c r="E53" s="4" t="s">
        <v>62</v>
      </c>
      <c r="F53" s="9" t="s">
        <v>242</v>
      </c>
      <c r="G53" s="9">
        <v>1</v>
      </c>
      <c r="H53" s="6" t="s">
        <v>243</v>
      </c>
      <c r="I53" s="9" t="s">
        <v>253</v>
      </c>
      <c r="J53" s="9" t="s">
        <v>145</v>
      </c>
    </row>
    <row r="54" spans="1:10">
      <c r="A54" s="5" t="s">
        <v>331</v>
      </c>
      <c r="B54" s="6" t="s">
        <v>2272</v>
      </c>
      <c r="C54" s="7">
        <v>46206</v>
      </c>
      <c r="D54" s="9" t="s">
        <v>299</v>
      </c>
      <c r="E54" s="8" t="s">
        <v>21</v>
      </c>
      <c r="F54" s="9" t="s">
        <v>242</v>
      </c>
      <c r="G54" s="9">
        <v>1</v>
      </c>
      <c r="H54" s="6" t="s">
        <v>328</v>
      </c>
      <c r="I54" s="9" t="s">
        <v>258</v>
      </c>
      <c r="J54" s="9" t="s">
        <v>145</v>
      </c>
    </row>
    <row r="55" spans="1:10">
      <c r="A55" s="5" t="s">
        <v>332</v>
      </c>
      <c r="B55" s="6" t="s">
        <v>2272</v>
      </c>
      <c r="C55" s="7">
        <v>46206</v>
      </c>
      <c r="D55" s="9" t="s">
        <v>299</v>
      </c>
      <c r="E55" s="4" t="s">
        <v>21</v>
      </c>
      <c r="F55" s="9" t="s">
        <v>246</v>
      </c>
      <c r="G55" s="9">
        <v>1</v>
      </c>
      <c r="H55" s="6" t="s">
        <v>328</v>
      </c>
      <c r="I55" s="9" t="s">
        <v>258</v>
      </c>
      <c r="J55" s="9" t="s">
        <v>145</v>
      </c>
    </row>
    <row r="56" spans="1:10">
      <c r="A56" s="5" t="s">
        <v>334</v>
      </c>
      <c r="B56" s="6" t="s">
        <v>2273</v>
      </c>
      <c r="C56" s="7">
        <v>46207</v>
      </c>
      <c r="D56" s="9" t="s">
        <v>299</v>
      </c>
      <c r="E56" s="8" t="s">
        <v>21</v>
      </c>
      <c r="F56" s="9" t="s">
        <v>242</v>
      </c>
      <c r="G56" s="9">
        <v>1</v>
      </c>
      <c r="H56" s="6" t="s">
        <v>243</v>
      </c>
      <c r="I56" s="9" t="s">
        <v>628</v>
      </c>
      <c r="J56" s="9" t="s">
        <v>145</v>
      </c>
    </row>
    <row r="57" spans="1:10">
      <c r="A57" s="5" t="s">
        <v>335</v>
      </c>
      <c r="B57" s="6" t="s">
        <v>2273</v>
      </c>
      <c r="C57" s="7">
        <v>46207</v>
      </c>
      <c r="D57" s="9" t="s">
        <v>299</v>
      </c>
      <c r="E57" s="4" t="s">
        <v>21</v>
      </c>
      <c r="F57" s="9" t="s">
        <v>246</v>
      </c>
      <c r="G57" s="9">
        <v>1</v>
      </c>
      <c r="H57" s="6" t="s">
        <v>243</v>
      </c>
      <c r="I57" s="9" t="s">
        <v>628</v>
      </c>
      <c r="J57" s="9" t="s">
        <v>145</v>
      </c>
    </row>
    <row r="58" spans="1:10">
      <c r="A58" s="5" t="s">
        <v>338</v>
      </c>
      <c r="B58" s="6" t="s">
        <v>2274</v>
      </c>
      <c r="C58" s="7">
        <v>46209</v>
      </c>
      <c r="D58" s="9" t="s">
        <v>241</v>
      </c>
      <c r="E58" s="8" t="s">
        <v>1152</v>
      </c>
      <c r="F58" s="9" t="s">
        <v>586</v>
      </c>
      <c r="G58" s="9">
        <v>1</v>
      </c>
      <c r="H58" s="6" t="s">
        <v>2275</v>
      </c>
      <c r="I58" s="9" t="s">
        <v>484</v>
      </c>
      <c r="J58" s="9" t="s">
        <v>145</v>
      </c>
    </row>
    <row r="59" spans="1:10">
      <c r="A59" s="5" t="s">
        <v>339</v>
      </c>
      <c r="B59" s="6" t="s">
        <v>2274</v>
      </c>
      <c r="C59" s="7">
        <v>46209</v>
      </c>
      <c r="D59" s="9" t="s">
        <v>500</v>
      </c>
      <c r="E59" s="8" t="s">
        <v>51</v>
      </c>
      <c r="F59" s="9" t="s">
        <v>586</v>
      </c>
      <c r="G59" s="9">
        <v>1</v>
      </c>
      <c r="H59" s="6" t="s">
        <v>2275</v>
      </c>
      <c r="I59" s="9" t="s">
        <v>484</v>
      </c>
      <c r="J59" s="9" t="s">
        <v>145</v>
      </c>
    </row>
    <row r="60" spans="1:10">
      <c r="A60" s="5" t="s">
        <v>342</v>
      </c>
      <c r="B60" s="6" t="s">
        <v>2276</v>
      </c>
      <c r="C60" s="7">
        <v>46209</v>
      </c>
      <c r="D60" s="9" t="s">
        <v>299</v>
      </c>
      <c r="E60" s="8" t="s">
        <v>376</v>
      </c>
      <c r="F60" s="9" t="s">
        <v>242</v>
      </c>
      <c r="G60" s="9">
        <v>1</v>
      </c>
      <c r="H60" s="6" t="s">
        <v>243</v>
      </c>
      <c r="I60" s="9" t="s">
        <v>484</v>
      </c>
      <c r="J60" s="9" t="s">
        <v>145</v>
      </c>
    </row>
    <row r="61" spans="1:10">
      <c r="A61" s="5" t="s">
        <v>343</v>
      </c>
      <c r="B61" s="6" t="s">
        <v>2276</v>
      </c>
      <c r="C61" s="7">
        <v>46209</v>
      </c>
      <c r="D61" s="9" t="s">
        <v>299</v>
      </c>
      <c r="E61" s="8" t="s">
        <v>376</v>
      </c>
      <c r="F61" s="9" t="s">
        <v>246</v>
      </c>
      <c r="G61" s="9">
        <v>1</v>
      </c>
      <c r="H61" s="6" t="s">
        <v>243</v>
      </c>
      <c r="I61" s="9" t="s">
        <v>484</v>
      </c>
      <c r="J61" s="9" t="s">
        <v>145</v>
      </c>
    </row>
    <row r="62" spans="1:10">
      <c r="A62" s="5" t="s">
        <v>345</v>
      </c>
      <c r="B62" s="6" t="s">
        <v>2277</v>
      </c>
      <c r="C62" s="7">
        <v>46209</v>
      </c>
      <c r="D62" s="9" t="s">
        <v>241</v>
      </c>
      <c r="E62" s="8" t="s">
        <v>1152</v>
      </c>
      <c r="F62" s="9" t="s">
        <v>242</v>
      </c>
      <c r="G62" s="9">
        <v>1</v>
      </c>
      <c r="H62" s="6" t="s">
        <v>310</v>
      </c>
      <c r="I62" s="9" t="s">
        <v>1546</v>
      </c>
      <c r="J62" s="9" t="s">
        <v>145</v>
      </c>
    </row>
    <row r="63" spans="1:10">
      <c r="A63" s="5" t="s">
        <v>346</v>
      </c>
      <c r="B63" s="6" t="s">
        <v>2277</v>
      </c>
      <c r="C63" s="7">
        <v>46209</v>
      </c>
      <c r="D63" s="9" t="s">
        <v>241</v>
      </c>
      <c r="E63" s="4" t="s">
        <v>29</v>
      </c>
      <c r="F63" s="9" t="s">
        <v>246</v>
      </c>
      <c r="G63" s="9">
        <v>1</v>
      </c>
      <c r="H63" s="6" t="s">
        <v>310</v>
      </c>
      <c r="I63" s="9" t="s">
        <v>1546</v>
      </c>
      <c r="J63" s="9" t="s">
        <v>145</v>
      </c>
    </row>
    <row r="64" spans="1:10">
      <c r="A64" s="5" t="s">
        <v>349</v>
      </c>
      <c r="B64" s="6" t="s">
        <v>2278</v>
      </c>
      <c r="C64" s="7">
        <v>46210</v>
      </c>
      <c r="D64" s="9" t="s">
        <v>299</v>
      </c>
      <c r="E64" s="8" t="s">
        <v>1334</v>
      </c>
      <c r="F64" s="9" t="s">
        <v>242</v>
      </c>
      <c r="G64" s="9">
        <v>1</v>
      </c>
      <c r="H64" s="6" t="s">
        <v>2279</v>
      </c>
      <c r="I64" s="9" t="s">
        <v>258</v>
      </c>
      <c r="J64" s="9" t="s">
        <v>145</v>
      </c>
    </row>
    <row r="65" spans="1:10">
      <c r="A65" s="5" t="s">
        <v>350</v>
      </c>
      <c r="B65" s="6" t="s">
        <v>2278</v>
      </c>
      <c r="C65" s="7">
        <v>46210</v>
      </c>
      <c r="D65" s="9" t="s">
        <v>299</v>
      </c>
      <c r="E65" s="8" t="s">
        <v>1334</v>
      </c>
      <c r="F65" s="9" t="s">
        <v>246</v>
      </c>
      <c r="G65" s="9">
        <v>1</v>
      </c>
      <c r="H65" s="6" t="s">
        <v>2279</v>
      </c>
      <c r="I65" s="9" t="s">
        <v>258</v>
      </c>
      <c r="J65" s="9" t="s">
        <v>145</v>
      </c>
    </row>
    <row r="66" spans="1:10">
      <c r="A66" s="5" t="s">
        <v>353</v>
      </c>
      <c r="B66" s="6" t="s">
        <v>2278</v>
      </c>
      <c r="C66" s="7">
        <v>46210</v>
      </c>
      <c r="D66" s="9" t="s">
        <v>270</v>
      </c>
      <c r="E66" s="8" t="s">
        <v>271</v>
      </c>
      <c r="F66" s="9" t="s">
        <v>242</v>
      </c>
      <c r="G66" s="9">
        <v>4</v>
      </c>
      <c r="H66" s="6" t="s">
        <v>2279</v>
      </c>
      <c r="I66" s="9" t="s">
        <v>258</v>
      </c>
      <c r="J66" s="9" t="s">
        <v>145</v>
      </c>
    </row>
    <row r="67" spans="1:10">
      <c r="A67" s="5" t="s">
        <v>354</v>
      </c>
      <c r="B67" s="6" t="s">
        <v>2278</v>
      </c>
      <c r="C67" s="7">
        <v>46210</v>
      </c>
      <c r="D67" s="9" t="s">
        <v>503</v>
      </c>
      <c r="E67" s="8" t="s">
        <v>206</v>
      </c>
      <c r="F67" s="9" t="s">
        <v>242</v>
      </c>
      <c r="G67" s="9">
        <v>2</v>
      </c>
      <c r="H67" s="6" t="s">
        <v>2279</v>
      </c>
      <c r="I67" s="9" t="s">
        <v>258</v>
      </c>
      <c r="J67" s="9" t="s">
        <v>145</v>
      </c>
    </row>
    <row r="68" spans="1:10">
      <c r="A68" s="5" t="s">
        <v>355</v>
      </c>
      <c r="B68" s="6" t="s">
        <v>2280</v>
      </c>
      <c r="C68" s="7">
        <v>46210</v>
      </c>
      <c r="D68" s="9" t="s">
        <v>241</v>
      </c>
      <c r="E68" s="8" t="s">
        <v>1152</v>
      </c>
      <c r="F68" s="9" t="s">
        <v>242</v>
      </c>
      <c r="G68" s="9">
        <v>1</v>
      </c>
      <c r="H68" s="6" t="s">
        <v>1417</v>
      </c>
      <c r="I68" s="9" t="s">
        <v>337</v>
      </c>
      <c r="J68" s="9" t="s">
        <v>145</v>
      </c>
    </row>
    <row r="69" spans="1:10">
      <c r="A69" s="5" t="s">
        <v>358</v>
      </c>
      <c r="B69" s="6" t="s">
        <v>2280</v>
      </c>
      <c r="C69" s="7">
        <v>46210</v>
      </c>
      <c r="D69" s="9" t="s">
        <v>241</v>
      </c>
      <c r="E69" s="8" t="s">
        <v>28</v>
      </c>
      <c r="F69" s="9" t="s">
        <v>246</v>
      </c>
      <c r="G69" s="9">
        <v>1</v>
      </c>
      <c r="H69" s="6" t="s">
        <v>1417</v>
      </c>
      <c r="I69" s="9" t="s">
        <v>337</v>
      </c>
      <c r="J69" s="9" t="s">
        <v>145</v>
      </c>
    </row>
    <row r="70" spans="1:10">
      <c r="A70" s="5" t="s">
        <v>359</v>
      </c>
      <c r="B70" s="6" t="s">
        <v>2280</v>
      </c>
      <c r="C70" s="7">
        <v>46210</v>
      </c>
      <c r="D70" s="9" t="s">
        <v>261</v>
      </c>
      <c r="E70" s="8" t="s">
        <v>62</v>
      </c>
      <c r="F70" s="9" t="s">
        <v>242</v>
      </c>
      <c r="G70" s="9">
        <v>1</v>
      </c>
      <c r="H70" s="6" t="s">
        <v>1417</v>
      </c>
      <c r="I70" s="9" t="s">
        <v>337</v>
      </c>
      <c r="J70" s="9" t="s">
        <v>145</v>
      </c>
    </row>
    <row r="71" spans="1:10">
      <c r="A71" s="5" t="s">
        <v>361</v>
      </c>
      <c r="B71" s="6" t="s">
        <v>2281</v>
      </c>
      <c r="C71" s="7">
        <v>46211</v>
      </c>
      <c r="D71" s="9" t="s">
        <v>1</v>
      </c>
      <c r="E71" s="8" t="s">
        <v>12</v>
      </c>
      <c r="F71" s="9" t="s">
        <v>242</v>
      </c>
      <c r="G71" s="9">
        <v>1</v>
      </c>
      <c r="H71" s="6" t="s">
        <v>2282</v>
      </c>
      <c r="I71" s="9" t="s">
        <v>484</v>
      </c>
      <c r="J71" s="9" t="s">
        <v>145</v>
      </c>
    </row>
    <row r="72" spans="1:10">
      <c r="A72" s="5" t="s">
        <v>364</v>
      </c>
      <c r="B72" s="6" t="s">
        <v>2281</v>
      </c>
      <c r="C72" s="7">
        <v>46211</v>
      </c>
      <c r="D72" s="9" t="s">
        <v>1</v>
      </c>
      <c r="E72" s="4" t="s">
        <v>12</v>
      </c>
      <c r="F72" s="9" t="s">
        <v>246</v>
      </c>
      <c r="G72" s="9">
        <v>1</v>
      </c>
      <c r="H72" s="6" t="s">
        <v>2282</v>
      </c>
      <c r="I72" s="9" t="s">
        <v>484</v>
      </c>
      <c r="J72" s="9" t="s">
        <v>145</v>
      </c>
    </row>
    <row r="73" spans="1:10">
      <c r="A73" s="5" t="s">
        <v>365</v>
      </c>
      <c r="B73" s="6" t="s">
        <v>2283</v>
      </c>
      <c r="C73" s="7">
        <v>46211</v>
      </c>
      <c r="D73" s="9" t="s">
        <v>299</v>
      </c>
      <c r="E73" s="8" t="s">
        <v>21</v>
      </c>
      <c r="F73" s="9" t="s">
        <v>242</v>
      </c>
      <c r="G73" s="9">
        <v>1</v>
      </c>
      <c r="H73" s="6" t="s">
        <v>243</v>
      </c>
      <c r="I73" s="9" t="s">
        <v>357</v>
      </c>
      <c r="J73" s="9" t="s">
        <v>145</v>
      </c>
    </row>
    <row r="74" spans="1:10">
      <c r="A74" s="5" t="s">
        <v>368</v>
      </c>
      <c r="B74" s="6" t="s">
        <v>2283</v>
      </c>
      <c r="C74" s="7">
        <v>46211</v>
      </c>
      <c r="D74" s="9" t="s">
        <v>299</v>
      </c>
      <c r="E74" s="8" t="s">
        <v>21</v>
      </c>
      <c r="F74" s="9" t="s">
        <v>246</v>
      </c>
      <c r="G74" s="9">
        <v>1</v>
      </c>
      <c r="H74" s="6" t="s">
        <v>243</v>
      </c>
      <c r="I74" s="9" t="s">
        <v>357</v>
      </c>
      <c r="J74" s="9" t="s">
        <v>145</v>
      </c>
    </row>
    <row r="75" spans="1:10">
      <c r="A75" s="5" t="s">
        <v>369</v>
      </c>
      <c r="B75" s="6" t="s">
        <v>2284</v>
      </c>
      <c r="C75" s="7">
        <v>46212</v>
      </c>
      <c r="D75" s="9" t="s">
        <v>241</v>
      </c>
      <c r="E75" s="8" t="s">
        <v>1152</v>
      </c>
      <c r="F75" s="9" t="s">
        <v>242</v>
      </c>
      <c r="G75" s="9">
        <v>1</v>
      </c>
      <c r="H75" s="6" t="s">
        <v>931</v>
      </c>
      <c r="I75" s="9" t="s">
        <v>258</v>
      </c>
      <c r="J75" s="9" t="s">
        <v>145</v>
      </c>
    </row>
    <row r="76" spans="1:10">
      <c r="A76" s="5" t="s">
        <v>370</v>
      </c>
      <c r="B76" s="6" t="s">
        <v>2284</v>
      </c>
      <c r="C76" s="7">
        <v>46212</v>
      </c>
      <c r="D76" s="9" t="s">
        <v>241</v>
      </c>
      <c r="E76" s="8" t="s">
        <v>29</v>
      </c>
      <c r="F76" s="9" t="s">
        <v>246</v>
      </c>
      <c r="G76" s="9">
        <v>1</v>
      </c>
      <c r="H76" s="6" t="s">
        <v>931</v>
      </c>
      <c r="I76" s="9" t="s">
        <v>258</v>
      </c>
      <c r="J76" s="9" t="s">
        <v>145</v>
      </c>
    </row>
    <row r="77" spans="1:10">
      <c r="A77" s="5" t="s">
        <v>372</v>
      </c>
      <c r="B77" s="6" t="s">
        <v>2284</v>
      </c>
      <c r="C77" s="7">
        <v>46212</v>
      </c>
      <c r="D77" s="9" t="s">
        <v>360</v>
      </c>
      <c r="E77" s="8" t="s">
        <v>59</v>
      </c>
      <c r="F77" s="9" t="s">
        <v>242</v>
      </c>
      <c r="G77" s="9">
        <v>1</v>
      </c>
      <c r="H77" s="6" t="s">
        <v>931</v>
      </c>
      <c r="I77" s="9" t="s">
        <v>258</v>
      </c>
      <c r="J77" s="9" t="s">
        <v>145</v>
      </c>
    </row>
    <row r="78" spans="1:10">
      <c r="A78" s="5" t="s">
        <v>373</v>
      </c>
      <c r="B78" s="6" t="s">
        <v>2284</v>
      </c>
      <c r="C78" s="7">
        <v>46212</v>
      </c>
      <c r="D78" s="9" t="s">
        <v>261</v>
      </c>
      <c r="E78" s="8" t="s">
        <v>281</v>
      </c>
      <c r="F78" s="9" t="s">
        <v>242</v>
      </c>
      <c r="G78" s="9">
        <v>4</v>
      </c>
      <c r="H78" s="6" t="s">
        <v>931</v>
      </c>
      <c r="I78" s="9" t="s">
        <v>258</v>
      </c>
      <c r="J78" s="9" t="s">
        <v>145</v>
      </c>
    </row>
    <row r="79" spans="1:10">
      <c r="A79" s="5" t="s">
        <v>375</v>
      </c>
      <c r="B79" s="6" t="s">
        <v>2285</v>
      </c>
      <c r="C79" s="7">
        <v>46212</v>
      </c>
      <c r="D79" s="9" t="s">
        <v>299</v>
      </c>
      <c r="E79" s="8" t="s">
        <v>21</v>
      </c>
      <c r="F79" s="9" t="s">
        <v>242</v>
      </c>
      <c r="G79" s="9">
        <v>1</v>
      </c>
      <c r="H79" s="6" t="s">
        <v>310</v>
      </c>
      <c r="I79" s="9" t="s">
        <v>258</v>
      </c>
      <c r="J79" s="9" t="s">
        <v>145</v>
      </c>
    </row>
    <row r="80" spans="1:10">
      <c r="A80" s="5" t="s">
        <v>377</v>
      </c>
      <c r="B80" s="6" t="s">
        <v>2285</v>
      </c>
      <c r="C80" s="7">
        <v>46212</v>
      </c>
      <c r="D80" s="9" t="s">
        <v>299</v>
      </c>
      <c r="E80" s="4" t="s">
        <v>376</v>
      </c>
      <c r="F80" s="9" t="s">
        <v>246</v>
      </c>
      <c r="G80" s="9">
        <v>1</v>
      </c>
      <c r="H80" s="6" t="s">
        <v>310</v>
      </c>
      <c r="I80" s="9" t="s">
        <v>258</v>
      </c>
      <c r="J80" s="9" t="s">
        <v>145</v>
      </c>
    </row>
    <row r="81" spans="1:10">
      <c r="A81" s="5" t="s">
        <v>378</v>
      </c>
      <c r="B81" s="6" t="s">
        <v>2286</v>
      </c>
      <c r="C81" s="7">
        <v>46212</v>
      </c>
      <c r="D81" s="9" t="s">
        <v>241</v>
      </c>
      <c r="E81" s="8" t="s">
        <v>28</v>
      </c>
      <c r="F81" s="9" t="s">
        <v>242</v>
      </c>
      <c r="G81" s="9">
        <v>1</v>
      </c>
      <c r="H81" s="6" t="s">
        <v>243</v>
      </c>
      <c r="I81" s="9" t="s">
        <v>266</v>
      </c>
      <c r="J81" s="9" t="s">
        <v>145</v>
      </c>
    </row>
    <row r="82" spans="1:10">
      <c r="A82" s="5" t="s">
        <v>379</v>
      </c>
      <c r="B82" s="6" t="s">
        <v>2286</v>
      </c>
      <c r="C82" s="7">
        <v>46212</v>
      </c>
      <c r="D82" s="9" t="s">
        <v>241</v>
      </c>
      <c r="E82" s="8" t="s">
        <v>29</v>
      </c>
      <c r="F82" s="9" t="s">
        <v>246</v>
      </c>
      <c r="G82" s="9">
        <v>1</v>
      </c>
      <c r="H82" s="6" t="s">
        <v>243</v>
      </c>
      <c r="I82" s="9" t="s">
        <v>266</v>
      </c>
      <c r="J82" s="9" t="s">
        <v>145</v>
      </c>
    </row>
    <row r="83" spans="1:10">
      <c r="A83" s="5" t="s">
        <v>381</v>
      </c>
      <c r="B83" s="6" t="s">
        <v>2287</v>
      </c>
      <c r="C83" s="7">
        <v>46212</v>
      </c>
      <c r="D83" s="9" t="s">
        <v>241</v>
      </c>
      <c r="E83" s="8" t="s">
        <v>1152</v>
      </c>
      <c r="F83" s="9" t="s">
        <v>242</v>
      </c>
      <c r="G83" s="9">
        <v>1</v>
      </c>
      <c r="H83" s="6" t="s">
        <v>408</v>
      </c>
      <c r="I83" s="9" t="s">
        <v>1546</v>
      </c>
      <c r="J83" s="9" t="s">
        <v>145</v>
      </c>
    </row>
    <row r="84" spans="1:10">
      <c r="A84" s="5" t="s">
        <v>382</v>
      </c>
      <c r="B84" s="6" t="s">
        <v>2287</v>
      </c>
      <c r="C84" s="7">
        <v>46212</v>
      </c>
      <c r="D84" s="9" t="s">
        <v>241</v>
      </c>
      <c r="E84" s="8" t="s">
        <v>29</v>
      </c>
      <c r="F84" s="9" t="s">
        <v>246</v>
      </c>
      <c r="G84" s="9">
        <v>1</v>
      </c>
      <c r="H84" s="6" t="s">
        <v>408</v>
      </c>
      <c r="I84" s="9" t="s">
        <v>1546</v>
      </c>
      <c r="J84" s="9" t="s">
        <v>145</v>
      </c>
    </row>
    <row r="85" spans="1:10">
      <c r="A85" s="5" t="s">
        <v>384</v>
      </c>
      <c r="B85" s="6" t="s">
        <v>2288</v>
      </c>
      <c r="C85" s="7">
        <v>46212</v>
      </c>
      <c r="D85" s="9" t="s">
        <v>714</v>
      </c>
      <c r="E85" s="8" t="s">
        <v>715</v>
      </c>
      <c r="F85" s="9" t="s">
        <v>242</v>
      </c>
      <c r="G85" s="9">
        <v>1</v>
      </c>
      <c r="H85" s="6" t="s">
        <v>2289</v>
      </c>
      <c r="I85" s="9" t="s">
        <v>484</v>
      </c>
      <c r="J85" s="9" t="s">
        <v>145</v>
      </c>
    </row>
    <row r="86" spans="1:10">
      <c r="A86" s="5" t="s">
        <v>385</v>
      </c>
      <c r="B86" s="6" t="s">
        <v>2290</v>
      </c>
      <c r="C86" s="7">
        <v>46213</v>
      </c>
      <c r="D86" s="9" t="s">
        <v>299</v>
      </c>
      <c r="E86" s="8" t="s">
        <v>21</v>
      </c>
      <c r="F86" s="9" t="s">
        <v>242</v>
      </c>
      <c r="G86" s="9">
        <v>1</v>
      </c>
      <c r="H86" s="6" t="s">
        <v>2291</v>
      </c>
      <c r="I86" s="9" t="s">
        <v>266</v>
      </c>
      <c r="J86" s="9" t="s">
        <v>145</v>
      </c>
    </row>
    <row r="87" spans="1:10">
      <c r="A87" s="5" t="s">
        <v>389</v>
      </c>
      <c r="B87" s="6" t="s">
        <v>2290</v>
      </c>
      <c r="C87" s="7">
        <v>46213</v>
      </c>
      <c r="D87" s="9" t="s">
        <v>299</v>
      </c>
      <c r="E87" s="8" t="s">
        <v>21</v>
      </c>
      <c r="F87" s="9" t="s">
        <v>246</v>
      </c>
      <c r="G87" s="9">
        <v>1</v>
      </c>
      <c r="H87" s="6" t="s">
        <v>2291</v>
      </c>
      <c r="I87" s="9" t="s">
        <v>266</v>
      </c>
      <c r="J87" s="9" t="s">
        <v>145</v>
      </c>
    </row>
    <row r="88" spans="1:10">
      <c r="A88" s="5" t="s">
        <v>390</v>
      </c>
      <c r="B88" s="6" t="s">
        <v>2271</v>
      </c>
      <c r="C88" s="7">
        <v>46213</v>
      </c>
      <c r="D88" s="9" t="s">
        <v>241</v>
      </c>
      <c r="E88" s="8" t="s">
        <v>1152</v>
      </c>
      <c r="F88" s="9" t="s">
        <v>242</v>
      </c>
      <c r="G88" s="9">
        <v>1</v>
      </c>
      <c r="H88" s="6" t="s">
        <v>243</v>
      </c>
      <c r="I88" s="9" t="s">
        <v>275</v>
      </c>
      <c r="J88" s="9" t="s">
        <v>145</v>
      </c>
    </row>
    <row r="89" spans="1:10">
      <c r="A89" s="5" t="s">
        <v>391</v>
      </c>
      <c r="B89" s="6" t="s">
        <v>2271</v>
      </c>
      <c r="C89" s="7">
        <v>46213</v>
      </c>
      <c r="D89" s="9" t="s">
        <v>241</v>
      </c>
      <c r="E89" s="8" t="s">
        <v>29</v>
      </c>
      <c r="F89" s="9" t="s">
        <v>246</v>
      </c>
      <c r="G89" s="9">
        <v>1</v>
      </c>
      <c r="H89" s="6" t="s">
        <v>243</v>
      </c>
      <c r="I89" s="9" t="s">
        <v>275</v>
      </c>
      <c r="J89" s="9" t="s">
        <v>145</v>
      </c>
    </row>
    <row r="90" spans="1:10">
      <c r="A90" s="5" t="s">
        <v>393</v>
      </c>
      <c r="B90" s="6" t="s">
        <v>2271</v>
      </c>
      <c r="C90" s="7">
        <v>46213</v>
      </c>
      <c r="D90" s="9" t="s">
        <v>261</v>
      </c>
      <c r="E90" s="8" t="s">
        <v>62</v>
      </c>
      <c r="F90" s="9" t="s">
        <v>242</v>
      </c>
      <c r="G90" s="9">
        <v>2</v>
      </c>
      <c r="H90" s="6" t="s">
        <v>243</v>
      </c>
      <c r="I90" s="9" t="s">
        <v>275</v>
      </c>
      <c r="J90" s="9" t="s">
        <v>145</v>
      </c>
    </row>
    <row r="91" spans="1:10">
      <c r="A91" s="5" t="s">
        <v>394</v>
      </c>
      <c r="B91" s="6" t="s">
        <v>2292</v>
      </c>
      <c r="C91" s="7">
        <v>46213</v>
      </c>
      <c r="D91" s="9" t="s">
        <v>299</v>
      </c>
      <c r="E91" s="8" t="s">
        <v>21</v>
      </c>
      <c r="F91" s="9" t="s">
        <v>242</v>
      </c>
      <c r="G91" s="9">
        <v>1</v>
      </c>
      <c r="H91" s="6" t="s">
        <v>320</v>
      </c>
      <c r="I91" s="9" t="s">
        <v>266</v>
      </c>
      <c r="J91" s="9" t="s">
        <v>145</v>
      </c>
    </row>
    <row r="92" spans="1:10">
      <c r="A92" s="5" t="s">
        <v>396</v>
      </c>
      <c r="B92" s="6" t="s">
        <v>2292</v>
      </c>
      <c r="C92" s="7">
        <v>46213</v>
      </c>
      <c r="D92" s="9" t="s">
        <v>299</v>
      </c>
      <c r="E92" s="8" t="s">
        <v>22</v>
      </c>
      <c r="F92" s="9" t="s">
        <v>246</v>
      </c>
      <c r="G92" s="9">
        <v>1</v>
      </c>
      <c r="H92" s="6" t="s">
        <v>320</v>
      </c>
      <c r="I92" s="9" t="s">
        <v>266</v>
      </c>
      <c r="J92" s="9" t="s">
        <v>145</v>
      </c>
    </row>
    <row r="93" spans="1:10">
      <c r="A93" s="5" t="s">
        <v>398</v>
      </c>
      <c r="B93" s="6" t="s">
        <v>2293</v>
      </c>
      <c r="C93" s="7">
        <v>46183</v>
      </c>
      <c r="D93" s="9" t="s">
        <v>299</v>
      </c>
      <c r="E93" s="4" t="s">
        <v>21</v>
      </c>
      <c r="F93" s="9" t="s">
        <v>242</v>
      </c>
      <c r="G93" s="9">
        <v>1</v>
      </c>
      <c r="H93" s="6" t="s">
        <v>243</v>
      </c>
      <c r="I93" s="9" t="s">
        <v>258</v>
      </c>
      <c r="J93" s="9" t="s">
        <v>145</v>
      </c>
    </row>
    <row r="94" spans="1:10">
      <c r="A94" s="5" t="s">
        <v>399</v>
      </c>
      <c r="B94" s="6" t="s">
        <v>2293</v>
      </c>
      <c r="C94" s="7">
        <v>46183</v>
      </c>
      <c r="D94" s="9" t="s">
        <v>299</v>
      </c>
      <c r="E94" s="8" t="s">
        <v>22</v>
      </c>
      <c r="F94" s="9" t="s">
        <v>246</v>
      </c>
      <c r="G94" s="9">
        <v>1</v>
      </c>
      <c r="H94" s="6" t="s">
        <v>243</v>
      </c>
      <c r="I94" s="9" t="s">
        <v>258</v>
      </c>
      <c r="J94" s="9" t="s">
        <v>145</v>
      </c>
    </row>
    <row r="95" spans="1:10">
      <c r="A95" s="5" t="s">
        <v>401</v>
      </c>
      <c r="B95" s="6" t="s">
        <v>2293</v>
      </c>
      <c r="C95" s="7">
        <v>46183</v>
      </c>
      <c r="D95" s="9" t="s">
        <v>500</v>
      </c>
      <c r="E95" s="8" t="s">
        <v>50</v>
      </c>
      <c r="F95" s="9" t="s">
        <v>242</v>
      </c>
      <c r="G95" s="9">
        <v>1</v>
      </c>
      <c r="H95" s="6" t="s">
        <v>243</v>
      </c>
      <c r="I95" s="9" t="s">
        <v>258</v>
      </c>
      <c r="J95" s="9" t="s">
        <v>145</v>
      </c>
    </row>
    <row r="96" spans="1:10">
      <c r="A96" s="5" t="s">
        <v>402</v>
      </c>
      <c r="B96" s="6" t="s">
        <v>2293</v>
      </c>
      <c r="C96" s="7">
        <v>46183</v>
      </c>
      <c r="D96" s="9" t="s">
        <v>261</v>
      </c>
      <c r="E96" s="8" t="s">
        <v>62</v>
      </c>
      <c r="F96" s="9" t="s">
        <v>242</v>
      </c>
      <c r="G96" s="9">
        <v>3</v>
      </c>
      <c r="H96" s="6" t="s">
        <v>243</v>
      </c>
      <c r="I96" s="9" t="s">
        <v>258</v>
      </c>
      <c r="J96" s="9" t="s">
        <v>145</v>
      </c>
    </row>
    <row r="97" spans="1:10">
      <c r="A97" s="5" t="s">
        <v>403</v>
      </c>
      <c r="B97" s="6" t="s">
        <v>2293</v>
      </c>
      <c r="C97" s="7">
        <v>46183</v>
      </c>
      <c r="D97" s="9" t="s">
        <v>261</v>
      </c>
      <c r="E97" s="8" t="s">
        <v>281</v>
      </c>
      <c r="F97" s="9" t="s">
        <v>242</v>
      </c>
      <c r="G97" s="9">
        <v>3</v>
      </c>
      <c r="H97" s="6" t="s">
        <v>243</v>
      </c>
      <c r="I97" s="9" t="s">
        <v>258</v>
      </c>
      <c r="J97" s="9" t="s">
        <v>145</v>
      </c>
    </row>
    <row r="98" spans="1:10">
      <c r="A98" s="5" t="s">
        <v>405</v>
      </c>
      <c r="B98" s="6" t="s">
        <v>2293</v>
      </c>
      <c r="C98" s="7">
        <v>46183</v>
      </c>
      <c r="D98" s="9" t="s">
        <v>503</v>
      </c>
      <c r="E98" s="8" t="s">
        <v>162</v>
      </c>
      <c r="F98" s="9" t="s">
        <v>242</v>
      </c>
      <c r="G98" s="9">
        <v>1</v>
      </c>
      <c r="H98" s="6" t="s">
        <v>243</v>
      </c>
      <c r="I98" s="9" t="s">
        <v>258</v>
      </c>
      <c r="J98" s="9" t="s">
        <v>145</v>
      </c>
    </row>
    <row r="99" spans="1:10">
      <c r="A99" s="5" t="s">
        <v>406</v>
      </c>
      <c r="B99" s="6" t="s">
        <v>2293</v>
      </c>
      <c r="C99" s="7">
        <v>46183</v>
      </c>
      <c r="D99" s="9" t="s">
        <v>503</v>
      </c>
      <c r="E99" s="8" t="s">
        <v>206</v>
      </c>
      <c r="F99" s="9" t="s">
        <v>242</v>
      </c>
      <c r="G99" s="9">
        <v>2</v>
      </c>
      <c r="H99" s="6" t="s">
        <v>243</v>
      </c>
      <c r="I99" s="9" t="s">
        <v>258</v>
      </c>
      <c r="J99" s="9" t="s">
        <v>145</v>
      </c>
    </row>
    <row r="100" spans="1:10">
      <c r="A100" s="5" t="s">
        <v>409</v>
      </c>
      <c r="B100" s="6" t="s">
        <v>2294</v>
      </c>
      <c r="C100" s="7">
        <v>46214</v>
      </c>
      <c r="D100" s="9" t="s">
        <v>1</v>
      </c>
      <c r="E100" s="8" t="s">
        <v>147</v>
      </c>
      <c r="F100" s="9" t="s">
        <v>242</v>
      </c>
      <c r="G100" s="9">
        <v>1</v>
      </c>
      <c r="H100" s="6" t="s">
        <v>2295</v>
      </c>
      <c r="I100" s="9" t="s">
        <v>609</v>
      </c>
      <c r="J100" s="9" t="s">
        <v>145</v>
      </c>
    </row>
    <row r="101" spans="1:10">
      <c r="A101" s="5" t="s">
        <v>410</v>
      </c>
      <c r="B101" s="6" t="s">
        <v>2296</v>
      </c>
      <c r="C101" s="7">
        <v>46215</v>
      </c>
      <c r="D101" s="9" t="s">
        <v>665</v>
      </c>
      <c r="E101" s="8" t="s">
        <v>666</v>
      </c>
      <c r="F101" s="9" t="s">
        <v>242</v>
      </c>
      <c r="G101" s="9">
        <v>1</v>
      </c>
      <c r="H101" s="6" t="s">
        <v>2297</v>
      </c>
      <c r="I101" s="9" t="s">
        <v>628</v>
      </c>
      <c r="J101" s="9" t="s">
        <v>145</v>
      </c>
    </row>
    <row r="102" spans="1:10">
      <c r="A102" s="5" t="s">
        <v>412</v>
      </c>
      <c r="B102" s="6" t="s">
        <v>2296</v>
      </c>
      <c r="C102" s="7">
        <v>46215</v>
      </c>
      <c r="D102" s="9" t="s">
        <v>261</v>
      </c>
      <c r="E102" s="8" t="s">
        <v>64</v>
      </c>
      <c r="F102" s="9" t="s">
        <v>242</v>
      </c>
      <c r="G102" s="9">
        <v>1</v>
      </c>
      <c r="H102" s="6" t="s">
        <v>2297</v>
      </c>
      <c r="I102" s="9" t="s">
        <v>628</v>
      </c>
      <c r="J102" s="9" t="s">
        <v>145</v>
      </c>
    </row>
    <row r="103" spans="1:10">
      <c r="A103" s="5" t="s">
        <v>413</v>
      </c>
      <c r="B103" s="6" t="s">
        <v>2296</v>
      </c>
      <c r="C103" s="7">
        <v>46215</v>
      </c>
      <c r="D103" s="9" t="s">
        <v>270</v>
      </c>
      <c r="E103" s="8" t="s">
        <v>271</v>
      </c>
      <c r="F103" s="9" t="s">
        <v>242</v>
      </c>
      <c r="G103" s="9">
        <v>1</v>
      </c>
      <c r="H103" s="6" t="s">
        <v>2297</v>
      </c>
      <c r="I103" s="9" t="s">
        <v>628</v>
      </c>
      <c r="J103" s="9" t="s">
        <v>145</v>
      </c>
    </row>
    <row r="104" spans="1:10">
      <c r="A104" s="5" t="s">
        <v>416</v>
      </c>
      <c r="B104" s="6" t="s">
        <v>2296</v>
      </c>
      <c r="C104" s="7">
        <v>46215</v>
      </c>
      <c r="D104" s="9" t="s">
        <v>503</v>
      </c>
      <c r="E104" s="8" t="s">
        <v>1429</v>
      </c>
      <c r="F104" s="9" t="s">
        <v>242</v>
      </c>
      <c r="G104" s="9">
        <v>10</v>
      </c>
      <c r="H104" s="6" t="s">
        <v>2297</v>
      </c>
      <c r="I104" s="9" t="s">
        <v>628</v>
      </c>
      <c r="J104" s="9" t="s">
        <v>145</v>
      </c>
    </row>
    <row r="105" spans="1:10">
      <c r="A105" s="5" t="s">
        <v>417</v>
      </c>
      <c r="B105" s="6" t="s">
        <v>2296</v>
      </c>
      <c r="C105" s="7">
        <v>46215</v>
      </c>
      <c r="D105" s="9" t="s">
        <v>503</v>
      </c>
      <c r="E105" s="8" t="s">
        <v>75</v>
      </c>
      <c r="F105" s="9" t="s">
        <v>242</v>
      </c>
      <c r="G105" s="9">
        <v>2</v>
      </c>
      <c r="H105" s="6" t="s">
        <v>2297</v>
      </c>
      <c r="I105" s="9" t="s">
        <v>628</v>
      </c>
      <c r="J105" s="9" t="s">
        <v>145</v>
      </c>
    </row>
    <row r="106" spans="1:10">
      <c r="A106" s="5" t="s">
        <v>420</v>
      </c>
      <c r="B106" s="6" t="s">
        <v>2298</v>
      </c>
      <c r="C106" s="7">
        <v>46216</v>
      </c>
      <c r="D106" s="9" t="s">
        <v>241</v>
      </c>
      <c r="E106" s="8" t="s">
        <v>1152</v>
      </c>
      <c r="F106" s="9" t="s">
        <v>242</v>
      </c>
      <c r="G106" s="9">
        <v>1</v>
      </c>
      <c r="H106" s="6" t="s">
        <v>243</v>
      </c>
      <c r="I106" s="9" t="s">
        <v>258</v>
      </c>
      <c r="J106" s="9" t="s">
        <v>145</v>
      </c>
    </row>
    <row r="107" spans="1:10">
      <c r="A107" s="5" t="s">
        <v>421</v>
      </c>
      <c r="B107" s="6" t="s">
        <v>2298</v>
      </c>
      <c r="C107" s="7">
        <v>46216</v>
      </c>
      <c r="D107" s="9" t="s">
        <v>241</v>
      </c>
      <c r="E107" s="8" t="s">
        <v>29</v>
      </c>
      <c r="F107" s="9" t="s">
        <v>246</v>
      </c>
      <c r="G107" s="9">
        <v>1</v>
      </c>
      <c r="H107" s="6" t="s">
        <v>243</v>
      </c>
      <c r="I107" s="9" t="s">
        <v>258</v>
      </c>
      <c r="J107" s="9" t="s">
        <v>145</v>
      </c>
    </row>
    <row r="108" spans="1:10">
      <c r="A108" s="5" t="s">
        <v>424</v>
      </c>
      <c r="B108" s="6" t="s">
        <v>2299</v>
      </c>
      <c r="C108" s="7">
        <v>46216</v>
      </c>
      <c r="D108" s="9" t="s">
        <v>241</v>
      </c>
      <c r="E108" s="8" t="s">
        <v>1152</v>
      </c>
      <c r="F108" s="9" t="s">
        <v>242</v>
      </c>
      <c r="G108" s="9">
        <v>1</v>
      </c>
      <c r="H108" s="6" t="s">
        <v>243</v>
      </c>
      <c r="I108" s="9" t="s">
        <v>337</v>
      </c>
      <c r="J108" s="9" t="s">
        <v>145</v>
      </c>
    </row>
    <row r="109" spans="1:10">
      <c r="A109" s="5" t="s">
        <v>425</v>
      </c>
      <c r="B109" s="6" t="s">
        <v>2299</v>
      </c>
      <c r="C109" s="7">
        <v>46216</v>
      </c>
      <c r="D109" s="9" t="s">
        <v>241</v>
      </c>
      <c r="E109" s="4" t="s">
        <v>27</v>
      </c>
      <c r="F109" s="9" t="s">
        <v>246</v>
      </c>
      <c r="G109" s="9">
        <v>1</v>
      </c>
      <c r="H109" s="6" t="s">
        <v>243</v>
      </c>
      <c r="I109" s="9" t="s">
        <v>337</v>
      </c>
      <c r="J109" s="9" t="s">
        <v>145</v>
      </c>
    </row>
    <row r="110" spans="1:10">
      <c r="A110" s="5" t="s">
        <v>427</v>
      </c>
      <c r="B110" s="6" t="s">
        <v>2300</v>
      </c>
      <c r="C110" s="7">
        <v>46216</v>
      </c>
      <c r="D110" s="9" t="s">
        <v>1</v>
      </c>
      <c r="E110" s="8" t="s">
        <v>16</v>
      </c>
      <c r="F110" s="9" t="s">
        <v>242</v>
      </c>
      <c r="G110" s="9">
        <v>1</v>
      </c>
      <c r="H110" s="6" t="s">
        <v>2301</v>
      </c>
      <c r="I110" s="9" t="s">
        <v>918</v>
      </c>
      <c r="J110" s="9" t="s">
        <v>145</v>
      </c>
    </row>
    <row r="111" spans="1:10" ht="15" customHeight="1">
      <c r="A111" s="5" t="s">
        <v>428</v>
      </c>
      <c r="B111" s="6" t="s">
        <v>2300</v>
      </c>
      <c r="C111" s="7">
        <v>46216</v>
      </c>
      <c r="D111" s="9" t="s">
        <v>1</v>
      </c>
      <c r="E111" s="8" t="s">
        <v>147</v>
      </c>
      <c r="F111" s="9" t="s">
        <v>246</v>
      </c>
      <c r="G111" s="9">
        <v>1</v>
      </c>
      <c r="H111" s="6" t="s">
        <v>2301</v>
      </c>
      <c r="I111" s="9" t="s">
        <v>918</v>
      </c>
      <c r="J111" s="9" t="s">
        <v>145</v>
      </c>
    </row>
    <row r="112" spans="1:10">
      <c r="A112" s="5" t="s">
        <v>430</v>
      </c>
      <c r="B112" s="6" t="s">
        <v>2300</v>
      </c>
      <c r="C112" s="7">
        <v>46216</v>
      </c>
      <c r="D112" s="9" t="s">
        <v>261</v>
      </c>
      <c r="E112" s="4" t="s">
        <v>64</v>
      </c>
      <c r="F112" s="9" t="s">
        <v>242</v>
      </c>
      <c r="G112" s="9">
        <v>2</v>
      </c>
      <c r="H112" s="6" t="s">
        <v>2301</v>
      </c>
      <c r="I112" s="9" t="s">
        <v>918</v>
      </c>
      <c r="J112" s="9" t="s">
        <v>145</v>
      </c>
    </row>
    <row r="113" spans="1:10">
      <c r="A113" s="5" t="s">
        <v>431</v>
      </c>
      <c r="B113" s="6" t="s">
        <v>2300</v>
      </c>
      <c r="C113" s="7">
        <v>46216</v>
      </c>
      <c r="D113" s="9" t="s">
        <v>270</v>
      </c>
      <c r="E113" s="8" t="s">
        <v>271</v>
      </c>
      <c r="F113" s="9" t="s">
        <v>242</v>
      </c>
      <c r="G113" s="9">
        <v>2</v>
      </c>
      <c r="H113" s="6" t="s">
        <v>2301</v>
      </c>
      <c r="I113" s="9" t="s">
        <v>918</v>
      </c>
      <c r="J113" s="9" t="s">
        <v>145</v>
      </c>
    </row>
    <row r="114" spans="1:10">
      <c r="A114" s="5" t="s">
        <v>433</v>
      </c>
      <c r="B114" s="6" t="s">
        <v>2300</v>
      </c>
      <c r="C114" s="7">
        <v>46216</v>
      </c>
      <c r="D114" s="9" t="s">
        <v>270</v>
      </c>
      <c r="E114" s="8" t="s">
        <v>663</v>
      </c>
      <c r="F114" s="9" t="s">
        <v>242</v>
      </c>
      <c r="G114" s="9">
        <v>1</v>
      </c>
      <c r="H114" s="6" t="s">
        <v>2301</v>
      </c>
      <c r="I114" s="9" t="s">
        <v>918</v>
      </c>
      <c r="J114" s="9" t="s">
        <v>145</v>
      </c>
    </row>
    <row r="115" spans="1:10">
      <c r="A115" s="5" t="s">
        <v>434</v>
      </c>
      <c r="B115" s="6" t="s">
        <v>2300</v>
      </c>
      <c r="C115" s="7">
        <v>46216</v>
      </c>
      <c r="D115" s="9" t="s">
        <v>503</v>
      </c>
      <c r="E115" s="4" t="s">
        <v>162</v>
      </c>
      <c r="F115" s="9" t="s">
        <v>242</v>
      </c>
      <c r="G115" s="9">
        <v>2</v>
      </c>
      <c r="H115" s="6" t="s">
        <v>2301</v>
      </c>
      <c r="I115" s="9" t="s">
        <v>918</v>
      </c>
      <c r="J115" s="9" t="s">
        <v>145</v>
      </c>
    </row>
    <row r="116" spans="1:10">
      <c r="A116" s="5" t="s">
        <v>435</v>
      </c>
      <c r="B116" s="6" t="s">
        <v>2300</v>
      </c>
      <c r="C116" s="7">
        <v>46216</v>
      </c>
      <c r="D116" s="9" t="s">
        <v>503</v>
      </c>
      <c r="E116" s="8" t="s">
        <v>206</v>
      </c>
      <c r="F116" s="9" t="s">
        <v>242</v>
      </c>
      <c r="G116" s="9">
        <v>2</v>
      </c>
      <c r="H116" s="6" t="s">
        <v>2301</v>
      </c>
      <c r="I116" s="9" t="s">
        <v>918</v>
      </c>
      <c r="J116" s="9" t="s">
        <v>145</v>
      </c>
    </row>
    <row r="117" spans="1:10">
      <c r="A117" s="5" t="s">
        <v>437</v>
      </c>
      <c r="B117" s="6" t="s">
        <v>2302</v>
      </c>
      <c r="C117" s="7">
        <v>46216</v>
      </c>
      <c r="D117" s="9" t="s">
        <v>299</v>
      </c>
      <c r="E117" s="8" t="s">
        <v>376</v>
      </c>
      <c r="F117" s="9" t="s">
        <v>242</v>
      </c>
      <c r="G117" s="9">
        <v>1</v>
      </c>
      <c r="H117" s="6" t="s">
        <v>526</v>
      </c>
      <c r="I117" s="9" t="s">
        <v>918</v>
      </c>
      <c r="J117" s="9" t="s">
        <v>145</v>
      </c>
    </row>
    <row r="118" spans="1:10">
      <c r="A118" s="5" t="s">
        <v>438</v>
      </c>
      <c r="B118" s="6" t="s">
        <v>2302</v>
      </c>
      <c r="C118" s="7">
        <v>46216</v>
      </c>
      <c r="D118" s="9" t="s">
        <v>299</v>
      </c>
      <c r="E118" s="8" t="s">
        <v>376</v>
      </c>
      <c r="F118" s="9" t="s">
        <v>246</v>
      </c>
      <c r="G118" s="9">
        <v>1</v>
      </c>
      <c r="H118" s="6" t="s">
        <v>526</v>
      </c>
      <c r="I118" s="9" t="s">
        <v>918</v>
      </c>
      <c r="J118" s="9" t="s">
        <v>145</v>
      </c>
    </row>
    <row r="119" spans="1:10">
      <c r="A119" s="5" t="s">
        <v>439</v>
      </c>
      <c r="B119" s="6" t="s">
        <v>2303</v>
      </c>
      <c r="C119" s="7">
        <v>46216</v>
      </c>
      <c r="D119" s="9" t="s">
        <v>299</v>
      </c>
      <c r="E119" s="8" t="s">
        <v>376</v>
      </c>
      <c r="F119" s="9" t="s">
        <v>242</v>
      </c>
      <c r="G119" s="9">
        <v>1</v>
      </c>
      <c r="H119" s="6" t="s">
        <v>249</v>
      </c>
      <c r="I119" s="9" t="s">
        <v>918</v>
      </c>
      <c r="J119" s="9" t="s">
        <v>145</v>
      </c>
    </row>
    <row r="120" spans="1:10">
      <c r="A120" s="5" t="s">
        <v>441</v>
      </c>
      <c r="B120" s="6" t="s">
        <v>2303</v>
      </c>
      <c r="C120" s="7">
        <v>46216</v>
      </c>
      <c r="D120" s="9" t="s">
        <v>299</v>
      </c>
      <c r="E120" s="8" t="s">
        <v>22</v>
      </c>
      <c r="F120" s="9" t="s">
        <v>246</v>
      </c>
      <c r="G120" s="9">
        <v>1</v>
      </c>
      <c r="H120" s="6" t="s">
        <v>249</v>
      </c>
      <c r="I120" s="9" t="s">
        <v>918</v>
      </c>
      <c r="J120" s="9" t="s">
        <v>145</v>
      </c>
    </row>
    <row r="121" spans="1:10">
      <c r="A121" s="5" t="s">
        <v>442</v>
      </c>
      <c r="B121" s="6" t="s">
        <v>2304</v>
      </c>
      <c r="C121" s="7">
        <v>46216</v>
      </c>
      <c r="D121" s="9" t="s">
        <v>299</v>
      </c>
      <c r="E121" s="4" t="s">
        <v>21</v>
      </c>
      <c r="F121" s="9" t="s">
        <v>242</v>
      </c>
      <c r="G121" s="9">
        <v>1</v>
      </c>
      <c r="H121" s="6" t="s">
        <v>1891</v>
      </c>
      <c r="I121" s="9" t="s">
        <v>918</v>
      </c>
      <c r="J121" s="9" t="s">
        <v>145</v>
      </c>
    </row>
    <row r="122" spans="1:10">
      <c r="A122" s="5" t="s">
        <v>444</v>
      </c>
      <c r="B122" s="6" t="s">
        <v>2304</v>
      </c>
      <c r="C122" s="7">
        <v>46216</v>
      </c>
      <c r="D122" s="9" t="s">
        <v>299</v>
      </c>
      <c r="E122" s="8" t="s">
        <v>376</v>
      </c>
      <c r="F122" s="9" t="s">
        <v>246</v>
      </c>
      <c r="G122" s="9">
        <v>1</v>
      </c>
      <c r="H122" s="6" t="s">
        <v>1891</v>
      </c>
      <c r="I122" s="9" t="s">
        <v>918</v>
      </c>
      <c r="J122" s="9" t="s">
        <v>145</v>
      </c>
    </row>
    <row r="123" spans="1:10">
      <c r="A123" s="5" t="s">
        <v>445</v>
      </c>
      <c r="B123" s="6" t="s">
        <v>2305</v>
      </c>
      <c r="C123" s="7">
        <v>46216</v>
      </c>
      <c r="D123" s="9" t="s">
        <v>241</v>
      </c>
      <c r="E123" s="8" t="s">
        <v>1152</v>
      </c>
      <c r="F123" s="9" t="s">
        <v>586</v>
      </c>
      <c r="G123" s="9">
        <v>1</v>
      </c>
      <c r="H123" s="6" t="s">
        <v>587</v>
      </c>
      <c r="I123" s="9" t="s">
        <v>918</v>
      </c>
      <c r="J123" s="9" t="s">
        <v>145</v>
      </c>
    </row>
    <row r="124" spans="1:10">
      <c r="A124" s="5" t="s">
        <v>446</v>
      </c>
      <c r="B124" s="6" t="s">
        <v>2306</v>
      </c>
      <c r="C124" s="7">
        <v>46216</v>
      </c>
      <c r="D124" s="9" t="s">
        <v>264</v>
      </c>
      <c r="E124" s="8" t="s">
        <v>36</v>
      </c>
      <c r="F124" s="9" t="s">
        <v>242</v>
      </c>
      <c r="G124" s="9">
        <v>1</v>
      </c>
      <c r="H124" s="6" t="s">
        <v>243</v>
      </c>
      <c r="I124" s="9" t="s">
        <v>628</v>
      </c>
      <c r="J124" s="9" t="s">
        <v>145</v>
      </c>
    </row>
    <row r="125" spans="1:10">
      <c r="A125" s="5" t="s">
        <v>448</v>
      </c>
      <c r="B125" s="6" t="s">
        <v>2306</v>
      </c>
      <c r="C125" s="7">
        <v>46216</v>
      </c>
      <c r="D125" s="9" t="s">
        <v>264</v>
      </c>
      <c r="E125" s="8" t="s">
        <v>36</v>
      </c>
      <c r="F125" s="9" t="s">
        <v>246</v>
      </c>
      <c r="G125" s="9">
        <v>1</v>
      </c>
      <c r="H125" s="6" t="s">
        <v>243</v>
      </c>
      <c r="I125" s="9" t="s">
        <v>628</v>
      </c>
      <c r="J125" s="9" t="s">
        <v>145</v>
      </c>
    </row>
    <row r="126" spans="1:10">
      <c r="A126" s="5" t="s">
        <v>449</v>
      </c>
      <c r="B126" s="6" t="s">
        <v>2307</v>
      </c>
      <c r="C126" s="7">
        <v>46217</v>
      </c>
      <c r="D126" s="9" t="s">
        <v>299</v>
      </c>
      <c r="E126" s="8" t="s">
        <v>376</v>
      </c>
      <c r="F126" s="9" t="s">
        <v>242</v>
      </c>
      <c r="G126" s="9">
        <v>1</v>
      </c>
      <c r="H126" s="6" t="s">
        <v>243</v>
      </c>
      <c r="I126" s="9" t="s">
        <v>363</v>
      </c>
      <c r="J126" s="9" t="s">
        <v>145</v>
      </c>
    </row>
    <row r="127" spans="1:10">
      <c r="A127" s="5" t="s">
        <v>450</v>
      </c>
      <c r="B127" s="6" t="s">
        <v>2307</v>
      </c>
      <c r="C127" s="7">
        <v>46217</v>
      </c>
      <c r="D127" s="9" t="s">
        <v>299</v>
      </c>
      <c r="E127" s="8" t="s">
        <v>376</v>
      </c>
      <c r="F127" s="9" t="s">
        <v>246</v>
      </c>
      <c r="G127" s="9">
        <v>1</v>
      </c>
      <c r="H127" s="6" t="s">
        <v>243</v>
      </c>
      <c r="I127" s="9" t="s">
        <v>363</v>
      </c>
      <c r="J127" s="9" t="s">
        <v>145</v>
      </c>
    </row>
    <row r="128" spans="1:10">
      <c r="A128" s="5" t="s">
        <v>451</v>
      </c>
      <c r="B128" s="6" t="s">
        <v>2308</v>
      </c>
      <c r="C128" s="7">
        <v>46217</v>
      </c>
      <c r="D128" s="9" t="s">
        <v>299</v>
      </c>
      <c r="E128" s="8" t="s">
        <v>21</v>
      </c>
      <c r="F128" s="9" t="s">
        <v>242</v>
      </c>
      <c r="G128" s="9">
        <v>1</v>
      </c>
      <c r="H128" s="6" t="s">
        <v>1891</v>
      </c>
      <c r="I128" s="9" t="s">
        <v>253</v>
      </c>
      <c r="J128" s="9" t="s">
        <v>145</v>
      </c>
    </row>
    <row r="129" spans="1:10">
      <c r="A129" s="5" t="s">
        <v>453</v>
      </c>
      <c r="B129" s="6" t="s">
        <v>2308</v>
      </c>
      <c r="C129" s="7">
        <v>46217</v>
      </c>
      <c r="D129" s="9" t="s">
        <v>299</v>
      </c>
      <c r="E129" s="8" t="s">
        <v>21</v>
      </c>
      <c r="F129" s="9" t="s">
        <v>246</v>
      </c>
      <c r="G129" s="9">
        <v>1</v>
      </c>
      <c r="H129" s="6" t="s">
        <v>1891</v>
      </c>
      <c r="I129" s="9" t="s">
        <v>253</v>
      </c>
      <c r="J129" s="9" t="s">
        <v>145</v>
      </c>
    </row>
    <row r="130" spans="1:10">
      <c r="A130" s="5" t="s">
        <v>454</v>
      </c>
      <c r="B130" s="6" t="s">
        <v>2309</v>
      </c>
      <c r="C130" s="7">
        <v>46217</v>
      </c>
      <c r="D130" s="9" t="s">
        <v>299</v>
      </c>
      <c r="E130" s="8" t="s">
        <v>22</v>
      </c>
      <c r="F130" s="9" t="s">
        <v>242</v>
      </c>
      <c r="G130" s="9">
        <v>1</v>
      </c>
      <c r="H130" s="6" t="s">
        <v>518</v>
      </c>
      <c r="I130" s="9" t="s">
        <v>258</v>
      </c>
      <c r="J130" s="9" t="s">
        <v>145</v>
      </c>
    </row>
    <row r="131" spans="1:10">
      <c r="A131" s="5" t="s">
        <v>456</v>
      </c>
      <c r="B131" s="6" t="s">
        <v>2309</v>
      </c>
      <c r="C131" s="7">
        <v>46217</v>
      </c>
      <c r="D131" s="9" t="s">
        <v>299</v>
      </c>
      <c r="E131" s="8" t="s">
        <v>376</v>
      </c>
      <c r="F131" s="9" t="s">
        <v>246</v>
      </c>
      <c r="G131" s="9">
        <v>1</v>
      </c>
      <c r="H131" s="6" t="s">
        <v>518</v>
      </c>
      <c r="I131" s="9" t="s">
        <v>258</v>
      </c>
      <c r="J131" s="9" t="s">
        <v>145</v>
      </c>
    </row>
    <row r="132" spans="1:10">
      <c r="A132" s="5" t="s">
        <v>457</v>
      </c>
      <c r="B132" s="6" t="s">
        <v>2310</v>
      </c>
      <c r="C132" s="7">
        <v>46217</v>
      </c>
      <c r="D132" s="9" t="s">
        <v>299</v>
      </c>
      <c r="E132" s="8" t="s">
        <v>21</v>
      </c>
      <c r="F132" s="9" t="s">
        <v>242</v>
      </c>
      <c r="G132" s="9">
        <v>1</v>
      </c>
      <c r="H132" s="6" t="s">
        <v>1891</v>
      </c>
      <c r="I132" s="9" t="s">
        <v>514</v>
      </c>
      <c r="J132" s="9" t="s">
        <v>145</v>
      </c>
    </row>
    <row r="133" spans="1:10">
      <c r="A133" s="5" t="s">
        <v>458</v>
      </c>
      <c r="B133" s="6" t="s">
        <v>2310</v>
      </c>
      <c r="C133" s="7">
        <v>46217</v>
      </c>
      <c r="D133" s="9" t="s">
        <v>299</v>
      </c>
      <c r="E133" s="8" t="s">
        <v>22</v>
      </c>
      <c r="F133" s="9" t="s">
        <v>246</v>
      </c>
      <c r="G133" s="9">
        <v>1</v>
      </c>
      <c r="H133" s="6" t="s">
        <v>1891</v>
      </c>
      <c r="I133" s="9" t="s">
        <v>514</v>
      </c>
      <c r="J133" s="9" t="s">
        <v>145</v>
      </c>
    </row>
    <row r="134" spans="1:10">
      <c r="A134" s="5" t="s">
        <v>460</v>
      </c>
      <c r="B134" s="6" t="s">
        <v>2311</v>
      </c>
      <c r="C134" s="7">
        <v>46218</v>
      </c>
      <c r="D134" s="9" t="s">
        <v>299</v>
      </c>
      <c r="E134" s="8" t="s">
        <v>24</v>
      </c>
      <c r="F134" s="9" t="s">
        <v>242</v>
      </c>
      <c r="G134" s="9">
        <v>1</v>
      </c>
      <c r="H134" s="6" t="s">
        <v>2312</v>
      </c>
      <c r="I134" s="9" t="s">
        <v>363</v>
      </c>
      <c r="J134" s="9" t="s">
        <v>145</v>
      </c>
    </row>
    <row r="135" spans="1:10">
      <c r="A135" s="5" t="s">
        <v>461</v>
      </c>
      <c r="B135" s="6" t="s">
        <v>2311</v>
      </c>
      <c r="C135" s="7">
        <v>46218</v>
      </c>
      <c r="D135" s="9" t="s">
        <v>299</v>
      </c>
      <c r="E135" s="4" t="s">
        <v>376</v>
      </c>
      <c r="F135" s="9" t="s">
        <v>246</v>
      </c>
      <c r="G135" s="9">
        <v>1</v>
      </c>
      <c r="H135" s="6" t="s">
        <v>2312</v>
      </c>
      <c r="I135" s="9" t="s">
        <v>363</v>
      </c>
      <c r="J135" s="9" t="s">
        <v>145</v>
      </c>
    </row>
    <row r="136" spans="1:10">
      <c r="A136" s="5" t="s">
        <v>463</v>
      </c>
      <c r="B136" s="6" t="s">
        <v>2311</v>
      </c>
      <c r="C136" s="7">
        <v>46218</v>
      </c>
      <c r="D136" s="9" t="s">
        <v>270</v>
      </c>
      <c r="E136" s="8" t="s">
        <v>271</v>
      </c>
      <c r="F136" s="9" t="s">
        <v>242</v>
      </c>
      <c r="G136" s="9">
        <v>1</v>
      </c>
      <c r="H136" s="6" t="s">
        <v>2312</v>
      </c>
      <c r="I136" s="9" t="s">
        <v>363</v>
      </c>
      <c r="J136" s="9" t="s">
        <v>145</v>
      </c>
    </row>
    <row r="137" spans="1:10">
      <c r="A137" s="5" t="s">
        <v>464</v>
      </c>
      <c r="B137" s="6" t="s">
        <v>2311</v>
      </c>
      <c r="C137" s="7">
        <v>46218</v>
      </c>
      <c r="D137" s="9" t="s">
        <v>503</v>
      </c>
      <c r="E137" s="8" t="s">
        <v>206</v>
      </c>
      <c r="F137" s="9" t="s">
        <v>242</v>
      </c>
      <c r="G137" s="9">
        <v>2</v>
      </c>
      <c r="H137" s="6" t="s">
        <v>2312</v>
      </c>
      <c r="I137" s="9" t="s">
        <v>363</v>
      </c>
      <c r="J137" s="9" t="s">
        <v>145</v>
      </c>
    </row>
    <row r="138" spans="1:10">
      <c r="A138" s="5" t="s">
        <v>466</v>
      </c>
      <c r="B138" s="6" t="s">
        <v>2313</v>
      </c>
      <c r="C138" s="7">
        <v>46218</v>
      </c>
      <c r="D138" s="9" t="s">
        <v>299</v>
      </c>
      <c r="E138" s="8" t="s">
        <v>22</v>
      </c>
      <c r="F138" s="9" t="s">
        <v>242</v>
      </c>
      <c r="G138" s="9">
        <v>1</v>
      </c>
      <c r="H138" s="6" t="s">
        <v>2314</v>
      </c>
      <c r="I138" s="9" t="s">
        <v>514</v>
      </c>
      <c r="J138" s="9" t="s">
        <v>145</v>
      </c>
    </row>
    <row r="139" spans="1:10">
      <c r="A139" s="5" t="s">
        <v>467</v>
      </c>
      <c r="B139" s="6" t="s">
        <v>2313</v>
      </c>
      <c r="C139" s="7">
        <v>46218</v>
      </c>
      <c r="D139" s="9" t="s">
        <v>299</v>
      </c>
      <c r="E139" s="8" t="s">
        <v>376</v>
      </c>
      <c r="F139" s="9" t="s">
        <v>246</v>
      </c>
      <c r="G139" s="9">
        <v>1</v>
      </c>
      <c r="H139" s="6" t="s">
        <v>2314</v>
      </c>
      <c r="I139" s="9" t="s">
        <v>514</v>
      </c>
      <c r="J139" s="9" t="s">
        <v>145</v>
      </c>
    </row>
    <row r="140" spans="1:10">
      <c r="A140" s="5" t="s">
        <v>468</v>
      </c>
      <c r="B140" s="6" t="s">
        <v>2315</v>
      </c>
      <c r="C140" s="7">
        <v>46218</v>
      </c>
      <c r="D140" s="9" t="s">
        <v>1</v>
      </c>
      <c r="E140" s="8" t="s">
        <v>672</v>
      </c>
      <c r="F140" s="9" t="s">
        <v>242</v>
      </c>
      <c r="G140" s="9">
        <v>1</v>
      </c>
      <c r="H140" s="6" t="s">
        <v>2316</v>
      </c>
      <c r="I140" s="9" t="s">
        <v>311</v>
      </c>
      <c r="J140" s="9" t="s">
        <v>145</v>
      </c>
    </row>
    <row r="141" spans="1:10">
      <c r="A141" s="5" t="s">
        <v>471</v>
      </c>
      <c r="B141" s="6" t="s">
        <v>2315</v>
      </c>
      <c r="C141" s="7">
        <v>46218</v>
      </c>
      <c r="D141" s="9" t="s">
        <v>1</v>
      </c>
      <c r="E141" s="8" t="s">
        <v>17</v>
      </c>
      <c r="F141" s="9" t="s">
        <v>246</v>
      </c>
      <c r="G141" s="9">
        <v>1</v>
      </c>
      <c r="H141" s="6" t="s">
        <v>2316</v>
      </c>
      <c r="I141" s="9" t="s">
        <v>311</v>
      </c>
      <c r="J141" s="9" t="s">
        <v>145</v>
      </c>
    </row>
    <row r="142" spans="1:10">
      <c r="A142" s="5" t="s">
        <v>472</v>
      </c>
      <c r="B142" s="6" t="s">
        <v>2315</v>
      </c>
      <c r="C142" s="7">
        <v>46218</v>
      </c>
      <c r="D142" s="9" t="s">
        <v>500</v>
      </c>
      <c r="E142" s="4" t="s">
        <v>3</v>
      </c>
      <c r="F142" s="9" t="s">
        <v>242</v>
      </c>
      <c r="G142" s="9">
        <v>1</v>
      </c>
      <c r="H142" s="6" t="s">
        <v>2316</v>
      </c>
      <c r="I142" s="9" t="s">
        <v>311</v>
      </c>
      <c r="J142" s="9" t="s">
        <v>145</v>
      </c>
    </row>
    <row r="143" spans="1:10">
      <c r="A143" s="5" t="s">
        <v>475</v>
      </c>
      <c r="B143" s="6" t="s">
        <v>2315</v>
      </c>
      <c r="C143" s="7">
        <v>46218</v>
      </c>
      <c r="D143" s="9" t="s">
        <v>261</v>
      </c>
      <c r="E143" s="4" t="s">
        <v>64</v>
      </c>
      <c r="F143" s="9" t="s">
        <v>242</v>
      </c>
      <c r="G143" s="9">
        <v>7</v>
      </c>
      <c r="H143" s="6" t="s">
        <v>2316</v>
      </c>
      <c r="I143" s="9" t="s">
        <v>311</v>
      </c>
      <c r="J143" s="9" t="s">
        <v>145</v>
      </c>
    </row>
    <row r="144" spans="1:10">
      <c r="A144" s="5" t="s">
        <v>476</v>
      </c>
      <c r="B144" s="6" t="s">
        <v>2315</v>
      </c>
      <c r="C144" s="7">
        <v>46218</v>
      </c>
      <c r="D144" s="9" t="s">
        <v>270</v>
      </c>
      <c r="E144" s="8" t="s">
        <v>271</v>
      </c>
      <c r="F144" s="9" t="s">
        <v>242</v>
      </c>
      <c r="G144" s="9">
        <v>7</v>
      </c>
      <c r="H144" s="6" t="s">
        <v>2316</v>
      </c>
      <c r="I144" s="9" t="s">
        <v>311</v>
      </c>
      <c r="J144" s="9" t="s">
        <v>145</v>
      </c>
    </row>
    <row r="145" spans="1:10">
      <c r="A145" s="5" t="s">
        <v>477</v>
      </c>
      <c r="B145" s="6" t="s">
        <v>2315</v>
      </c>
      <c r="C145" s="7">
        <v>46218</v>
      </c>
      <c r="D145" s="9" t="s">
        <v>270</v>
      </c>
      <c r="E145" s="8" t="s">
        <v>663</v>
      </c>
      <c r="F145" s="9" t="s">
        <v>242</v>
      </c>
      <c r="G145" s="9">
        <v>1</v>
      </c>
      <c r="H145" s="6" t="s">
        <v>2316</v>
      </c>
      <c r="I145" s="9" t="s">
        <v>311</v>
      </c>
      <c r="J145" s="9" t="s">
        <v>145</v>
      </c>
    </row>
    <row r="146" spans="1:10">
      <c r="A146" s="5" t="s">
        <v>478</v>
      </c>
      <c r="B146" s="6" t="s">
        <v>2315</v>
      </c>
      <c r="C146" s="7">
        <v>46218</v>
      </c>
      <c r="D146" s="9" t="s">
        <v>503</v>
      </c>
      <c r="E146" s="8" t="s">
        <v>206</v>
      </c>
      <c r="F146" s="9" t="s">
        <v>242</v>
      </c>
      <c r="G146" s="9">
        <v>2</v>
      </c>
      <c r="H146" s="6" t="s">
        <v>2316</v>
      </c>
      <c r="I146" s="9" t="s">
        <v>311</v>
      </c>
      <c r="J146" s="9" t="s">
        <v>145</v>
      </c>
    </row>
    <row r="147" spans="1:10">
      <c r="A147" s="5" t="s">
        <v>480</v>
      </c>
      <c r="B147" s="6" t="s">
        <v>2317</v>
      </c>
      <c r="C147" s="7">
        <v>46218</v>
      </c>
      <c r="D147" s="9" t="s">
        <v>1</v>
      </c>
      <c r="E147" s="4" t="s">
        <v>657</v>
      </c>
      <c r="F147" s="9" t="s">
        <v>242</v>
      </c>
      <c r="G147" s="9">
        <v>1</v>
      </c>
      <c r="H147" s="6" t="s">
        <v>2318</v>
      </c>
      <c r="I147" s="9" t="s">
        <v>311</v>
      </c>
      <c r="J147" s="9" t="s">
        <v>145</v>
      </c>
    </row>
    <row r="148" spans="1:10">
      <c r="A148" s="5" t="s">
        <v>481</v>
      </c>
      <c r="B148" s="6" t="s">
        <v>2317</v>
      </c>
      <c r="C148" s="7">
        <v>46218</v>
      </c>
      <c r="D148" s="9" t="s">
        <v>1</v>
      </c>
      <c r="E148" s="8" t="s">
        <v>148</v>
      </c>
      <c r="F148" s="9" t="s">
        <v>246</v>
      </c>
      <c r="G148" s="9">
        <v>1</v>
      </c>
      <c r="H148" s="6" t="s">
        <v>2318</v>
      </c>
      <c r="I148" s="9" t="s">
        <v>311</v>
      </c>
      <c r="J148" s="9" t="s">
        <v>145</v>
      </c>
    </row>
    <row r="149" spans="1:10">
      <c r="A149" s="5" t="s">
        <v>482</v>
      </c>
      <c r="B149" s="6" t="s">
        <v>2317</v>
      </c>
      <c r="C149" s="7">
        <v>46218</v>
      </c>
      <c r="D149" s="9" t="s">
        <v>500</v>
      </c>
      <c r="E149" s="8" t="s">
        <v>4</v>
      </c>
      <c r="F149" s="9" t="s">
        <v>242</v>
      </c>
      <c r="G149" s="9">
        <v>2</v>
      </c>
      <c r="H149" s="6" t="s">
        <v>2318</v>
      </c>
      <c r="I149" s="9" t="s">
        <v>311</v>
      </c>
      <c r="J149" s="9" t="s">
        <v>145</v>
      </c>
    </row>
    <row r="150" spans="1:10">
      <c r="A150" s="5" t="s">
        <v>485</v>
      </c>
      <c r="B150" s="6" t="s">
        <v>2317</v>
      </c>
      <c r="C150" s="7">
        <v>46218</v>
      </c>
      <c r="D150" s="9" t="s">
        <v>270</v>
      </c>
      <c r="E150" s="8" t="s">
        <v>271</v>
      </c>
      <c r="F150" s="9" t="s">
        <v>242</v>
      </c>
      <c r="G150" s="9">
        <v>9</v>
      </c>
      <c r="H150" s="6" t="s">
        <v>2318</v>
      </c>
      <c r="I150" s="9" t="s">
        <v>311</v>
      </c>
      <c r="J150" s="9" t="s">
        <v>145</v>
      </c>
    </row>
    <row r="151" spans="1:10">
      <c r="A151" s="5" t="s">
        <v>486</v>
      </c>
      <c r="B151" s="6" t="s">
        <v>2317</v>
      </c>
      <c r="C151" s="7">
        <v>46218</v>
      </c>
      <c r="D151" s="9" t="s">
        <v>270</v>
      </c>
      <c r="E151" s="4" t="s">
        <v>663</v>
      </c>
      <c r="F151" s="9" t="s">
        <v>242</v>
      </c>
      <c r="G151" s="9">
        <v>1</v>
      </c>
      <c r="H151" s="6" t="s">
        <v>2318</v>
      </c>
      <c r="I151" s="9" t="s">
        <v>311</v>
      </c>
      <c r="J151" s="9" t="s">
        <v>145</v>
      </c>
    </row>
    <row r="152" spans="1:10">
      <c r="A152" s="5" t="s">
        <v>488</v>
      </c>
      <c r="B152" s="6" t="s">
        <v>2319</v>
      </c>
      <c r="C152" s="7">
        <v>46218</v>
      </c>
      <c r="D152" s="9" t="s">
        <v>241</v>
      </c>
      <c r="E152" s="8" t="s">
        <v>1152</v>
      </c>
      <c r="F152" s="9" t="s">
        <v>242</v>
      </c>
      <c r="G152" s="9">
        <v>1</v>
      </c>
      <c r="H152" s="6" t="s">
        <v>518</v>
      </c>
      <c r="I152" s="9" t="s">
        <v>605</v>
      </c>
      <c r="J152" s="9" t="s">
        <v>145</v>
      </c>
    </row>
    <row r="153" spans="1:10">
      <c r="A153" s="5" t="s">
        <v>489</v>
      </c>
      <c r="B153" s="6" t="s">
        <v>2319</v>
      </c>
      <c r="C153" s="7">
        <v>46218</v>
      </c>
      <c r="D153" s="9" t="s">
        <v>241</v>
      </c>
      <c r="E153" s="4" t="s">
        <v>28</v>
      </c>
      <c r="F153" s="9" t="s">
        <v>246</v>
      </c>
      <c r="G153" s="9">
        <v>1</v>
      </c>
      <c r="H153" s="6" t="s">
        <v>518</v>
      </c>
      <c r="I153" s="9" t="s">
        <v>605</v>
      </c>
      <c r="J153" s="9" t="s">
        <v>145</v>
      </c>
    </row>
    <row r="154" spans="1:10">
      <c r="A154" s="5" t="s">
        <v>492</v>
      </c>
      <c r="B154" s="6" t="s">
        <v>2320</v>
      </c>
      <c r="C154" s="7">
        <v>46219</v>
      </c>
      <c r="D154" s="9" t="s">
        <v>1</v>
      </c>
      <c r="E154" s="8" t="s">
        <v>16</v>
      </c>
      <c r="F154" s="9" t="s">
        <v>242</v>
      </c>
      <c r="G154" s="9">
        <v>1</v>
      </c>
      <c r="H154" s="6" t="s">
        <v>2321</v>
      </c>
      <c r="I154" s="9" t="s">
        <v>415</v>
      </c>
      <c r="J154" s="9" t="s">
        <v>145</v>
      </c>
    </row>
    <row r="155" spans="1:10">
      <c r="A155" s="5" t="s">
        <v>493</v>
      </c>
      <c r="B155" s="6" t="s">
        <v>2320</v>
      </c>
      <c r="C155" s="7">
        <v>46219</v>
      </c>
      <c r="D155" s="9" t="s">
        <v>1</v>
      </c>
      <c r="E155" s="4" t="s">
        <v>659</v>
      </c>
      <c r="F155" s="9" t="s">
        <v>246</v>
      </c>
      <c r="G155" s="9">
        <v>1</v>
      </c>
      <c r="H155" s="6" t="s">
        <v>2321</v>
      </c>
      <c r="I155" s="9" t="s">
        <v>415</v>
      </c>
      <c r="J155" s="9" t="s">
        <v>145</v>
      </c>
    </row>
    <row r="156" spans="1:10">
      <c r="A156" s="5" t="s">
        <v>495</v>
      </c>
      <c r="B156" s="6" t="s">
        <v>2320</v>
      </c>
      <c r="C156" s="7">
        <v>46219</v>
      </c>
      <c r="D156" s="9" t="s">
        <v>270</v>
      </c>
      <c r="E156" s="8" t="s">
        <v>271</v>
      </c>
      <c r="F156" s="9" t="s">
        <v>242</v>
      </c>
      <c r="G156" s="9">
        <v>4</v>
      </c>
      <c r="H156" s="6" t="s">
        <v>2321</v>
      </c>
      <c r="I156" s="9" t="s">
        <v>415</v>
      </c>
      <c r="J156" s="9" t="s">
        <v>145</v>
      </c>
    </row>
    <row r="157" spans="1:10">
      <c r="A157" s="5" t="s">
        <v>496</v>
      </c>
      <c r="B157" s="6" t="s">
        <v>2320</v>
      </c>
      <c r="C157" s="7">
        <v>46219</v>
      </c>
      <c r="D157" s="9" t="s">
        <v>270</v>
      </c>
      <c r="E157" s="8" t="s">
        <v>663</v>
      </c>
      <c r="F157" s="9" t="s">
        <v>242</v>
      </c>
      <c r="G157" s="9">
        <v>1</v>
      </c>
      <c r="H157" s="6" t="s">
        <v>2321</v>
      </c>
      <c r="I157" s="9" t="s">
        <v>415</v>
      </c>
      <c r="J157" s="9" t="s">
        <v>145</v>
      </c>
    </row>
    <row r="158" spans="1:10">
      <c r="A158" s="5" t="s">
        <v>498</v>
      </c>
      <c r="B158" s="6" t="s">
        <v>2320</v>
      </c>
      <c r="C158" s="7">
        <v>46219</v>
      </c>
      <c r="D158" s="9" t="s">
        <v>503</v>
      </c>
      <c r="E158" s="4" t="s">
        <v>206</v>
      </c>
      <c r="F158" s="9" t="s">
        <v>242</v>
      </c>
      <c r="G158" s="9">
        <v>2</v>
      </c>
      <c r="H158" s="6" t="s">
        <v>2321</v>
      </c>
      <c r="I158" s="9" t="s">
        <v>415</v>
      </c>
      <c r="J158" s="9" t="s">
        <v>145</v>
      </c>
    </row>
    <row r="159" spans="1:10">
      <c r="A159" s="5" t="s">
        <v>499</v>
      </c>
      <c r="B159" s="6" t="s">
        <v>2322</v>
      </c>
      <c r="C159" s="7">
        <v>46219</v>
      </c>
      <c r="D159" s="9" t="s">
        <v>299</v>
      </c>
      <c r="E159" s="8" t="s">
        <v>22</v>
      </c>
      <c r="F159" s="9" t="s">
        <v>242</v>
      </c>
      <c r="G159" s="9">
        <v>1</v>
      </c>
      <c r="H159" s="6" t="s">
        <v>2323</v>
      </c>
      <c r="I159" s="9" t="s">
        <v>258</v>
      </c>
      <c r="J159" s="9" t="s">
        <v>145</v>
      </c>
    </row>
    <row r="160" spans="1:10">
      <c r="A160" s="5" t="s">
        <v>501</v>
      </c>
      <c r="B160" s="6" t="s">
        <v>2322</v>
      </c>
      <c r="C160" s="7">
        <v>46219</v>
      </c>
      <c r="D160" s="9" t="s">
        <v>299</v>
      </c>
      <c r="E160" s="4" t="s">
        <v>376</v>
      </c>
      <c r="F160" s="9" t="s">
        <v>246</v>
      </c>
      <c r="G160" s="9">
        <v>0</v>
      </c>
      <c r="H160" s="6" t="s">
        <v>2323</v>
      </c>
      <c r="I160" s="9" t="s">
        <v>258</v>
      </c>
      <c r="J160" s="9" t="s">
        <v>145</v>
      </c>
    </row>
    <row r="161" spans="1:10">
      <c r="A161" s="5" t="s">
        <v>502</v>
      </c>
      <c r="B161" s="6" t="s">
        <v>2324</v>
      </c>
      <c r="C161" s="7">
        <v>46219</v>
      </c>
      <c r="D161" s="9" t="s">
        <v>241</v>
      </c>
      <c r="E161" s="8" t="s">
        <v>1152</v>
      </c>
      <c r="F161" s="9" t="s">
        <v>242</v>
      </c>
      <c r="G161" s="9">
        <v>1</v>
      </c>
      <c r="H161" s="6" t="s">
        <v>615</v>
      </c>
      <c r="I161" s="9" t="s">
        <v>1546</v>
      </c>
      <c r="J161" s="9" t="s">
        <v>145</v>
      </c>
    </row>
    <row r="162" spans="1:10">
      <c r="A162" s="5" t="s">
        <v>504</v>
      </c>
      <c r="B162" s="6" t="s">
        <v>2324</v>
      </c>
      <c r="C162" s="7">
        <v>46219</v>
      </c>
      <c r="D162" s="9" t="s">
        <v>241</v>
      </c>
      <c r="E162" s="4" t="s">
        <v>29</v>
      </c>
      <c r="F162" s="9" t="s">
        <v>246</v>
      </c>
      <c r="G162" s="9">
        <v>1</v>
      </c>
      <c r="H162" s="6" t="s">
        <v>615</v>
      </c>
      <c r="I162" s="9" t="s">
        <v>1546</v>
      </c>
      <c r="J162" s="9" t="s">
        <v>145</v>
      </c>
    </row>
    <row r="163" spans="1:10">
      <c r="A163" s="5" t="s">
        <v>507</v>
      </c>
      <c r="B163" s="6" t="s">
        <v>2324</v>
      </c>
      <c r="C163" s="7">
        <v>46219</v>
      </c>
      <c r="D163" s="9" t="s">
        <v>261</v>
      </c>
      <c r="E163" s="8" t="s">
        <v>62</v>
      </c>
      <c r="F163" s="9" t="s">
        <v>242</v>
      </c>
      <c r="G163" s="9">
        <v>3</v>
      </c>
      <c r="H163" s="6" t="s">
        <v>615</v>
      </c>
      <c r="I163" s="9" t="s">
        <v>1546</v>
      </c>
      <c r="J163" s="9" t="s">
        <v>145</v>
      </c>
    </row>
    <row r="164" spans="1:10">
      <c r="A164" s="5" t="s">
        <v>508</v>
      </c>
      <c r="B164" s="6" t="s">
        <v>2324</v>
      </c>
      <c r="C164" s="7">
        <v>46219</v>
      </c>
      <c r="D164" s="9" t="s">
        <v>261</v>
      </c>
      <c r="E164" s="8" t="s">
        <v>281</v>
      </c>
      <c r="F164" s="9" t="s">
        <v>242</v>
      </c>
      <c r="G164" s="9">
        <v>2</v>
      </c>
      <c r="H164" s="6" t="s">
        <v>615</v>
      </c>
      <c r="I164" s="9" t="s">
        <v>1546</v>
      </c>
      <c r="J164" s="9" t="s">
        <v>145</v>
      </c>
    </row>
    <row r="165" spans="1:10">
      <c r="A165" s="5" t="s">
        <v>510</v>
      </c>
      <c r="B165" s="6" t="s">
        <v>2325</v>
      </c>
      <c r="C165" s="7">
        <v>46219</v>
      </c>
      <c r="D165" s="9" t="s">
        <v>241</v>
      </c>
      <c r="E165" s="8" t="s">
        <v>28</v>
      </c>
      <c r="F165" s="9" t="s">
        <v>242</v>
      </c>
      <c r="G165" s="9">
        <v>1</v>
      </c>
      <c r="H165" s="6" t="s">
        <v>931</v>
      </c>
      <c r="I165" s="9" t="s">
        <v>415</v>
      </c>
      <c r="J165" s="9" t="s">
        <v>145</v>
      </c>
    </row>
    <row r="166" spans="1:10">
      <c r="A166" s="5" t="s">
        <v>511</v>
      </c>
      <c r="B166" s="6" t="s">
        <v>2325</v>
      </c>
      <c r="C166" s="7">
        <v>46219</v>
      </c>
      <c r="D166" s="9" t="s">
        <v>241</v>
      </c>
      <c r="E166" s="8" t="s">
        <v>29</v>
      </c>
      <c r="F166" s="9" t="s">
        <v>246</v>
      </c>
      <c r="G166" s="9">
        <v>1</v>
      </c>
      <c r="H166" s="6" t="s">
        <v>931</v>
      </c>
      <c r="I166" s="9" t="s">
        <v>415</v>
      </c>
      <c r="J166" s="9" t="s">
        <v>145</v>
      </c>
    </row>
    <row r="167" spans="1:10">
      <c r="A167" s="5" t="s">
        <v>515</v>
      </c>
      <c r="B167" s="6" t="s">
        <v>2325</v>
      </c>
      <c r="C167" s="7">
        <v>46219</v>
      </c>
      <c r="D167" s="9" t="s">
        <v>261</v>
      </c>
      <c r="E167" s="8" t="s">
        <v>281</v>
      </c>
      <c r="F167" s="9" t="s">
        <v>242</v>
      </c>
      <c r="G167" s="9">
        <v>2</v>
      </c>
      <c r="H167" s="6" t="s">
        <v>931</v>
      </c>
      <c r="I167" s="9" t="s">
        <v>415</v>
      </c>
      <c r="J167" s="9" t="s">
        <v>145</v>
      </c>
    </row>
    <row r="168" spans="1:10">
      <c r="A168" s="5" t="s">
        <v>516</v>
      </c>
      <c r="B168" s="6" t="s">
        <v>2326</v>
      </c>
      <c r="C168" s="7">
        <v>46219</v>
      </c>
      <c r="D168" s="9" t="s">
        <v>299</v>
      </c>
      <c r="E168" s="8" t="s">
        <v>24</v>
      </c>
      <c r="F168" s="9" t="s">
        <v>242</v>
      </c>
      <c r="G168" s="9">
        <v>1</v>
      </c>
      <c r="H168" s="6" t="s">
        <v>1653</v>
      </c>
      <c r="I168" s="9" t="s">
        <v>258</v>
      </c>
      <c r="J168" s="9" t="s">
        <v>145</v>
      </c>
    </row>
    <row r="169" spans="1:10">
      <c r="A169" s="5" t="s">
        <v>519</v>
      </c>
      <c r="B169" s="6" t="s">
        <v>2326</v>
      </c>
      <c r="C169" s="7">
        <v>46219</v>
      </c>
      <c r="D169" s="9" t="s">
        <v>299</v>
      </c>
      <c r="E169" s="8" t="s">
        <v>1334</v>
      </c>
      <c r="F169" s="9" t="s">
        <v>246</v>
      </c>
      <c r="G169" s="9">
        <v>1</v>
      </c>
      <c r="H169" s="6" t="s">
        <v>1653</v>
      </c>
      <c r="I169" s="9" t="s">
        <v>258</v>
      </c>
      <c r="J169" s="9" t="s">
        <v>145</v>
      </c>
    </row>
    <row r="170" spans="1:10">
      <c r="A170" s="5" t="s">
        <v>520</v>
      </c>
      <c r="B170" s="6" t="s">
        <v>2326</v>
      </c>
      <c r="C170" s="7">
        <v>46219</v>
      </c>
      <c r="D170" s="9" t="s">
        <v>270</v>
      </c>
      <c r="E170" s="4" t="s">
        <v>271</v>
      </c>
      <c r="F170" s="9" t="s">
        <v>242</v>
      </c>
      <c r="G170" s="9">
        <v>4</v>
      </c>
      <c r="H170" s="6" t="s">
        <v>1653</v>
      </c>
      <c r="I170" s="9" t="s">
        <v>258</v>
      </c>
      <c r="J170" s="9" t="s">
        <v>145</v>
      </c>
    </row>
    <row r="171" spans="1:10">
      <c r="A171" s="5" t="s">
        <v>521</v>
      </c>
      <c r="B171" s="6" t="s">
        <v>2326</v>
      </c>
      <c r="C171" s="7">
        <v>46219</v>
      </c>
      <c r="D171" s="9" t="s">
        <v>503</v>
      </c>
      <c r="E171" s="8" t="s">
        <v>206</v>
      </c>
      <c r="F171" s="9" t="s">
        <v>242</v>
      </c>
      <c r="G171" s="9">
        <v>2</v>
      </c>
      <c r="H171" s="6" t="s">
        <v>1653</v>
      </c>
      <c r="I171" s="9" t="s">
        <v>258</v>
      </c>
      <c r="J171" s="9" t="s">
        <v>145</v>
      </c>
    </row>
    <row r="172" spans="1:10">
      <c r="A172" s="5" t="s">
        <v>523</v>
      </c>
      <c r="B172" s="6" t="s">
        <v>2327</v>
      </c>
      <c r="C172" s="7">
        <v>46219</v>
      </c>
      <c r="D172" s="9" t="s">
        <v>299</v>
      </c>
      <c r="E172" s="8" t="s">
        <v>21</v>
      </c>
      <c r="F172" s="9" t="s">
        <v>242</v>
      </c>
      <c r="G172" s="9">
        <v>1</v>
      </c>
      <c r="H172" s="6" t="s">
        <v>328</v>
      </c>
      <c r="I172" s="9" t="s">
        <v>266</v>
      </c>
      <c r="J172" s="9" t="s">
        <v>145</v>
      </c>
    </row>
    <row r="173" spans="1:10">
      <c r="A173" s="5" t="s">
        <v>524</v>
      </c>
      <c r="B173" s="6" t="s">
        <v>2327</v>
      </c>
      <c r="C173" s="7">
        <v>46219</v>
      </c>
      <c r="D173" s="9" t="s">
        <v>299</v>
      </c>
      <c r="E173" s="8" t="s">
        <v>21</v>
      </c>
      <c r="F173" s="9" t="s">
        <v>246</v>
      </c>
      <c r="G173" s="9">
        <v>1</v>
      </c>
      <c r="H173" s="6" t="s">
        <v>328</v>
      </c>
      <c r="I173" s="9" t="s">
        <v>266</v>
      </c>
      <c r="J173" s="9" t="s">
        <v>145</v>
      </c>
    </row>
    <row r="174" spans="1:10">
      <c r="A174" s="5" t="s">
        <v>527</v>
      </c>
      <c r="B174" s="6" t="s">
        <v>2328</v>
      </c>
      <c r="C174" s="7">
        <v>46219</v>
      </c>
      <c r="D174" s="9" t="s">
        <v>299</v>
      </c>
      <c r="E174" s="4" t="s">
        <v>1334</v>
      </c>
      <c r="F174" s="9" t="s">
        <v>242</v>
      </c>
      <c r="G174" s="9">
        <v>1</v>
      </c>
      <c r="H174" s="6" t="s">
        <v>249</v>
      </c>
      <c r="I174" s="9" t="s">
        <v>266</v>
      </c>
      <c r="J174" s="9" t="s">
        <v>145</v>
      </c>
    </row>
    <row r="175" spans="1:10">
      <c r="A175" s="5" t="s">
        <v>528</v>
      </c>
      <c r="B175" s="6" t="s">
        <v>2328</v>
      </c>
      <c r="C175" s="7">
        <v>46219</v>
      </c>
      <c r="D175" s="9" t="s">
        <v>299</v>
      </c>
      <c r="E175" s="8" t="s">
        <v>20</v>
      </c>
      <c r="F175" s="9" t="s">
        <v>246</v>
      </c>
      <c r="G175" s="9">
        <v>1</v>
      </c>
      <c r="H175" s="6" t="s">
        <v>249</v>
      </c>
      <c r="I175" s="9" t="s">
        <v>266</v>
      </c>
      <c r="J175" s="9" t="s">
        <v>145</v>
      </c>
    </row>
    <row r="176" spans="1:10">
      <c r="A176" s="5" t="s">
        <v>529</v>
      </c>
      <c r="B176" s="6" t="s">
        <v>2329</v>
      </c>
      <c r="C176" s="7">
        <v>46223</v>
      </c>
      <c r="D176" s="9" t="s">
        <v>241</v>
      </c>
      <c r="E176" s="8" t="s">
        <v>1152</v>
      </c>
      <c r="F176" s="9" t="s">
        <v>242</v>
      </c>
      <c r="G176" s="9">
        <v>1</v>
      </c>
      <c r="H176" s="6" t="s">
        <v>243</v>
      </c>
      <c r="I176" s="9" t="s">
        <v>605</v>
      </c>
      <c r="J176" s="9" t="s">
        <v>145</v>
      </c>
    </row>
    <row r="177" spans="1:10">
      <c r="A177" s="5" t="s">
        <v>533</v>
      </c>
      <c r="B177" s="6" t="s">
        <v>2329</v>
      </c>
      <c r="C177" s="7">
        <v>46223</v>
      </c>
      <c r="D177" s="9" t="s">
        <v>241</v>
      </c>
      <c r="E177" s="8" t="s">
        <v>29</v>
      </c>
      <c r="F177" s="9" t="s">
        <v>246</v>
      </c>
      <c r="G177" s="9">
        <v>1</v>
      </c>
      <c r="H177" s="6" t="s">
        <v>243</v>
      </c>
      <c r="I177" s="9" t="s">
        <v>605</v>
      </c>
      <c r="J177" s="9" t="s">
        <v>145</v>
      </c>
    </row>
    <row r="178" spans="1:10">
      <c r="A178" s="5" t="s">
        <v>534</v>
      </c>
      <c r="B178" s="6" t="s">
        <v>2330</v>
      </c>
      <c r="C178" s="7">
        <v>46223</v>
      </c>
      <c r="D178" s="9" t="s">
        <v>241</v>
      </c>
      <c r="E178" s="8" t="s">
        <v>1152</v>
      </c>
      <c r="F178" s="9" t="s">
        <v>242</v>
      </c>
      <c r="G178" s="9">
        <v>1</v>
      </c>
      <c r="H178" s="6" t="s">
        <v>243</v>
      </c>
      <c r="I178" s="9" t="s">
        <v>329</v>
      </c>
      <c r="J178" s="9" t="s">
        <v>145</v>
      </c>
    </row>
    <row r="179" spans="1:10">
      <c r="A179" s="5" t="s">
        <v>537</v>
      </c>
      <c r="B179" s="6" t="s">
        <v>2330</v>
      </c>
      <c r="C179" s="7">
        <v>46223</v>
      </c>
      <c r="D179" s="9" t="s">
        <v>241</v>
      </c>
      <c r="E179" s="8" t="s">
        <v>29</v>
      </c>
      <c r="F179" s="9" t="s">
        <v>246</v>
      </c>
      <c r="G179" s="9">
        <v>1</v>
      </c>
      <c r="H179" s="6" t="s">
        <v>243</v>
      </c>
      <c r="I179" s="9" t="s">
        <v>329</v>
      </c>
      <c r="J179" s="9" t="s">
        <v>145</v>
      </c>
    </row>
    <row r="180" spans="1:10">
      <c r="A180" s="5" t="s">
        <v>538</v>
      </c>
      <c r="B180" s="6" t="s">
        <v>2331</v>
      </c>
      <c r="C180" s="7">
        <v>46223</v>
      </c>
      <c r="D180" s="9" t="s">
        <v>241</v>
      </c>
      <c r="E180" s="8" t="s">
        <v>1152</v>
      </c>
      <c r="F180" s="9" t="s">
        <v>242</v>
      </c>
      <c r="G180" s="9">
        <v>1</v>
      </c>
      <c r="H180" s="6" t="s">
        <v>615</v>
      </c>
      <c r="I180" s="9" t="s">
        <v>609</v>
      </c>
      <c r="J180" s="9" t="s">
        <v>145</v>
      </c>
    </row>
    <row r="181" spans="1:10">
      <c r="A181" s="5" t="s">
        <v>539</v>
      </c>
      <c r="B181" s="6" t="s">
        <v>2331</v>
      </c>
      <c r="C181" s="7">
        <v>46223</v>
      </c>
      <c r="D181" s="9" t="s">
        <v>241</v>
      </c>
      <c r="E181" s="4" t="s">
        <v>29</v>
      </c>
      <c r="F181" s="9" t="s">
        <v>246</v>
      </c>
      <c r="G181" s="9">
        <v>1</v>
      </c>
      <c r="H181" s="6" t="s">
        <v>615</v>
      </c>
      <c r="I181" s="9" t="s">
        <v>609</v>
      </c>
      <c r="J181" s="9" t="s">
        <v>145</v>
      </c>
    </row>
    <row r="182" spans="1:10">
      <c r="A182" s="5" t="s">
        <v>541</v>
      </c>
      <c r="B182" s="6" t="s">
        <v>2332</v>
      </c>
      <c r="C182" s="7">
        <v>46224</v>
      </c>
      <c r="D182" s="9" t="s">
        <v>241</v>
      </c>
      <c r="E182" s="8" t="s">
        <v>28</v>
      </c>
      <c r="F182" s="9" t="s">
        <v>242</v>
      </c>
      <c r="G182" s="9">
        <v>1</v>
      </c>
      <c r="H182" s="6" t="s">
        <v>243</v>
      </c>
      <c r="I182" s="9" t="s">
        <v>244</v>
      </c>
      <c r="J182" s="9" t="s">
        <v>145</v>
      </c>
    </row>
    <row r="183" spans="1:10">
      <c r="A183" s="5" t="s">
        <v>542</v>
      </c>
      <c r="B183" s="6" t="s">
        <v>2332</v>
      </c>
      <c r="C183" s="7">
        <v>46224</v>
      </c>
      <c r="D183" s="9" t="s">
        <v>241</v>
      </c>
      <c r="E183" s="4" t="s">
        <v>29</v>
      </c>
      <c r="F183" s="9" t="s">
        <v>246</v>
      </c>
      <c r="G183" s="9">
        <v>1</v>
      </c>
      <c r="H183" s="6" t="s">
        <v>243</v>
      </c>
      <c r="I183" s="9" t="s">
        <v>244</v>
      </c>
      <c r="J183" s="9" t="s">
        <v>145</v>
      </c>
    </row>
    <row r="184" spans="1:10">
      <c r="A184" s="5" t="s">
        <v>543</v>
      </c>
      <c r="B184" s="6" t="s">
        <v>2333</v>
      </c>
      <c r="C184" s="7">
        <v>46224</v>
      </c>
      <c r="D184" s="9" t="s">
        <v>241</v>
      </c>
      <c r="E184" s="8" t="s">
        <v>28</v>
      </c>
      <c r="F184" s="9" t="s">
        <v>242</v>
      </c>
      <c r="G184" s="9">
        <v>1</v>
      </c>
      <c r="H184" s="6" t="s">
        <v>243</v>
      </c>
      <c r="I184" s="9" t="s">
        <v>258</v>
      </c>
      <c r="J184" s="9" t="s">
        <v>145</v>
      </c>
    </row>
    <row r="185" spans="1:10">
      <c r="A185" s="5" t="s">
        <v>544</v>
      </c>
      <c r="B185" s="6" t="s">
        <v>2333</v>
      </c>
      <c r="C185" s="7">
        <v>46224</v>
      </c>
      <c r="D185" s="9" t="s">
        <v>241</v>
      </c>
      <c r="E185" s="8" t="s">
        <v>29</v>
      </c>
      <c r="F185" s="9" t="s">
        <v>246</v>
      </c>
      <c r="G185" s="9">
        <v>1</v>
      </c>
      <c r="H185" s="6" t="s">
        <v>243</v>
      </c>
      <c r="I185" s="9" t="s">
        <v>258</v>
      </c>
      <c r="J185" s="9" t="s">
        <v>145</v>
      </c>
    </row>
    <row r="186" spans="1:10">
      <c r="A186" s="5" t="s">
        <v>545</v>
      </c>
      <c r="B186" s="6" t="s">
        <v>2333</v>
      </c>
      <c r="C186" s="7">
        <v>46224</v>
      </c>
      <c r="D186" s="9" t="s">
        <v>261</v>
      </c>
      <c r="E186" s="8" t="s">
        <v>62</v>
      </c>
      <c r="F186" s="9" t="s">
        <v>242</v>
      </c>
      <c r="G186" s="9">
        <v>1</v>
      </c>
      <c r="H186" s="6" t="s">
        <v>243</v>
      </c>
      <c r="I186" s="9" t="s">
        <v>258</v>
      </c>
      <c r="J186" s="9" t="s">
        <v>145</v>
      </c>
    </row>
    <row r="187" spans="1:10">
      <c r="A187" s="5" t="s">
        <v>546</v>
      </c>
      <c r="B187" s="6" t="s">
        <v>2334</v>
      </c>
      <c r="C187" s="7">
        <v>46224</v>
      </c>
      <c r="D187" s="9" t="s">
        <v>299</v>
      </c>
      <c r="E187" s="8" t="s">
        <v>1334</v>
      </c>
      <c r="F187" s="9" t="s">
        <v>242</v>
      </c>
      <c r="G187" s="9">
        <v>1</v>
      </c>
      <c r="H187" s="6" t="s">
        <v>243</v>
      </c>
      <c r="I187" s="9" t="s">
        <v>311</v>
      </c>
      <c r="J187" s="9" t="s">
        <v>145</v>
      </c>
    </row>
    <row r="188" spans="1:10">
      <c r="A188" s="5" t="s">
        <v>549</v>
      </c>
      <c r="B188" s="6" t="s">
        <v>2334</v>
      </c>
      <c r="C188" s="7">
        <v>46224</v>
      </c>
      <c r="D188" s="9" t="s">
        <v>299</v>
      </c>
      <c r="E188" s="8" t="s">
        <v>1334</v>
      </c>
      <c r="F188" s="9" t="s">
        <v>246</v>
      </c>
      <c r="G188" s="9">
        <v>1</v>
      </c>
      <c r="H188" s="6" t="s">
        <v>243</v>
      </c>
      <c r="I188" s="9" t="s">
        <v>311</v>
      </c>
      <c r="J188" s="9" t="s">
        <v>145</v>
      </c>
    </row>
    <row r="189" spans="1:10">
      <c r="A189" s="5" t="s">
        <v>550</v>
      </c>
      <c r="B189" s="6" t="s">
        <v>2335</v>
      </c>
      <c r="C189" s="7">
        <v>46224</v>
      </c>
      <c r="D189" s="9" t="s">
        <v>299</v>
      </c>
      <c r="E189" s="8" t="s">
        <v>22</v>
      </c>
      <c r="F189" s="9" t="s">
        <v>242</v>
      </c>
      <c r="G189" s="9">
        <v>1</v>
      </c>
      <c r="H189" s="6" t="s">
        <v>243</v>
      </c>
      <c r="I189" s="9" t="s">
        <v>258</v>
      </c>
      <c r="J189" s="9" t="s">
        <v>145</v>
      </c>
    </row>
    <row r="190" spans="1:10">
      <c r="A190" s="5" t="s">
        <v>551</v>
      </c>
      <c r="B190" s="6" t="s">
        <v>2335</v>
      </c>
      <c r="C190" s="7">
        <v>46224</v>
      </c>
      <c r="D190" s="9" t="s">
        <v>299</v>
      </c>
      <c r="E190" s="8" t="s">
        <v>21</v>
      </c>
      <c r="F190" s="9" t="s">
        <v>246</v>
      </c>
      <c r="G190" s="9">
        <v>1</v>
      </c>
      <c r="H190" s="6" t="s">
        <v>243</v>
      </c>
      <c r="I190" s="9" t="s">
        <v>258</v>
      </c>
      <c r="J190" s="9" t="s">
        <v>145</v>
      </c>
    </row>
    <row r="191" spans="1:10">
      <c r="A191" s="5" t="s">
        <v>553</v>
      </c>
      <c r="B191" s="6" t="s">
        <v>2336</v>
      </c>
      <c r="C191" s="7">
        <v>46224</v>
      </c>
      <c r="D191" s="9" t="s">
        <v>241</v>
      </c>
      <c r="E191" s="8" t="s">
        <v>1152</v>
      </c>
      <c r="F191" s="9" t="s">
        <v>242</v>
      </c>
      <c r="G191" s="9">
        <v>1</v>
      </c>
      <c r="H191" s="6" t="s">
        <v>328</v>
      </c>
      <c r="I191" s="9" t="s">
        <v>357</v>
      </c>
      <c r="J191" s="9" t="s">
        <v>145</v>
      </c>
    </row>
    <row r="192" spans="1:10">
      <c r="A192" s="5" t="s">
        <v>554</v>
      </c>
      <c r="B192" s="6" t="s">
        <v>2336</v>
      </c>
      <c r="C192" s="7">
        <v>46224</v>
      </c>
      <c r="D192" s="9" t="s">
        <v>241</v>
      </c>
      <c r="E192" s="4" t="s">
        <v>29</v>
      </c>
      <c r="F192" s="9" t="s">
        <v>246</v>
      </c>
      <c r="G192" s="9">
        <v>1</v>
      </c>
      <c r="H192" s="6" t="s">
        <v>328</v>
      </c>
      <c r="I192" s="9" t="s">
        <v>357</v>
      </c>
      <c r="J192" s="9" t="s">
        <v>145</v>
      </c>
    </row>
    <row r="193" spans="1:10">
      <c r="A193" s="5" t="s">
        <v>555</v>
      </c>
      <c r="B193" s="6" t="s">
        <v>2337</v>
      </c>
      <c r="C193" s="7">
        <v>46224</v>
      </c>
      <c r="D193" s="9" t="s">
        <v>299</v>
      </c>
      <c r="E193" s="8" t="s">
        <v>21</v>
      </c>
      <c r="F193" s="9" t="s">
        <v>242</v>
      </c>
      <c r="G193" s="9">
        <v>1</v>
      </c>
      <c r="H193" s="6" t="s">
        <v>243</v>
      </c>
      <c r="I193" s="9" t="s">
        <v>258</v>
      </c>
      <c r="J193" s="9" t="s">
        <v>145</v>
      </c>
    </row>
    <row r="194" spans="1:10">
      <c r="A194" s="5" t="s">
        <v>557</v>
      </c>
      <c r="B194" s="6" t="s">
        <v>2337</v>
      </c>
      <c r="C194" s="7">
        <v>46224</v>
      </c>
      <c r="D194" s="9" t="s">
        <v>299</v>
      </c>
      <c r="E194" s="8" t="s">
        <v>21</v>
      </c>
      <c r="F194" s="9" t="s">
        <v>246</v>
      </c>
      <c r="G194" s="9">
        <v>1</v>
      </c>
      <c r="H194" s="6" t="s">
        <v>243</v>
      </c>
      <c r="I194" s="9" t="s">
        <v>258</v>
      </c>
      <c r="J194" s="9" t="s">
        <v>145</v>
      </c>
    </row>
    <row r="195" spans="1:10">
      <c r="A195" s="5" t="s">
        <v>558</v>
      </c>
      <c r="B195" s="6" t="s">
        <v>2338</v>
      </c>
      <c r="C195" s="7">
        <v>46225</v>
      </c>
      <c r="D195" s="9" t="s">
        <v>299</v>
      </c>
      <c r="E195" s="8" t="s">
        <v>22</v>
      </c>
      <c r="F195" s="9" t="s">
        <v>242</v>
      </c>
      <c r="G195" s="9">
        <v>1</v>
      </c>
      <c r="H195" s="6" t="s">
        <v>560</v>
      </c>
      <c r="I195" s="9" t="s">
        <v>258</v>
      </c>
      <c r="J195" s="9" t="s">
        <v>145</v>
      </c>
    </row>
    <row r="196" spans="1:10">
      <c r="A196" s="5" t="s">
        <v>561</v>
      </c>
      <c r="B196" s="6" t="s">
        <v>2338</v>
      </c>
      <c r="C196" s="7">
        <v>46225</v>
      </c>
      <c r="D196" s="9" t="s">
        <v>299</v>
      </c>
      <c r="E196" s="8" t="s">
        <v>21</v>
      </c>
      <c r="F196" s="9" t="s">
        <v>246</v>
      </c>
      <c r="G196" s="9">
        <v>1</v>
      </c>
      <c r="H196" s="6" t="s">
        <v>560</v>
      </c>
      <c r="I196" s="9" t="s">
        <v>258</v>
      </c>
      <c r="J196" s="9" t="s">
        <v>145</v>
      </c>
    </row>
    <row r="197" spans="1:10">
      <c r="A197" s="5" t="s">
        <v>562</v>
      </c>
      <c r="B197" s="6" t="s">
        <v>2338</v>
      </c>
      <c r="C197" s="7">
        <v>46225</v>
      </c>
      <c r="D197" s="9" t="s">
        <v>261</v>
      </c>
      <c r="E197" s="8" t="s">
        <v>65</v>
      </c>
      <c r="F197" s="9" t="s">
        <v>242</v>
      </c>
      <c r="G197" s="9">
        <v>1</v>
      </c>
      <c r="H197" s="6" t="s">
        <v>560</v>
      </c>
      <c r="I197" s="9" t="s">
        <v>258</v>
      </c>
      <c r="J197" s="9" t="s">
        <v>145</v>
      </c>
    </row>
    <row r="198" spans="1:10">
      <c r="A198" s="5" t="s">
        <v>567</v>
      </c>
      <c r="B198" s="6" t="s">
        <v>2338</v>
      </c>
      <c r="C198" s="7">
        <v>46225</v>
      </c>
      <c r="D198" s="9" t="s">
        <v>270</v>
      </c>
      <c r="E198" s="4" t="s">
        <v>271</v>
      </c>
      <c r="F198" s="9" t="s">
        <v>242</v>
      </c>
      <c r="G198" s="9">
        <v>2</v>
      </c>
      <c r="H198" s="6" t="s">
        <v>560</v>
      </c>
      <c r="I198" s="9" t="s">
        <v>258</v>
      </c>
      <c r="J198" s="9" t="s">
        <v>145</v>
      </c>
    </row>
    <row r="199" spans="1:10">
      <c r="A199" s="5" t="s">
        <v>568</v>
      </c>
      <c r="B199" s="6" t="s">
        <v>2339</v>
      </c>
      <c r="C199" s="7">
        <v>46225</v>
      </c>
      <c r="D199" s="9" t="s">
        <v>241</v>
      </c>
      <c r="E199" s="8" t="s">
        <v>1152</v>
      </c>
      <c r="F199" s="9" t="s">
        <v>242</v>
      </c>
      <c r="G199" s="9">
        <v>1</v>
      </c>
      <c r="H199" s="6" t="s">
        <v>243</v>
      </c>
      <c r="I199" s="9" t="s">
        <v>605</v>
      </c>
      <c r="J199" s="9" t="s">
        <v>145</v>
      </c>
    </row>
    <row r="200" spans="1:10">
      <c r="A200" s="5" t="s">
        <v>569</v>
      </c>
      <c r="B200" s="6" t="s">
        <v>2339</v>
      </c>
      <c r="C200" s="7">
        <v>46225</v>
      </c>
      <c r="D200" s="9" t="s">
        <v>241</v>
      </c>
      <c r="E200" s="8" t="s">
        <v>27</v>
      </c>
      <c r="F200" s="9" t="s">
        <v>246</v>
      </c>
      <c r="G200" s="9">
        <v>1</v>
      </c>
      <c r="H200" s="6" t="s">
        <v>243</v>
      </c>
      <c r="I200" s="9" t="s">
        <v>605</v>
      </c>
      <c r="J200" s="9" t="s">
        <v>145</v>
      </c>
    </row>
    <row r="201" spans="1:10">
      <c r="A201" s="5" t="s">
        <v>570</v>
      </c>
      <c r="B201" s="6" t="s">
        <v>2340</v>
      </c>
      <c r="C201" s="7">
        <v>46225</v>
      </c>
      <c r="D201" s="9" t="s">
        <v>299</v>
      </c>
      <c r="E201" s="8" t="s">
        <v>21</v>
      </c>
      <c r="F201" s="9" t="s">
        <v>242</v>
      </c>
      <c r="G201" s="9">
        <v>1</v>
      </c>
      <c r="H201" s="6" t="s">
        <v>526</v>
      </c>
      <c r="I201" s="9" t="s">
        <v>1280</v>
      </c>
      <c r="J201" s="9" t="s">
        <v>145</v>
      </c>
    </row>
    <row r="202" spans="1:10">
      <c r="A202" s="5" t="s">
        <v>571</v>
      </c>
      <c r="B202" s="6" t="s">
        <v>2340</v>
      </c>
      <c r="C202" s="7">
        <v>46225</v>
      </c>
      <c r="D202" s="9" t="s">
        <v>299</v>
      </c>
      <c r="E202" s="8" t="s">
        <v>376</v>
      </c>
      <c r="F202" s="9" t="s">
        <v>246</v>
      </c>
      <c r="G202" s="9">
        <v>1</v>
      </c>
      <c r="H202" s="6" t="s">
        <v>526</v>
      </c>
      <c r="I202" s="9" t="s">
        <v>1280</v>
      </c>
      <c r="J202" s="9" t="s">
        <v>145</v>
      </c>
    </row>
    <row r="203" spans="1:10">
      <c r="A203" s="5" t="s">
        <v>573</v>
      </c>
      <c r="B203" s="6" t="s">
        <v>2341</v>
      </c>
      <c r="C203" s="7">
        <v>46226</v>
      </c>
      <c r="D203" s="9" t="s">
        <v>241</v>
      </c>
      <c r="E203" s="4" t="s">
        <v>1152</v>
      </c>
      <c r="F203" s="9" t="s">
        <v>242</v>
      </c>
      <c r="G203" s="9">
        <v>1</v>
      </c>
      <c r="H203" s="6" t="s">
        <v>243</v>
      </c>
      <c r="I203" s="9" t="s">
        <v>253</v>
      </c>
      <c r="J203" s="9" t="s">
        <v>145</v>
      </c>
    </row>
    <row r="204" spans="1:10">
      <c r="A204" s="5" t="s">
        <v>574</v>
      </c>
      <c r="B204" s="6" t="s">
        <v>2341</v>
      </c>
      <c r="C204" s="7">
        <v>46226</v>
      </c>
      <c r="D204" s="9" t="s">
        <v>241</v>
      </c>
      <c r="E204" s="8" t="s">
        <v>27</v>
      </c>
      <c r="F204" s="9" t="s">
        <v>246</v>
      </c>
      <c r="G204" s="9">
        <v>1</v>
      </c>
      <c r="H204" s="6" t="s">
        <v>243</v>
      </c>
      <c r="I204" s="9" t="s">
        <v>253</v>
      </c>
      <c r="J204" s="9" t="s">
        <v>145</v>
      </c>
    </row>
    <row r="205" spans="1:10">
      <c r="A205" s="5" t="s">
        <v>575</v>
      </c>
      <c r="B205" s="6" t="s">
        <v>2341</v>
      </c>
      <c r="C205" s="7">
        <v>46226</v>
      </c>
      <c r="D205" s="9" t="s">
        <v>261</v>
      </c>
      <c r="E205" s="8" t="s">
        <v>62</v>
      </c>
      <c r="F205" s="9" t="s">
        <v>242</v>
      </c>
      <c r="G205" s="9">
        <v>2</v>
      </c>
      <c r="H205" s="6" t="s">
        <v>243</v>
      </c>
      <c r="I205" s="9" t="s">
        <v>253</v>
      </c>
      <c r="J205" s="9" t="s">
        <v>145</v>
      </c>
    </row>
    <row r="206" spans="1:10">
      <c r="A206" s="5" t="s">
        <v>576</v>
      </c>
      <c r="B206" s="6" t="s">
        <v>2342</v>
      </c>
      <c r="C206" s="7">
        <v>46226</v>
      </c>
      <c r="D206" s="9" t="s">
        <v>241</v>
      </c>
      <c r="E206" s="8" t="s">
        <v>1152</v>
      </c>
      <c r="F206" s="9" t="s">
        <v>242</v>
      </c>
      <c r="G206" s="9">
        <v>1</v>
      </c>
      <c r="H206" s="6" t="s">
        <v>243</v>
      </c>
      <c r="I206" s="9" t="s">
        <v>253</v>
      </c>
      <c r="J206" s="9" t="s">
        <v>145</v>
      </c>
    </row>
    <row r="207" spans="1:10">
      <c r="A207" s="5" t="s">
        <v>577</v>
      </c>
      <c r="B207" s="6" t="s">
        <v>2342</v>
      </c>
      <c r="C207" s="7">
        <v>46226</v>
      </c>
      <c r="D207" s="9" t="s">
        <v>241</v>
      </c>
      <c r="E207" s="8" t="s">
        <v>29</v>
      </c>
      <c r="F207" s="9" t="s">
        <v>246</v>
      </c>
      <c r="G207" s="9">
        <v>1</v>
      </c>
      <c r="H207" s="6" t="s">
        <v>243</v>
      </c>
      <c r="I207" s="9" t="s">
        <v>253</v>
      </c>
      <c r="J207" s="9" t="s">
        <v>145</v>
      </c>
    </row>
    <row r="208" spans="1:10">
      <c r="A208" s="5" t="s">
        <v>580</v>
      </c>
      <c r="B208" s="6" t="s">
        <v>2342</v>
      </c>
      <c r="C208" s="7">
        <v>46226</v>
      </c>
      <c r="D208" s="9" t="s">
        <v>261</v>
      </c>
      <c r="E208" s="8" t="s">
        <v>62</v>
      </c>
      <c r="F208" s="9" t="s">
        <v>242</v>
      </c>
      <c r="G208" s="9">
        <v>1</v>
      </c>
      <c r="H208" s="6" t="s">
        <v>243</v>
      </c>
      <c r="I208" s="9" t="s">
        <v>253</v>
      </c>
      <c r="J208" s="9" t="s">
        <v>145</v>
      </c>
    </row>
    <row r="209" spans="1:10">
      <c r="A209" s="5" t="s">
        <v>581</v>
      </c>
      <c r="B209" s="6" t="s">
        <v>2343</v>
      </c>
      <c r="C209" s="7">
        <v>46226</v>
      </c>
      <c r="D209" s="9" t="s">
        <v>299</v>
      </c>
      <c r="E209" s="8" t="s">
        <v>21</v>
      </c>
      <c r="F209" s="9" t="s">
        <v>242</v>
      </c>
      <c r="G209" s="9">
        <v>1</v>
      </c>
      <c r="H209" s="6" t="s">
        <v>328</v>
      </c>
      <c r="I209" s="9" t="s">
        <v>605</v>
      </c>
      <c r="J209" s="9" t="s">
        <v>145</v>
      </c>
    </row>
    <row r="210" spans="1:10">
      <c r="A210" s="5" t="s">
        <v>583</v>
      </c>
      <c r="B210" s="6" t="s">
        <v>2343</v>
      </c>
      <c r="C210" s="7">
        <v>46226</v>
      </c>
      <c r="D210" s="9" t="s">
        <v>299</v>
      </c>
      <c r="E210" s="8" t="s">
        <v>21</v>
      </c>
      <c r="F210" s="9" t="s">
        <v>246</v>
      </c>
      <c r="G210" s="9">
        <v>1</v>
      </c>
      <c r="H210" s="6" t="s">
        <v>328</v>
      </c>
      <c r="I210" s="9" t="s">
        <v>605</v>
      </c>
      <c r="J210" s="9" t="s">
        <v>145</v>
      </c>
    </row>
    <row r="211" spans="1:10">
      <c r="A211" s="5" t="s">
        <v>584</v>
      </c>
      <c r="B211" s="6" t="s">
        <v>2344</v>
      </c>
      <c r="C211" s="7">
        <v>46226</v>
      </c>
      <c r="D211" s="9" t="s">
        <v>264</v>
      </c>
      <c r="E211" s="8" t="s">
        <v>37</v>
      </c>
      <c r="F211" s="9" t="s">
        <v>242</v>
      </c>
      <c r="G211" s="9">
        <v>1</v>
      </c>
      <c r="H211" s="6" t="s">
        <v>243</v>
      </c>
      <c r="I211" s="9" t="s">
        <v>609</v>
      </c>
      <c r="J211" s="9" t="s">
        <v>145</v>
      </c>
    </row>
    <row r="212" spans="1:10">
      <c r="A212" s="5" t="s">
        <v>588</v>
      </c>
      <c r="B212" s="6" t="s">
        <v>2344</v>
      </c>
      <c r="C212" s="7">
        <v>46226</v>
      </c>
      <c r="D212" s="9" t="s">
        <v>264</v>
      </c>
      <c r="E212" s="8" t="s">
        <v>37</v>
      </c>
      <c r="F212" s="9" t="s">
        <v>246</v>
      </c>
      <c r="G212" s="9">
        <v>1</v>
      </c>
      <c r="H212" s="6" t="s">
        <v>243</v>
      </c>
      <c r="I212" s="9" t="s">
        <v>609</v>
      </c>
      <c r="J212" s="9" t="s">
        <v>145</v>
      </c>
    </row>
    <row r="213" spans="1:10">
      <c r="A213" s="5" t="s">
        <v>591</v>
      </c>
      <c r="B213" s="6" t="s">
        <v>2345</v>
      </c>
      <c r="C213" s="7">
        <v>46227</v>
      </c>
      <c r="D213" s="9" t="s">
        <v>241</v>
      </c>
      <c r="E213" s="8" t="s">
        <v>1152</v>
      </c>
      <c r="F213" s="9" t="s">
        <v>242</v>
      </c>
      <c r="G213" s="9">
        <v>1</v>
      </c>
      <c r="H213" s="6" t="s">
        <v>243</v>
      </c>
      <c r="I213" s="9" t="s">
        <v>266</v>
      </c>
      <c r="J213" s="9" t="s">
        <v>145</v>
      </c>
    </row>
    <row r="214" spans="1:10">
      <c r="A214" s="5" t="s">
        <v>592</v>
      </c>
      <c r="B214" s="6" t="s">
        <v>2345</v>
      </c>
      <c r="C214" s="7">
        <v>46227</v>
      </c>
      <c r="D214" s="9" t="s">
        <v>241</v>
      </c>
      <c r="E214" s="8" t="s">
        <v>29</v>
      </c>
      <c r="F214" s="9" t="s">
        <v>246</v>
      </c>
      <c r="G214" s="9">
        <v>1</v>
      </c>
      <c r="H214" s="6" t="s">
        <v>243</v>
      </c>
      <c r="I214" s="9" t="s">
        <v>266</v>
      </c>
      <c r="J214" s="9" t="s">
        <v>145</v>
      </c>
    </row>
    <row r="215" spans="1:10">
      <c r="A215" s="5" t="s">
        <v>593</v>
      </c>
      <c r="B215" s="6" t="s">
        <v>2345</v>
      </c>
      <c r="C215" s="7">
        <v>46227</v>
      </c>
      <c r="D215" s="9" t="s">
        <v>261</v>
      </c>
      <c r="E215" s="8" t="s">
        <v>281</v>
      </c>
      <c r="F215" s="9" t="s">
        <v>242</v>
      </c>
      <c r="G215" s="9">
        <v>3</v>
      </c>
      <c r="H215" s="6" t="s">
        <v>243</v>
      </c>
      <c r="I215" s="9" t="s">
        <v>266</v>
      </c>
      <c r="J215" s="9" t="s">
        <v>145</v>
      </c>
    </row>
    <row r="216" spans="1:10">
      <c r="A216" s="5" t="s">
        <v>595</v>
      </c>
      <c r="B216" s="6" t="s">
        <v>2346</v>
      </c>
      <c r="C216" s="7">
        <v>46225</v>
      </c>
      <c r="D216" s="9" t="s">
        <v>241</v>
      </c>
      <c r="E216" s="8" t="s">
        <v>1152</v>
      </c>
      <c r="F216" s="9" t="s">
        <v>242</v>
      </c>
      <c r="G216" s="9">
        <v>1</v>
      </c>
      <c r="H216" s="6" t="s">
        <v>243</v>
      </c>
      <c r="I216" s="9" t="s">
        <v>311</v>
      </c>
      <c r="J216" s="9" t="s">
        <v>145</v>
      </c>
    </row>
    <row r="217" spans="1:10">
      <c r="A217" s="5" t="s">
        <v>596</v>
      </c>
      <c r="B217" s="6" t="s">
        <v>2346</v>
      </c>
      <c r="C217" s="7">
        <v>46225</v>
      </c>
      <c r="D217" s="9" t="s">
        <v>241</v>
      </c>
      <c r="E217" s="8" t="s">
        <v>29</v>
      </c>
      <c r="F217" s="9" t="s">
        <v>246</v>
      </c>
      <c r="G217" s="9">
        <v>1</v>
      </c>
      <c r="H217" s="6" t="s">
        <v>243</v>
      </c>
      <c r="I217" s="9" t="s">
        <v>311</v>
      </c>
      <c r="J217" s="9" t="s">
        <v>145</v>
      </c>
    </row>
    <row r="218" spans="1:10">
      <c r="A218" s="5" t="s">
        <v>599</v>
      </c>
      <c r="B218" s="6" t="s">
        <v>2346</v>
      </c>
      <c r="C218" s="7">
        <v>46225</v>
      </c>
      <c r="D218" s="9" t="s">
        <v>261</v>
      </c>
      <c r="E218" s="8" t="s">
        <v>281</v>
      </c>
      <c r="F218" s="9" t="s">
        <v>242</v>
      </c>
      <c r="G218" s="9">
        <v>1</v>
      </c>
      <c r="H218" s="6" t="s">
        <v>243</v>
      </c>
      <c r="I218" s="9" t="s">
        <v>311</v>
      </c>
      <c r="J218" s="9" t="s">
        <v>145</v>
      </c>
    </row>
    <row r="219" spans="1:10">
      <c r="A219" s="5" t="s">
        <v>600</v>
      </c>
      <c r="B219" s="6" t="s">
        <v>2347</v>
      </c>
      <c r="C219" s="7">
        <v>46227</v>
      </c>
      <c r="D219" s="9" t="s">
        <v>241</v>
      </c>
      <c r="E219" s="8" t="s">
        <v>1152</v>
      </c>
      <c r="F219" s="9" t="s">
        <v>242</v>
      </c>
      <c r="G219" s="9">
        <v>1</v>
      </c>
      <c r="H219" s="6" t="s">
        <v>243</v>
      </c>
      <c r="I219" s="9" t="s">
        <v>1546</v>
      </c>
      <c r="J219" s="9" t="s">
        <v>145</v>
      </c>
    </row>
    <row r="220" spans="1:10">
      <c r="A220" s="5" t="s">
        <v>602</v>
      </c>
      <c r="B220" s="6" t="s">
        <v>2347</v>
      </c>
      <c r="C220" s="7">
        <v>46227</v>
      </c>
      <c r="D220" s="9" t="s">
        <v>241</v>
      </c>
      <c r="E220" s="8" t="s">
        <v>29</v>
      </c>
      <c r="F220" s="9" t="s">
        <v>246</v>
      </c>
      <c r="G220" s="9">
        <v>1</v>
      </c>
      <c r="H220" s="6" t="s">
        <v>243</v>
      </c>
      <c r="I220" s="9" t="s">
        <v>1546</v>
      </c>
      <c r="J220" s="9" t="s">
        <v>145</v>
      </c>
    </row>
    <row r="221" spans="1:10">
      <c r="A221" s="5" t="s">
        <v>603</v>
      </c>
      <c r="B221" s="6" t="s">
        <v>2348</v>
      </c>
      <c r="C221" s="7">
        <v>46227</v>
      </c>
      <c r="D221" s="9" t="s">
        <v>299</v>
      </c>
      <c r="E221" s="8" t="s">
        <v>1334</v>
      </c>
      <c r="F221" s="9" t="s">
        <v>242</v>
      </c>
      <c r="G221" s="9">
        <v>1</v>
      </c>
      <c r="H221" s="6" t="s">
        <v>1891</v>
      </c>
      <c r="I221" s="9" t="s">
        <v>616</v>
      </c>
      <c r="J221" s="9" t="s">
        <v>145</v>
      </c>
    </row>
    <row r="222" spans="1:10">
      <c r="A222" s="5" t="s">
        <v>606</v>
      </c>
      <c r="B222" s="6" t="s">
        <v>2348</v>
      </c>
      <c r="C222" s="7">
        <v>46227</v>
      </c>
      <c r="D222" s="9" t="s">
        <v>299</v>
      </c>
      <c r="E222" s="8" t="s">
        <v>1334</v>
      </c>
      <c r="F222" s="9" t="s">
        <v>246</v>
      </c>
      <c r="G222" s="9">
        <v>1</v>
      </c>
      <c r="H222" s="6" t="s">
        <v>1891</v>
      </c>
      <c r="I222" s="9" t="s">
        <v>616</v>
      </c>
      <c r="J222" s="9" t="s">
        <v>145</v>
      </c>
    </row>
    <row r="223" spans="1:10">
      <c r="A223" s="5" t="s">
        <v>607</v>
      </c>
      <c r="B223" s="6" t="s">
        <v>2349</v>
      </c>
      <c r="C223" s="7">
        <v>46228</v>
      </c>
      <c r="D223" s="9" t="s">
        <v>241</v>
      </c>
      <c r="E223" s="8" t="s">
        <v>1152</v>
      </c>
      <c r="F223" s="9" t="s">
        <v>242</v>
      </c>
      <c r="G223" s="9">
        <v>1</v>
      </c>
      <c r="H223" s="6" t="s">
        <v>328</v>
      </c>
      <c r="I223" s="9" t="s">
        <v>289</v>
      </c>
      <c r="J223" s="9" t="s">
        <v>145</v>
      </c>
    </row>
    <row r="224" spans="1:10">
      <c r="A224" s="5" t="s">
        <v>610</v>
      </c>
      <c r="B224" s="6" t="s">
        <v>2349</v>
      </c>
      <c r="C224" s="7">
        <v>46228</v>
      </c>
      <c r="D224" s="9" t="s">
        <v>241</v>
      </c>
      <c r="E224" s="4" t="s">
        <v>29</v>
      </c>
      <c r="F224" s="9" t="s">
        <v>246</v>
      </c>
      <c r="G224" s="9">
        <v>1</v>
      </c>
      <c r="H224" s="6" t="s">
        <v>328</v>
      </c>
      <c r="I224" s="9" t="s">
        <v>289</v>
      </c>
      <c r="J224" s="9" t="s">
        <v>145</v>
      </c>
    </row>
    <row r="225" spans="1:10">
      <c r="A225" s="5" t="s">
        <v>611</v>
      </c>
      <c r="B225" s="6" t="s">
        <v>2350</v>
      </c>
      <c r="C225" s="7">
        <v>46228</v>
      </c>
      <c r="D225" s="9" t="s">
        <v>299</v>
      </c>
      <c r="E225" s="8" t="s">
        <v>22</v>
      </c>
      <c r="F225" s="9" t="s">
        <v>242</v>
      </c>
      <c r="G225" s="9">
        <v>1</v>
      </c>
      <c r="H225" s="6" t="s">
        <v>1891</v>
      </c>
      <c r="I225" s="9" t="s">
        <v>289</v>
      </c>
      <c r="J225" s="9" t="s">
        <v>145</v>
      </c>
    </row>
    <row r="226" spans="1:10">
      <c r="A226" s="5" t="s">
        <v>612</v>
      </c>
      <c r="B226" s="6" t="s">
        <v>2350</v>
      </c>
      <c r="C226" s="7">
        <v>46228</v>
      </c>
      <c r="D226" s="9" t="s">
        <v>299</v>
      </c>
      <c r="E226" s="8" t="s">
        <v>21</v>
      </c>
      <c r="F226" s="9" t="s">
        <v>246</v>
      </c>
      <c r="G226" s="9">
        <v>1</v>
      </c>
      <c r="H226" s="6" t="s">
        <v>1891</v>
      </c>
      <c r="I226" s="9" t="s">
        <v>289</v>
      </c>
      <c r="J226" s="9" t="s">
        <v>145</v>
      </c>
    </row>
    <row r="227" spans="1:10">
      <c r="A227" s="5" t="s">
        <v>613</v>
      </c>
      <c r="B227" s="6" t="s">
        <v>2351</v>
      </c>
      <c r="C227" s="7">
        <v>46229</v>
      </c>
      <c r="D227" s="9" t="s">
        <v>665</v>
      </c>
      <c r="E227" s="8" t="s">
        <v>666</v>
      </c>
      <c r="F227" s="9" t="s">
        <v>242</v>
      </c>
      <c r="G227" s="9">
        <v>1</v>
      </c>
      <c r="H227" s="6" t="s">
        <v>2352</v>
      </c>
      <c r="I227" s="9" t="s">
        <v>484</v>
      </c>
      <c r="J227" s="9" t="s">
        <v>145</v>
      </c>
    </row>
    <row r="228" spans="1:10">
      <c r="A228" s="5" t="s">
        <v>617</v>
      </c>
      <c r="B228" s="6" t="s">
        <v>2351</v>
      </c>
      <c r="C228" s="7">
        <v>46229</v>
      </c>
      <c r="D228" s="9" t="s">
        <v>261</v>
      </c>
      <c r="E228" s="4" t="s">
        <v>64</v>
      </c>
      <c r="F228" s="9" t="s">
        <v>242</v>
      </c>
      <c r="G228" s="9">
        <v>1</v>
      </c>
      <c r="H228" s="6" t="s">
        <v>2352</v>
      </c>
      <c r="I228" s="9" t="s">
        <v>484</v>
      </c>
      <c r="J228" s="9" t="s">
        <v>145</v>
      </c>
    </row>
    <row r="229" spans="1:10">
      <c r="A229" s="5" t="s">
        <v>618</v>
      </c>
      <c r="B229" s="6" t="s">
        <v>2351</v>
      </c>
      <c r="C229" s="7">
        <v>46229</v>
      </c>
      <c r="D229" s="9" t="s">
        <v>270</v>
      </c>
      <c r="E229" s="8" t="s">
        <v>271</v>
      </c>
      <c r="F229" s="9" t="s">
        <v>242</v>
      </c>
      <c r="G229" s="9">
        <v>1</v>
      </c>
      <c r="H229" s="6" t="s">
        <v>2352</v>
      </c>
      <c r="I229" s="9" t="s">
        <v>484</v>
      </c>
      <c r="J229" s="9" t="s">
        <v>145</v>
      </c>
    </row>
    <row r="230" spans="1:10">
      <c r="A230" s="5" t="s">
        <v>620</v>
      </c>
      <c r="B230" s="6" t="s">
        <v>2351</v>
      </c>
      <c r="C230" s="7">
        <v>46229</v>
      </c>
      <c r="D230" s="9" t="s">
        <v>503</v>
      </c>
      <c r="E230" s="4" t="s">
        <v>1429</v>
      </c>
      <c r="F230" s="9" t="s">
        <v>242</v>
      </c>
      <c r="G230" s="9">
        <v>10</v>
      </c>
      <c r="H230" s="6" t="s">
        <v>2352</v>
      </c>
      <c r="I230" s="9" t="s">
        <v>484</v>
      </c>
      <c r="J230" s="9" t="s">
        <v>145</v>
      </c>
    </row>
    <row r="231" spans="1:10">
      <c r="A231" s="5" t="s">
        <v>621</v>
      </c>
      <c r="B231" s="6" t="s">
        <v>2353</v>
      </c>
      <c r="C231" s="7">
        <v>46230</v>
      </c>
      <c r="D231" s="9" t="s">
        <v>241</v>
      </c>
      <c r="E231" s="8" t="s">
        <v>1152</v>
      </c>
      <c r="F231" s="9" t="s">
        <v>242</v>
      </c>
      <c r="G231" s="9">
        <v>1</v>
      </c>
      <c r="H231" s="6" t="s">
        <v>328</v>
      </c>
      <c r="I231" s="9" t="s">
        <v>337</v>
      </c>
      <c r="J231" s="9" t="s">
        <v>145</v>
      </c>
    </row>
    <row r="232" spans="1:10">
      <c r="A232" s="5" t="s">
        <v>624</v>
      </c>
      <c r="B232" s="6" t="s">
        <v>2353</v>
      </c>
      <c r="C232" s="7">
        <v>46230</v>
      </c>
      <c r="D232" s="9" t="s">
        <v>241</v>
      </c>
      <c r="E232" s="4" t="s">
        <v>1152</v>
      </c>
      <c r="F232" s="9" t="s">
        <v>246</v>
      </c>
      <c r="G232" s="9">
        <v>1</v>
      </c>
      <c r="H232" s="6" t="s">
        <v>328</v>
      </c>
      <c r="I232" s="9" t="s">
        <v>337</v>
      </c>
      <c r="J232" s="9" t="s">
        <v>145</v>
      </c>
    </row>
    <row r="233" spans="1:10">
      <c r="A233" s="5" t="s">
        <v>625</v>
      </c>
      <c r="B233" s="6" t="s">
        <v>2354</v>
      </c>
      <c r="C233" s="7">
        <v>46230</v>
      </c>
      <c r="D233" s="9" t="s">
        <v>665</v>
      </c>
      <c r="E233" s="8" t="s">
        <v>666</v>
      </c>
      <c r="F233" s="9" t="s">
        <v>242</v>
      </c>
      <c r="G233" s="9">
        <v>1</v>
      </c>
      <c r="H233" s="6" t="s">
        <v>2355</v>
      </c>
      <c r="I233" s="9" t="s">
        <v>514</v>
      </c>
      <c r="J233" s="9" t="s">
        <v>145</v>
      </c>
    </row>
    <row r="234" spans="1:10">
      <c r="A234" s="5" t="s">
        <v>626</v>
      </c>
      <c r="B234" s="6" t="s">
        <v>2354</v>
      </c>
      <c r="C234" s="7">
        <v>46230</v>
      </c>
      <c r="D234" s="9" t="s">
        <v>665</v>
      </c>
      <c r="E234" s="8" t="s">
        <v>42</v>
      </c>
      <c r="F234" s="9" t="s">
        <v>246</v>
      </c>
      <c r="G234" s="9">
        <v>1</v>
      </c>
      <c r="H234" s="6" t="s">
        <v>2355</v>
      </c>
      <c r="I234" s="9" t="s">
        <v>514</v>
      </c>
      <c r="J234" s="9" t="s">
        <v>145</v>
      </c>
    </row>
    <row r="235" spans="1:10">
      <c r="A235" s="5" t="s">
        <v>629</v>
      </c>
      <c r="B235" s="6" t="s">
        <v>2354</v>
      </c>
      <c r="C235" s="7">
        <v>46230</v>
      </c>
      <c r="D235" s="9" t="s">
        <v>503</v>
      </c>
      <c r="E235" s="8" t="s">
        <v>1429</v>
      </c>
      <c r="F235" s="9" t="s">
        <v>242</v>
      </c>
      <c r="G235" s="9">
        <v>10</v>
      </c>
      <c r="H235" s="6" t="s">
        <v>2355</v>
      </c>
      <c r="I235" s="9" t="s">
        <v>514</v>
      </c>
      <c r="J235" s="9" t="s">
        <v>145</v>
      </c>
    </row>
    <row r="236" spans="1:10">
      <c r="A236" s="5" t="s">
        <v>630</v>
      </c>
      <c r="B236" s="6" t="s">
        <v>2356</v>
      </c>
      <c r="C236" s="7">
        <v>46225</v>
      </c>
      <c r="D236" s="9" t="s">
        <v>264</v>
      </c>
      <c r="E236" s="4" t="s">
        <v>35</v>
      </c>
      <c r="F236" s="9" t="s">
        <v>242</v>
      </c>
      <c r="G236" s="9">
        <v>1</v>
      </c>
      <c r="H236" s="6" t="s">
        <v>2357</v>
      </c>
      <c r="I236" s="9" t="s">
        <v>311</v>
      </c>
      <c r="J236" s="9" t="s">
        <v>145</v>
      </c>
    </row>
    <row r="237" spans="1:10">
      <c r="A237" s="5" t="s">
        <v>631</v>
      </c>
      <c r="B237" s="6" t="s">
        <v>2356</v>
      </c>
      <c r="C237" s="7">
        <v>46225</v>
      </c>
      <c r="D237" s="9" t="s">
        <v>264</v>
      </c>
      <c r="E237" s="8" t="s">
        <v>36</v>
      </c>
      <c r="F237" s="9" t="s">
        <v>246</v>
      </c>
      <c r="G237" s="9">
        <v>1</v>
      </c>
      <c r="H237" s="6" t="s">
        <v>2357</v>
      </c>
      <c r="I237" s="9" t="s">
        <v>311</v>
      </c>
      <c r="J237" s="9" t="s">
        <v>145</v>
      </c>
    </row>
    <row r="238" spans="1:10">
      <c r="A238" s="5" t="s">
        <v>634</v>
      </c>
      <c r="B238" s="6" t="s">
        <v>2356</v>
      </c>
      <c r="C238" s="7">
        <v>46225</v>
      </c>
      <c r="D238" s="9" t="s">
        <v>261</v>
      </c>
      <c r="E238" s="8" t="s">
        <v>64</v>
      </c>
      <c r="F238" s="9" t="s">
        <v>242</v>
      </c>
      <c r="G238" s="9">
        <v>2</v>
      </c>
      <c r="H238" s="6" t="s">
        <v>2357</v>
      </c>
      <c r="I238" s="9" t="s">
        <v>311</v>
      </c>
      <c r="J238" s="9" t="s">
        <v>145</v>
      </c>
    </row>
    <row r="239" spans="1:10">
      <c r="A239" s="5" t="s">
        <v>635</v>
      </c>
      <c r="B239" s="6" t="s">
        <v>2356</v>
      </c>
      <c r="C239" s="7">
        <v>46225</v>
      </c>
      <c r="D239" s="9" t="s">
        <v>270</v>
      </c>
      <c r="E239" s="8" t="s">
        <v>271</v>
      </c>
      <c r="F239" s="9" t="s">
        <v>242</v>
      </c>
      <c r="G239" s="9">
        <v>2</v>
      </c>
      <c r="H239" s="6" t="s">
        <v>2357</v>
      </c>
      <c r="I239" s="9" t="s">
        <v>311</v>
      </c>
      <c r="J239" s="9" t="s">
        <v>145</v>
      </c>
    </row>
    <row r="240" spans="1:10">
      <c r="A240" s="5" t="s">
        <v>637</v>
      </c>
      <c r="B240" s="6" t="s">
        <v>2358</v>
      </c>
      <c r="C240" s="7">
        <v>46231</v>
      </c>
      <c r="D240" s="9" t="s">
        <v>241</v>
      </c>
      <c r="E240" s="8" t="s">
        <v>28</v>
      </c>
      <c r="F240" s="9" t="s">
        <v>242</v>
      </c>
      <c r="G240" s="9">
        <v>1</v>
      </c>
      <c r="H240" s="6" t="s">
        <v>243</v>
      </c>
      <c r="I240" s="9" t="s">
        <v>244</v>
      </c>
      <c r="J240" s="9" t="s">
        <v>145</v>
      </c>
    </row>
    <row r="241" spans="1:10">
      <c r="A241" s="5" t="s">
        <v>638</v>
      </c>
      <c r="B241" s="6" t="s">
        <v>2358</v>
      </c>
      <c r="C241" s="7">
        <v>46231</v>
      </c>
      <c r="D241" s="9" t="s">
        <v>241</v>
      </c>
      <c r="E241" s="4" t="s">
        <v>29</v>
      </c>
      <c r="F241" s="9" t="s">
        <v>246</v>
      </c>
      <c r="G241" s="9">
        <v>1</v>
      </c>
      <c r="H241" s="6" t="s">
        <v>243</v>
      </c>
      <c r="I241" s="9" t="s">
        <v>244</v>
      </c>
      <c r="J241" s="9" t="s">
        <v>145</v>
      </c>
    </row>
    <row r="242" spans="1:10">
      <c r="A242" s="5" t="s">
        <v>640</v>
      </c>
      <c r="B242" s="6" t="s">
        <v>2359</v>
      </c>
      <c r="C242" s="7">
        <v>46231</v>
      </c>
      <c r="D242" s="9" t="s">
        <v>241</v>
      </c>
      <c r="E242" s="4" t="s">
        <v>1152</v>
      </c>
      <c r="F242" s="9" t="s">
        <v>242</v>
      </c>
      <c r="G242" s="9">
        <v>1</v>
      </c>
      <c r="H242" s="6" t="s">
        <v>560</v>
      </c>
      <c r="I242" s="9" t="s">
        <v>258</v>
      </c>
      <c r="J242" s="9" t="s">
        <v>145</v>
      </c>
    </row>
    <row r="243" spans="1:10">
      <c r="A243" s="5" t="s">
        <v>641</v>
      </c>
      <c r="B243" s="6" t="s">
        <v>2359</v>
      </c>
      <c r="C243" s="7">
        <v>46231</v>
      </c>
      <c r="D243" s="9" t="s">
        <v>241</v>
      </c>
      <c r="E243" s="8" t="s">
        <v>29</v>
      </c>
      <c r="F243" s="9" t="s">
        <v>246</v>
      </c>
      <c r="G243" s="9">
        <v>1</v>
      </c>
      <c r="H243" s="6" t="s">
        <v>560</v>
      </c>
      <c r="I243" s="9" t="s">
        <v>258</v>
      </c>
      <c r="J243" s="9" t="s">
        <v>145</v>
      </c>
    </row>
    <row r="244" spans="1:10">
      <c r="A244" s="5" t="s">
        <v>642</v>
      </c>
      <c r="B244" s="6" t="s">
        <v>2360</v>
      </c>
      <c r="C244" s="7">
        <v>46231</v>
      </c>
      <c r="D244" s="9" t="s">
        <v>299</v>
      </c>
      <c r="E244" s="8" t="s">
        <v>24</v>
      </c>
      <c r="F244" s="9" t="s">
        <v>242</v>
      </c>
      <c r="G244" s="9">
        <v>1</v>
      </c>
      <c r="H244" s="6" t="s">
        <v>1891</v>
      </c>
      <c r="I244" s="9" t="s">
        <v>258</v>
      </c>
      <c r="J244" s="9" t="s">
        <v>145</v>
      </c>
    </row>
    <row r="245" spans="1:10">
      <c r="A245" s="5" t="s">
        <v>644</v>
      </c>
      <c r="B245" s="6" t="s">
        <v>2360</v>
      </c>
      <c r="C245" s="7">
        <v>46231</v>
      </c>
      <c r="D245" s="9" t="s">
        <v>299</v>
      </c>
      <c r="E245" s="4" t="s">
        <v>22</v>
      </c>
      <c r="F245" s="9" t="s">
        <v>246</v>
      </c>
      <c r="G245" s="9">
        <v>1</v>
      </c>
      <c r="H245" s="6" t="s">
        <v>1891</v>
      </c>
      <c r="I245" s="9" t="s">
        <v>258</v>
      </c>
      <c r="J245" s="9" t="s">
        <v>145</v>
      </c>
    </row>
    <row r="246" spans="1:10">
      <c r="A246" s="5" t="s">
        <v>645</v>
      </c>
      <c r="B246" s="6" t="s">
        <v>2360</v>
      </c>
      <c r="C246" s="7">
        <v>46231</v>
      </c>
      <c r="D246" s="9" t="s">
        <v>500</v>
      </c>
      <c r="E246" s="8" t="s">
        <v>50</v>
      </c>
      <c r="F246" s="9" t="s">
        <v>242</v>
      </c>
      <c r="G246" s="9">
        <v>1</v>
      </c>
      <c r="H246" s="6" t="s">
        <v>1891</v>
      </c>
      <c r="I246" s="9" t="s">
        <v>258</v>
      </c>
      <c r="J246" s="9" t="s">
        <v>145</v>
      </c>
    </row>
    <row r="247" spans="1:10">
      <c r="A247" s="5" t="s">
        <v>647</v>
      </c>
      <c r="B247" s="6" t="s">
        <v>2360</v>
      </c>
      <c r="C247" s="7">
        <v>46231</v>
      </c>
      <c r="D247" s="9" t="s">
        <v>503</v>
      </c>
      <c r="E247" s="8" t="s">
        <v>162</v>
      </c>
      <c r="F247" s="9" t="s">
        <v>242</v>
      </c>
      <c r="G247" s="9">
        <v>1</v>
      </c>
      <c r="H247" s="6" t="s">
        <v>1891</v>
      </c>
      <c r="I247" s="9" t="s">
        <v>258</v>
      </c>
      <c r="J247" s="9" t="s">
        <v>145</v>
      </c>
    </row>
    <row r="248" spans="1:10">
      <c r="A248" s="5" t="s">
        <v>648</v>
      </c>
      <c r="B248" s="6" t="s">
        <v>2361</v>
      </c>
      <c r="C248" s="7">
        <v>46231</v>
      </c>
      <c r="D248" s="9" t="s">
        <v>299</v>
      </c>
      <c r="E248" s="8" t="s">
        <v>21</v>
      </c>
      <c r="F248" s="9" t="s">
        <v>242</v>
      </c>
      <c r="G248" s="9">
        <v>1</v>
      </c>
      <c r="H248" s="6" t="s">
        <v>1653</v>
      </c>
      <c r="I248" s="9" t="s">
        <v>484</v>
      </c>
      <c r="J248" s="9" t="s">
        <v>145</v>
      </c>
    </row>
    <row r="249" spans="1:10">
      <c r="A249" s="5" t="s">
        <v>651</v>
      </c>
      <c r="B249" s="6" t="s">
        <v>2361</v>
      </c>
      <c r="C249" s="7">
        <v>46231</v>
      </c>
      <c r="D249" s="9" t="s">
        <v>299</v>
      </c>
      <c r="E249" s="8" t="s">
        <v>21</v>
      </c>
      <c r="F249" s="9" t="s">
        <v>246</v>
      </c>
      <c r="G249" s="9">
        <v>1</v>
      </c>
      <c r="H249" s="6" t="s">
        <v>1653</v>
      </c>
      <c r="I249" s="9" t="s">
        <v>484</v>
      </c>
      <c r="J249" s="9" t="s">
        <v>145</v>
      </c>
    </row>
    <row r="250" spans="1:10">
      <c r="A250" s="5" t="s">
        <v>652</v>
      </c>
      <c r="B250" s="6" t="s">
        <v>2362</v>
      </c>
      <c r="C250" s="7">
        <v>46231</v>
      </c>
      <c r="D250" s="9" t="s">
        <v>264</v>
      </c>
      <c r="E250" s="4" t="s">
        <v>38</v>
      </c>
      <c r="F250" s="9" t="s">
        <v>242</v>
      </c>
      <c r="G250" s="9">
        <v>1</v>
      </c>
      <c r="H250" s="6" t="s">
        <v>1891</v>
      </c>
      <c r="I250" s="9" t="s">
        <v>258</v>
      </c>
      <c r="J250" s="9" t="s">
        <v>145</v>
      </c>
    </row>
    <row r="251" spans="1:10">
      <c r="A251" s="5" t="s">
        <v>654</v>
      </c>
      <c r="B251" s="6" t="s">
        <v>2362</v>
      </c>
      <c r="C251" s="7">
        <v>46231</v>
      </c>
      <c r="D251" s="9" t="s">
        <v>299</v>
      </c>
      <c r="E251" s="8" t="s">
        <v>22</v>
      </c>
      <c r="F251" s="9" t="s">
        <v>246</v>
      </c>
      <c r="G251" s="9">
        <v>1</v>
      </c>
      <c r="H251" s="6" t="s">
        <v>1891</v>
      </c>
      <c r="I251" s="9" t="s">
        <v>258</v>
      </c>
      <c r="J251" s="9" t="s">
        <v>145</v>
      </c>
    </row>
    <row r="252" spans="1:10">
      <c r="A252" s="5" t="s">
        <v>655</v>
      </c>
      <c r="B252" s="6" t="s">
        <v>2362</v>
      </c>
      <c r="C252" s="7">
        <v>46231</v>
      </c>
      <c r="D252" s="9" t="s">
        <v>500</v>
      </c>
      <c r="E252" s="8" t="s">
        <v>53</v>
      </c>
      <c r="F252" s="9" t="s">
        <v>242</v>
      </c>
      <c r="G252" s="9">
        <v>1</v>
      </c>
      <c r="H252" s="6" t="s">
        <v>1891</v>
      </c>
      <c r="I252" s="9" t="s">
        <v>258</v>
      </c>
      <c r="J252" s="9" t="s">
        <v>145</v>
      </c>
    </row>
    <row r="253" spans="1:10">
      <c r="A253" s="5" t="s">
        <v>658</v>
      </c>
      <c r="B253" s="6" t="s">
        <v>2362</v>
      </c>
      <c r="C253" s="7">
        <v>46231</v>
      </c>
      <c r="D253" s="9" t="s">
        <v>261</v>
      </c>
      <c r="E253" s="8" t="s">
        <v>62</v>
      </c>
      <c r="F253" s="9" t="s">
        <v>242</v>
      </c>
      <c r="G253" s="9">
        <v>4</v>
      </c>
      <c r="H253" s="6" t="s">
        <v>1891</v>
      </c>
      <c r="I253" s="9" t="s">
        <v>258</v>
      </c>
      <c r="J253" s="9" t="s">
        <v>145</v>
      </c>
    </row>
    <row r="254" spans="1:10">
      <c r="A254" s="5" t="s">
        <v>660</v>
      </c>
      <c r="B254" s="6" t="s">
        <v>2363</v>
      </c>
      <c r="C254" s="7">
        <v>46231</v>
      </c>
      <c r="D254" s="9" t="s">
        <v>299</v>
      </c>
      <c r="E254" s="8" t="s">
        <v>21</v>
      </c>
      <c r="F254" s="9" t="s">
        <v>242</v>
      </c>
      <c r="G254" s="9">
        <v>1</v>
      </c>
      <c r="H254" s="6" t="s">
        <v>2364</v>
      </c>
      <c r="I254" s="9" t="s">
        <v>258</v>
      </c>
      <c r="J254" s="9" t="s">
        <v>145</v>
      </c>
    </row>
    <row r="255" spans="1:10">
      <c r="A255" s="5" t="s">
        <v>661</v>
      </c>
      <c r="B255" s="6" t="s">
        <v>2363</v>
      </c>
      <c r="C255" s="7">
        <v>46231</v>
      </c>
      <c r="D255" s="9" t="s">
        <v>299</v>
      </c>
      <c r="E255" s="8" t="s">
        <v>21</v>
      </c>
      <c r="F255" s="9" t="s">
        <v>246</v>
      </c>
      <c r="G255" s="9">
        <v>1</v>
      </c>
      <c r="H255" s="6" t="s">
        <v>2364</v>
      </c>
      <c r="I255" s="9" t="s">
        <v>258</v>
      </c>
      <c r="J255" s="9" t="s">
        <v>145</v>
      </c>
    </row>
    <row r="256" spans="1:10">
      <c r="A256" s="5" t="s">
        <v>662</v>
      </c>
      <c r="B256" s="6" t="s">
        <v>2363</v>
      </c>
      <c r="C256" s="7">
        <v>46231</v>
      </c>
      <c r="D256" s="9" t="s">
        <v>500</v>
      </c>
      <c r="E256" s="8" t="s">
        <v>53</v>
      </c>
      <c r="F256" s="9" t="s">
        <v>242</v>
      </c>
      <c r="G256" s="9">
        <v>1</v>
      </c>
      <c r="H256" s="6" t="s">
        <v>2364</v>
      </c>
      <c r="I256" s="9" t="s">
        <v>258</v>
      </c>
      <c r="J256" s="9" t="s">
        <v>145</v>
      </c>
    </row>
    <row r="257" spans="1:10">
      <c r="A257" s="5" t="s">
        <v>664</v>
      </c>
      <c r="B257" s="6" t="s">
        <v>2365</v>
      </c>
      <c r="C257" s="7">
        <v>46232</v>
      </c>
      <c r="D257" s="9" t="s">
        <v>241</v>
      </c>
      <c r="E257" s="8" t="s">
        <v>1152</v>
      </c>
      <c r="F257" s="9" t="s">
        <v>242</v>
      </c>
      <c r="G257" s="9">
        <v>1</v>
      </c>
      <c r="H257" s="6" t="s">
        <v>243</v>
      </c>
      <c r="I257" s="9" t="s">
        <v>253</v>
      </c>
      <c r="J257" s="9" t="s">
        <v>145</v>
      </c>
    </row>
    <row r="258" spans="1:10">
      <c r="A258" s="5" t="s">
        <v>668</v>
      </c>
      <c r="B258" s="6" t="s">
        <v>2365</v>
      </c>
      <c r="C258" s="7">
        <v>46232</v>
      </c>
      <c r="D258" s="9" t="s">
        <v>241</v>
      </c>
      <c r="E258" s="8" t="s">
        <v>29</v>
      </c>
      <c r="F258" s="9" t="s">
        <v>246</v>
      </c>
      <c r="G258" s="9">
        <v>1</v>
      </c>
      <c r="H258" s="6" t="s">
        <v>243</v>
      </c>
      <c r="I258" s="9" t="s">
        <v>253</v>
      </c>
      <c r="J258" s="9" t="s">
        <v>145</v>
      </c>
    </row>
    <row r="259" spans="1:10">
      <c r="A259" s="5" t="s">
        <v>669</v>
      </c>
      <c r="B259" s="6" t="s">
        <v>2366</v>
      </c>
      <c r="C259" s="7">
        <v>46232</v>
      </c>
      <c r="D259" s="9" t="s">
        <v>299</v>
      </c>
      <c r="E259" s="8" t="s">
        <v>376</v>
      </c>
      <c r="F259" s="9" t="s">
        <v>242</v>
      </c>
      <c r="G259" s="9">
        <v>1</v>
      </c>
      <c r="H259" s="6" t="s">
        <v>2367</v>
      </c>
      <c r="I259" s="9" t="s">
        <v>258</v>
      </c>
      <c r="J259" s="9" t="s">
        <v>145</v>
      </c>
    </row>
    <row r="260" spans="1:10">
      <c r="A260" s="5" t="s">
        <v>670</v>
      </c>
      <c r="B260" s="6" t="s">
        <v>2366</v>
      </c>
      <c r="C260" s="7">
        <v>46232</v>
      </c>
      <c r="D260" s="9" t="s">
        <v>299</v>
      </c>
      <c r="E260" s="8" t="s">
        <v>376</v>
      </c>
      <c r="F260" s="9" t="s">
        <v>246</v>
      </c>
      <c r="G260" s="9">
        <v>1</v>
      </c>
      <c r="H260" s="6" t="s">
        <v>2367</v>
      </c>
      <c r="I260" s="9" t="s">
        <v>258</v>
      </c>
      <c r="J260" s="9" t="s">
        <v>145</v>
      </c>
    </row>
    <row r="261" spans="1:10">
      <c r="A261" s="5" t="s">
        <v>674</v>
      </c>
      <c r="B261" s="6" t="s">
        <v>2368</v>
      </c>
      <c r="C261" s="7">
        <v>46232</v>
      </c>
      <c r="D261" s="9" t="s">
        <v>299</v>
      </c>
      <c r="E261" s="8" t="s">
        <v>22</v>
      </c>
      <c r="F261" s="9" t="s">
        <v>242</v>
      </c>
      <c r="G261" s="9">
        <v>1</v>
      </c>
      <c r="H261" s="6" t="s">
        <v>526</v>
      </c>
      <c r="I261" s="9" t="s">
        <v>258</v>
      </c>
      <c r="J261" s="9" t="s">
        <v>145</v>
      </c>
    </row>
    <row r="262" spans="1:10">
      <c r="A262" s="5" t="s">
        <v>675</v>
      </c>
      <c r="B262" s="6" t="s">
        <v>2368</v>
      </c>
      <c r="C262" s="7">
        <v>46232</v>
      </c>
      <c r="D262" s="9" t="s">
        <v>299</v>
      </c>
      <c r="E262" s="8" t="s">
        <v>376</v>
      </c>
      <c r="F262" s="9" t="s">
        <v>246</v>
      </c>
      <c r="G262" s="9">
        <v>1</v>
      </c>
      <c r="H262" s="6" t="s">
        <v>526</v>
      </c>
      <c r="I262" s="9" t="s">
        <v>258</v>
      </c>
      <c r="J262" s="9" t="s">
        <v>145</v>
      </c>
    </row>
    <row r="263" spans="1:10">
      <c r="A263" s="5" t="s">
        <v>676</v>
      </c>
      <c r="B263" s="6" t="s">
        <v>2369</v>
      </c>
      <c r="C263" s="7">
        <v>46233</v>
      </c>
      <c r="D263" s="9" t="s">
        <v>241</v>
      </c>
      <c r="E263" s="8" t="s">
        <v>1152</v>
      </c>
      <c r="F263" s="9" t="s">
        <v>242</v>
      </c>
      <c r="G263" s="9">
        <v>1</v>
      </c>
      <c r="H263" s="6" t="s">
        <v>615</v>
      </c>
      <c r="I263" s="9" t="s">
        <v>616</v>
      </c>
      <c r="J263" s="9" t="s">
        <v>145</v>
      </c>
    </row>
    <row r="264" spans="1:10">
      <c r="A264" s="5" t="s">
        <v>677</v>
      </c>
      <c r="B264" s="6" t="s">
        <v>2369</v>
      </c>
      <c r="C264" s="7">
        <v>46233</v>
      </c>
      <c r="D264" s="9" t="s">
        <v>241</v>
      </c>
      <c r="E264" s="8" t="s">
        <v>28</v>
      </c>
      <c r="F264" s="9" t="s">
        <v>246</v>
      </c>
      <c r="G264" s="9">
        <v>1</v>
      </c>
      <c r="H264" s="6" t="s">
        <v>615</v>
      </c>
      <c r="I264" s="9" t="s">
        <v>616</v>
      </c>
      <c r="J264" s="9" t="s">
        <v>145</v>
      </c>
    </row>
    <row r="265" spans="1:10">
      <c r="A265" s="5" t="s">
        <v>678</v>
      </c>
      <c r="B265" s="6" t="s">
        <v>2370</v>
      </c>
      <c r="C265" s="7">
        <v>46233</v>
      </c>
      <c r="D265" s="9" t="s">
        <v>299</v>
      </c>
      <c r="E265" s="8" t="s">
        <v>21</v>
      </c>
      <c r="F265" s="9" t="s">
        <v>242</v>
      </c>
      <c r="G265" s="9">
        <v>1</v>
      </c>
      <c r="H265" s="6" t="s">
        <v>1545</v>
      </c>
      <c r="I265" s="9" t="s">
        <v>258</v>
      </c>
      <c r="J265" s="9" t="s">
        <v>145</v>
      </c>
    </row>
    <row r="266" spans="1:10">
      <c r="A266" s="5" t="s">
        <v>679</v>
      </c>
      <c r="B266" s="6" t="s">
        <v>2370</v>
      </c>
      <c r="C266" s="7">
        <v>46233</v>
      </c>
      <c r="D266" s="9" t="s">
        <v>299</v>
      </c>
      <c r="E266" s="8" t="s">
        <v>22</v>
      </c>
      <c r="F266" s="9" t="s">
        <v>246</v>
      </c>
      <c r="G266" s="9">
        <v>1</v>
      </c>
      <c r="H266" s="6" t="s">
        <v>1545</v>
      </c>
      <c r="I266" s="9" t="s">
        <v>258</v>
      </c>
      <c r="J266" s="9" t="s">
        <v>145</v>
      </c>
    </row>
    <row r="267" spans="1:10">
      <c r="A267" s="5" t="s">
        <v>680</v>
      </c>
      <c r="B267" s="6" t="s">
        <v>2371</v>
      </c>
      <c r="C267" s="7">
        <v>46233</v>
      </c>
      <c r="D267" s="9" t="s">
        <v>241</v>
      </c>
      <c r="E267" s="4" t="s">
        <v>28</v>
      </c>
      <c r="F267" s="9" t="s">
        <v>242</v>
      </c>
      <c r="G267" s="9">
        <v>1</v>
      </c>
      <c r="H267" s="6" t="s">
        <v>615</v>
      </c>
      <c r="I267" s="9" t="s">
        <v>1546</v>
      </c>
      <c r="J267" s="9" t="s">
        <v>145</v>
      </c>
    </row>
    <row r="268" spans="1:10">
      <c r="A268" s="5" t="s">
        <v>682</v>
      </c>
      <c r="B268" s="6" t="s">
        <v>2371</v>
      </c>
      <c r="C268" s="7">
        <v>46233</v>
      </c>
      <c r="D268" s="9" t="s">
        <v>241</v>
      </c>
      <c r="E268" s="8" t="s">
        <v>27</v>
      </c>
      <c r="F268" s="9" t="s">
        <v>246</v>
      </c>
      <c r="G268" s="9">
        <v>1</v>
      </c>
      <c r="H268" s="6" t="s">
        <v>615</v>
      </c>
      <c r="I268" s="9" t="s">
        <v>1546</v>
      </c>
      <c r="J268" s="9" t="s">
        <v>145</v>
      </c>
    </row>
    <row r="269" spans="1:10">
      <c r="A269" s="5" t="s">
        <v>683</v>
      </c>
      <c r="B269" s="6" t="s">
        <v>2371</v>
      </c>
      <c r="C269" s="7">
        <v>46233</v>
      </c>
      <c r="D269" s="9" t="s">
        <v>261</v>
      </c>
      <c r="E269" s="8" t="s">
        <v>62</v>
      </c>
      <c r="F269" s="9" t="s">
        <v>242</v>
      </c>
      <c r="G269" s="9">
        <v>1</v>
      </c>
      <c r="H269" s="6" t="s">
        <v>615</v>
      </c>
      <c r="I269" s="9" t="s">
        <v>1546</v>
      </c>
      <c r="J269" s="9" t="s">
        <v>145</v>
      </c>
    </row>
    <row r="270" spans="1:10">
      <c r="A270" s="5" t="s">
        <v>684</v>
      </c>
      <c r="B270" s="6" t="s">
        <v>2372</v>
      </c>
      <c r="C270" s="7">
        <v>46233</v>
      </c>
      <c r="D270" s="9" t="s">
        <v>241</v>
      </c>
      <c r="E270" s="8" t="s">
        <v>1152</v>
      </c>
      <c r="F270" s="9" t="s">
        <v>242</v>
      </c>
      <c r="G270" s="9">
        <v>1</v>
      </c>
      <c r="H270" s="6" t="s">
        <v>257</v>
      </c>
      <c r="I270" s="9" t="s">
        <v>415</v>
      </c>
      <c r="J270" s="9" t="s">
        <v>145</v>
      </c>
    </row>
    <row r="271" spans="1:10">
      <c r="A271" s="5" t="s">
        <v>685</v>
      </c>
      <c r="B271" s="6" t="s">
        <v>2372</v>
      </c>
      <c r="C271" s="7">
        <v>46233</v>
      </c>
      <c r="D271" s="9" t="s">
        <v>241</v>
      </c>
      <c r="E271" s="8" t="s">
        <v>29</v>
      </c>
      <c r="F271" s="9" t="s">
        <v>246</v>
      </c>
      <c r="G271" s="9">
        <v>1</v>
      </c>
      <c r="H271" s="6" t="s">
        <v>257</v>
      </c>
      <c r="I271" s="9" t="s">
        <v>415</v>
      </c>
      <c r="J271" s="9" t="s">
        <v>145</v>
      </c>
    </row>
    <row r="272" spans="1:10">
      <c r="A272" s="5" t="s">
        <v>686</v>
      </c>
      <c r="B272" s="6" t="s">
        <v>2373</v>
      </c>
      <c r="C272" s="7">
        <v>46202</v>
      </c>
      <c r="D272" s="9" t="s">
        <v>500</v>
      </c>
      <c r="E272" s="8" t="s">
        <v>53</v>
      </c>
      <c r="F272" s="9" t="s">
        <v>242</v>
      </c>
      <c r="G272" s="9">
        <v>1</v>
      </c>
      <c r="H272" s="6" t="s">
        <v>2374</v>
      </c>
      <c r="I272" s="9" t="s">
        <v>484</v>
      </c>
      <c r="J272" s="9" t="s">
        <v>145</v>
      </c>
    </row>
    <row r="273" spans="1:10">
      <c r="A273" s="5" t="s">
        <v>689</v>
      </c>
      <c r="B273" s="6" t="s">
        <v>2373</v>
      </c>
      <c r="C273" s="7">
        <v>46202</v>
      </c>
      <c r="D273" s="9" t="s">
        <v>261</v>
      </c>
      <c r="E273" s="8" t="s">
        <v>64</v>
      </c>
      <c r="F273" s="9" t="s">
        <v>242</v>
      </c>
      <c r="G273" s="9">
        <v>1</v>
      </c>
      <c r="H273" s="6" t="s">
        <v>2374</v>
      </c>
      <c r="I273" s="9" t="s">
        <v>484</v>
      </c>
      <c r="J273" s="9" t="s">
        <v>145</v>
      </c>
    </row>
    <row r="274" spans="1:10">
      <c r="A274" s="5" t="s">
        <v>690</v>
      </c>
      <c r="B274" s="6" t="s">
        <v>2373</v>
      </c>
      <c r="C274" s="7">
        <v>46202</v>
      </c>
      <c r="D274" s="9" t="s">
        <v>270</v>
      </c>
      <c r="E274" s="8" t="s">
        <v>271</v>
      </c>
      <c r="F274" s="9" t="s">
        <v>242</v>
      </c>
      <c r="G274" s="9">
        <v>1</v>
      </c>
      <c r="H274" s="6" t="s">
        <v>2374</v>
      </c>
      <c r="I274" s="9" t="s">
        <v>484</v>
      </c>
      <c r="J274" s="9" t="s">
        <v>145</v>
      </c>
    </row>
    <row r="275" spans="1:10">
      <c r="A275" s="5" t="s">
        <v>691</v>
      </c>
      <c r="B275" s="6" t="s">
        <v>2375</v>
      </c>
      <c r="C275" s="7">
        <v>46203</v>
      </c>
      <c r="D275" s="9" t="s">
        <v>500</v>
      </c>
      <c r="E275" s="8" t="s">
        <v>54</v>
      </c>
      <c r="F275" s="9" t="s">
        <v>242</v>
      </c>
      <c r="G275" s="9">
        <v>1</v>
      </c>
      <c r="H275" s="6" t="s">
        <v>1094</v>
      </c>
      <c r="I275" s="9" t="s">
        <v>258</v>
      </c>
      <c r="J275" s="9" t="s">
        <v>145</v>
      </c>
    </row>
    <row r="276" spans="1:10">
      <c r="A276" s="5" t="s">
        <v>694</v>
      </c>
      <c r="B276" s="6" t="s">
        <v>2375</v>
      </c>
      <c r="C276" s="7">
        <v>46203</v>
      </c>
      <c r="D276" s="9" t="s">
        <v>261</v>
      </c>
      <c r="E276" s="8" t="s">
        <v>62</v>
      </c>
      <c r="F276" s="9" t="s">
        <v>242</v>
      </c>
      <c r="G276" s="9">
        <v>2</v>
      </c>
      <c r="H276" s="6" t="s">
        <v>1094</v>
      </c>
      <c r="I276" s="9" t="s">
        <v>258</v>
      </c>
      <c r="J276" s="9" t="s">
        <v>145</v>
      </c>
    </row>
    <row r="277" spans="1:10">
      <c r="A277" s="5" t="s">
        <v>698</v>
      </c>
      <c r="B277" s="6" t="s">
        <v>2258</v>
      </c>
      <c r="C277" s="7">
        <v>46204</v>
      </c>
      <c r="D277" s="9" t="s">
        <v>500</v>
      </c>
      <c r="E277" s="8" t="s">
        <v>4</v>
      </c>
      <c r="F277" s="9" t="s">
        <v>242</v>
      </c>
      <c r="G277" s="9">
        <v>1</v>
      </c>
      <c r="H277" s="6" t="s">
        <v>866</v>
      </c>
      <c r="I277" s="9" t="s">
        <v>258</v>
      </c>
      <c r="J277" s="9" t="s">
        <v>145</v>
      </c>
    </row>
    <row r="278" spans="1:10">
      <c r="A278" s="5" t="s">
        <v>699</v>
      </c>
      <c r="B278" s="6" t="s">
        <v>2258</v>
      </c>
      <c r="C278" s="7">
        <v>46204</v>
      </c>
      <c r="D278" s="9" t="s">
        <v>261</v>
      </c>
      <c r="E278" s="8" t="s">
        <v>64</v>
      </c>
      <c r="F278" s="9" t="s">
        <v>242</v>
      </c>
      <c r="G278" s="9">
        <v>3</v>
      </c>
      <c r="H278" s="6" t="s">
        <v>866</v>
      </c>
      <c r="I278" s="9" t="s">
        <v>258</v>
      </c>
      <c r="J278" s="9" t="s">
        <v>145</v>
      </c>
    </row>
    <row r="279" spans="1:10">
      <c r="A279" s="5" t="s">
        <v>701</v>
      </c>
      <c r="B279" s="6" t="s">
        <v>2258</v>
      </c>
      <c r="C279" s="7">
        <v>46204</v>
      </c>
      <c r="D279" s="9" t="s">
        <v>270</v>
      </c>
      <c r="E279" s="8" t="s">
        <v>271</v>
      </c>
      <c r="F279" s="9" t="s">
        <v>242</v>
      </c>
      <c r="G279" s="9">
        <v>3</v>
      </c>
      <c r="H279" s="6" t="s">
        <v>866</v>
      </c>
      <c r="I279" s="9" t="s">
        <v>258</v>
      </c>
      <c r="J279" s="9" t="s">
        <v>145</v>
      </c>
    </row>
    <row r="280" spans="1:10">
      <c r="A280" s="5" t="s">
        <v>703</v>
      </c>
      <c r="B280" s="6" t="s">
        <v>2376</v>
      </c>
      <c r="C280" s="7">
        <v>46204</v>
      </c>
      <c r="D280" s="9" t="s">
        <v>270</v>
      </c>
      <c r="E280" s="8" t="s">
        <v>271</v>
      </c>
      <c r="F280" s="9" t="s">
        <v>242</v>
      </c>
      <c r="G280" s="9">
        <v>3</v>
      </c>
      <c r="H280" s="6" t="s">
        <v>2377</v>
      </c>
      <c r="I280" s="9" t="s">
        <v>258</v>
      </c>
      <c r="J280" s="9" t="s">
        <v>145</v>
      </c>
    </row>
    <row r="281" spans="1:10">
      <c r="A281" s="5" t="s">
        <v>704</v>
      </c>
      <c r="B281" s="6" t="s">
        <v>2378</v>
      </c>
      <c r="C281" s="7">
        <v>46204</v>
      </c>
      <c r="D281" s="9" t="s">
        <v>500</v>
      </c>
      <c r="E281" s="8" t="s">
        <v>51</v>
      </c>
      <c r="F281" s="9" t="s">
        <v>242</v>
      </c>
      <c r="G281" s="9">
        <v>1</v>
      </c>
      <c r="H281" s="6" t="s">
        <v>693</v>
      </c>
      <c r="I281" s="9" t="s">
        <v>266</v>
      </c>
      <c r="J281" s="9" t="s">
        <v>145</v>
      </c>
    </row>
    <row r="282" spans="1:10">
      <c r="A282" s="5" t="s">
        <v>705</v>
      </c>
      <c r="B282" s="6" t="s">
        <v>2379</v>
      </c>
      <c r="C282" s="7">
        <v>46204</v>
      </c>
      <c r="D282" s="9" t="s">
        <v>500</v>
      </c>
      <c r="E282" s="8" t="s">
        <v>4</v>
      </c>
      <c r="F282" s="9" t="s">
        <v>242</v>
      </c>
      <c r="G282" s="9">
        <v>1</v>
      </c>
      <c r="H282" s="6" t="s">
        <v>866</v>
      </c>
      <c r="I282" s="9" t="s">
        <v>289</v>
      </c>
      <c r="J282" s="9" t="s">
        <v>145</v>
      </c>
    </row>
    <row r="283" spans="1:10">
      <c r="A283" s="5" t="s">
        <v>706</v>
      </c>
      <c r="B283" s="6" t="s">
        <v>2379</v>
      </c>
      <c r="C283" s="7">
        <v>46204</v>
      </c>
      <c r="D283" s="9" t="s">
        <v>261</v>
      </c>
      <c r="E283" s="8" t="s">
        <v>64</v>
      </c>
      <c r="F283" s="9" t="s">
        <v>242</v>
      </c>
      <c r="G283" s="9">
        <v>3</v>
      </c>
      <c r="H283" s="6" t="s">
        <v>866</v>
      </c>
      <c r="I283" s="9" t="s">
        <v>289</v>
      </c>
      <c r="J283" s="9" t="s">
        <v>145</v>
      </c>
    </row>
    <row r="284" spans="1:10">
      <c r="A284" s="5" t="s">
        <v>708</v>
      </c>
      <c r="B284" s="6" t="s">
        <v>2379</v>
      </c>
      <c r="C284" s="7">
        <v>46204</v>
      </c>
      <c r="D284" s="9" t="s">
        <v>270</v>
      </c>
      <c r="E284" s="8" t="s">
        <v>271</v>
      </c>
      <c r="F284" s="9" t="s">
        <v>242</v>
      </c>
      <c r="G284" s="9">
        <v>3</v>
      </c>
      <c r="H284" s="6" t="s">
        <v>866</v>
      </c>
      <c r="I284" s="9" t="s">
        <v>289</v>
      </c>
      <c r="J284" s="9" t="s">
        <v>145</v>
      </c>
    </row>
    <row r="285" spans="1:10">
      <c r="A285" s="5" t="s">
        <v>709</v>
      </c>
      <c r="B285" s="6" t="s">
        <v>2380</v>
      </c>
      <c r="C285" s="7">
        <v>46204</v>
      </c>
      <c r="D285" s="9" t="s">
        <v>261</v>
      </c>
      <c r="E285" s="4" t="s">
        <v>62</v>
      </c>
      <c r="F285" s="9" t="s">
        <v>242</v>
      </c>
      <c r="G285" s="9">
        <v>3</v>
      </c>
      <c r="H285" s="6" t="s">
        <v>722</v>
      </c>
      <c r="I285" s="9" t="s">
        <v>311</v>
      </c>
      <c r="J285" s="9" t="s">
        <v>145</v>
      </c>
    </row>
    <row r="286" spans="1:10">
      <c r="A286" s="5" t="s">
        <v>713</v>
      </c>
      <c r="B286" s="6" t="s">
        <v>2381</v>
      </c>
      <c r="C286" s="7">
        <v>46204</v>
      </c>
      <c r="D286" s="9" t="s">
        <v>500</v>
      </c>
      <c r="E286" s="4" t="s">
        <v>53</v>
      </c>
      <c r="F286" s="9" t="s">
        <v>242</v>
      </c>
      <c r="G286" s="9">
        <v>1</v>
      </c>
      <c r="H286" s="6" t="s">
        <v>2374</v>
      </c>
      <c r="I286" s="9" t="s">
        <v>258</v>
      </c>
      <c r="J286" s="9" t="s">
        <v>145</v>
      </c>
    </row>
    <row r="287" spans="1:10">
      <c r="A287" s="5" t="s">
        <v>716</v>
      </c>
      <c r="B287" s="6" t="s">
        <v>2382</v>
      </c>
      <c r="C287" s="7">
        <v>46204</v>
      </c>
      <c r="D287" s="9" t="s">
        <v>500</v>
      </c>
      <c r="E287" s="8" t="s">
        <v>4</v>
      </c>
      <c r="F287" s="9" t="s">
        <v>242</v>
      </c>
      <c r="G287" s="9">
        <v>1</v>
      </c>
      <c r="H287" s="6" t="s">
        <v>866</v>
      </c>
      <c r="I287" s="9" t="s">
        <v>1280</v>
      </c>
      <c r="J287" s="9" t="s">
        <v>145</v>
      </c>
    </row>
    <row r="288" spans="1:10">
      <c r="A288" s="5" t="s">
        <v>718</v>
      </c>
      <c r="B288" s="6" t="s">
        <v>2382</v>
      </c>
      <c r="C288" s="7">
        <v>46204</v>
      </c>
      <c r="D288" s="9" t="s">
        <v>261</v>
      </c>
      <c r="E288" s="8" t="s">
        <v>64</v>
      </c>
      <c r="F288" s="9" t="s">
        <v>242</v>
      </c>
      <c r="G288" s="9">
        <v>3</v>
      </c>
      <c r="H288" s="6" t="s">
        <v>866</v>
      </c>
      <c r="I288" s="9" t="s">
        <v>1280</v>
      </c>
      <c r="J288" s="9" t="s">
        <v>145</v>
      </c>
    </row>
    <row r="289" spans="1:10">
      <c r="A289" s="5" t="s">
        <v>719</v>
      </c>
      <c r="B289" s="6" t="s">
        <v>2382</v>
      </c>
      <c r="C289" s="7">
        <v>46204</v>
      </c>
      <c r="D289" s="9" t="s">
        <v>270</v>
      </c>
      <c r="E289" s="8" t="s">
        <v>271</v>
      </c>
      <c r="F289" s="9" t="s">
        <v>242</v>
      </c>
      <c r="G289" s="9">
        <v>4</v>
      </c>
      <c r="H289" s="6" t="s">
        <v>866</v>
      </c>
      <c r="I289" s="9" t="s">
        <v>1280</v>
      </c>
      <c r="J289" s="9" t="s">
        <v>145</v>
      </c>
    </row>
    <row r="290" spans="1:10">
      <c r="A290" s="5" t="s">
        <v>720</v>
      </c>
      <c r="B290" s="6" t="s">
        <v>2383</v>
      </c>
      <c r="C290" s="7">
        <v>46204</v>
      </c>
      <c r="D290" s="9" t="s">
        <v>500</v>
      </c>
      <c r="E290" s="8" t="s">
        <v>53</v>
      </c>
      <c r="F290" s="9" t="s">
        <v>242</v>
      </c>
      <c r="G290" s="9">
        <v>1</v>
      </c>
      <c r="H290" s="6" t="s">
        <v>2374</v>
      </c>
      <c r="I290" s="9" t="s">
        <v>1280</v>
      </c>
      <c r="J290" s="9" t="s">
        <v>145</v>
      </c>
    </row>
    <row r="291" spans="1:10">
      <c r="A291" s="5" t="s">
        <v>723</v>
      </c>
      <c r="B291" s="6" t="s">
        <v>2383</v>
      </c>
      <c r="C291" s="7">
        <v>46204</v>
      </c>
      <c r="D291" s="9" t="s">
        <v>270</v>
      </c>
      <c r="E291" s="4" t="s">
        <v>271</v>
      </c>
      <c r="F291" s="9" t="s">
        <v>242</v>
      </c>
      <c r="G291" s="9">
        <v>1</v>
      </c>
      <c r="H291" s="6" t="s">
        <v>2374</v>
      </c>
      <c r="I291" s="9" t="s">
        <v>1280</v>
      </c>
      <c r="J291" s="9" t="s">
        <v>145</v>
      </c>
    </row>
    <row r="292" spans="1:10">
      <c r="A292" s="5" t="s">
        <v>725</v>
      </c>
      <c r="B292" s="6" t="s">
        <v>2384</v>
      </c>
      <c r="C292" s="7">
        <v>46205</v>
      </c>
      <c r="D292" s="9" t="s">
        <v>261</v>
      </c>
      <c r="E292" s="8" t="s">
        <v>64</v>
      </c>
      <c r="F292" s="9" t="s">
        <v>242</v>
      </c>
      <c r="G292" s="9">
        <v>1</v>
      </c>
      <c r="H292" s="6" t="s">
        <v>2377</v>
      </c>
      <c r="I292" s="9" t="s">
        <v>628</v>
      </c>
      <c r="J292" s="9" t="s">
        <v>145</v>
      </c>
    </row>
    <row r="293" spans="1:10">
      <c r="A293" s="5" t="s">
        <v>727</v>
      </c>
      <c r="B293" s="6" t="s">
        <v>2384</v>
      </c>
      <c r="C293" s="7">
        <v>46205</v>
      </c>
      <c r="D293" s="9" t="s">
        <v>270</v>
      </c>
      <c r="E293" s="8" t="s">
        <v>271</v>
      </c>
      <c r="F293" s="9" t="s">
        <v>242</v>
      </c>
      <c r="G293" s="9">
        <v>1</v>
      </c>
      <c r="H293" s="6" t="s">
        <v>2377</v>
      </c>
      <c r="I293" s="9" t="s">
        <v>628</v>
      </c>
      <c r="J293" s="9" t="s">
        <v>145</v>
      </c>
    </row>
    <row r="294" spans="1:10">
      <c r="A294" s="5" t="s">
        <v>728</v>
      </c>
      <c r="B294" s="6" t="s">
        <v>2385</v>
      </c>
      <c r="C294" s="7">
        <v>46205</v>
      </c>
      <c r="D294" s="9" t="s">
        <v>500</v>
      </c>
      <c r="E294" s="4" t="s">
        <v>52</v>
      </c>
      <c r="F294" s="9" t="s">
        <v>242</v>
      </c>
      <c r="G294" s="9">
        <v>1</v>
      </c>
      <c r="H294" s="6" t="s">
        <v>693</v>
      </c>
      <c r="I294" s="9" t="s">
        <v>357</v>
      </c>
      <c r="J294" s="9" t="s">
        <v>145</v>
      </c>
    </row>
    <row r="295" spans="1:10">
      <c r="A295" s="5" t="s">
        <v>730</v>
      </c>
      <c r="B295" s="6" t="s">
        <v>2385</v>
      </c>
      <c r="C295" s="7">
        <v>46205</v>
      </c>
      <c r="D295" s="9" t="s">
        <v>261</v>
      </c>
      <c r="E295" s="8" t="s">
        <v>64</v>
      </c>
      <c r="F295" s="9" t="s">
        <v>242</v>
      </c>
      <c r="G295" s="9">
        <v>1</v>
      </c>
      <c r="H295" s="6" t="s">
        <v>693</v>
      </c>
      <c r="I295" s="9" t="s">
        <v>357</v>
      </c>
      <c r="J295" s="9" t="s">
        <v>145</v>
      </c>
    </row>
    <row r="296" spans="1:10">
      <c r="A296" s="5" t="s">
        <v>733</v>
      </c>
      <c r="B296" s="6" t="s">
        <v>2385</v>
      </c>
      <c r="C296" s="7">
        <v>46205</v>
      </c>
      <c r="D296" s="9" t="s">
        <v>270</v>
      </c>
      <c r="E296" s="8" t="s">
        <v>271</v>
      </c>
      <c r="F296" s="9" t="s">
        <v>242</v>
      </c>
      <c r="G296" s="9">
        <v>1</v>
      </c>
      <c r="H296" s="6" t="s">
        <v>693</v>
      </c>
      <c r="I296" s="9" t="s">
        <v>357</v>
      </c>
      <c r="J296" s="9" t="s">
        <v>145</v>
      </c>
    </row>
    <row r="297" spans="1:10">
      <c r="A297" s="5" t="s">
        <v>736</v>
      </c>
      <c r="B297" s="6" t="s">
        <v>2386</v>
      </c>
      <c r="C297" s="7">
        <v>46205</v>
      </c>
      <c r="D297" s="9" t="s">
        <v>500</v>
      </c>
      <c r="E297" s="8" t="s">
        <v>4</v>
      </c>
      <c r="F297" s="9" t="s">
        <v>242</v>
      </c>
      <c r="G297" s="9">
        <v>4</v>
      </c>
      <c r="H297" s="6" t="s">
        <v>866</v>
      </c>
      <c r="I297" s="9" t="s">
        <v>337</v>
      </c>
      <c r="J297" s="9" t="s">
        <v>145</v>
      </c>
    </row>
    <row r="298" spans="1:10">
      <c r="A298" s="5" t="s">
        <v>738</v>
      </c>
      <c r="B298" s="6" t="s">
        <v>2386</v>
      </c>
      <c r="C298" s="7">
        <v>46205</v>
      </c>
      <c r="D298" s="9" t="s">
        <v>261</v>
      </c>
      <c r="E298" s="8" t="s">
        <v>63</v>
      </c>
      <c r="F298" s="9" t="s">
        <v>242</v>
      </c>
      <c r="G298" s="9">
        <v>10</v>
      </c>
      <c r="H298" s="6" t="s">
        <v>866</v>
      </c>
      <c r="I298" s="9" t="s">
        <v>337</v>
      </c>
      <c r="J298" s="9" t="s">
        <v>145</v>
      </c>
    </row>
    <row r="299" spans="1:10">
      <c r="A299" s="5" t="s">
        <v>740</v>
      </c>
      <c r="B299" s="6" t="s">
        <v>2386</v>
      </c>
      <c r="C299" s="7">
        <v>46205</v>
      </c>
      <c r="D299" s="9" t="s">
        <v>270</v>
      </c>
      <c r="E299" s="8" t="s">
        <v>271</v>
      </c>
      <c r="F299" s="9" t="s">
        <v>242</v>
      </c>
      <c r="G299" s="9">
        <v>10</v>
      </c>
      <c r="H299" s="6" t="s">
        <v>866</v>
      </c>
      <c r="I299" s="9" t="s">
        <v>337</v>
      </c>
      <c r="J299" s="9" t="s">
        <v>145</v>
      </c>
    </row>
    <row r="300" spans="1:10">
      <c r="A300" s="5" t="s">
        <v>743</v>
      </c>
      <c r="B300" s="6" t="s">
        <v>2387</v>
      </c>
      <c r="C300" s="7">
        <v>46205</v>
      </c>
      <c r="D300" s="9" t="s">
        <v>696</v>
      </c>
      <c r="E300" s="8" t="s">
        <v>87</v>
      </c>
      <c r="F300" s="9" t="s">
        <v>242</v>
      </c>
      <c r="G300" s="9">
        <v>30</v>
      </c>
      <c r="H300" s="6" t="s">
        <v>2388</v>
      </c>
      <c r="I300" s="9" t="s">
        <v>1280</v>
      </c>
      <c r="J300" s="9" t="s">
        <v>145</v>
      </c>
    </row>
    <row r="301" spans="1:10">
      <c r="A301" s="5" t="s">
        <v>744</v>
      </c>
      <c r="B301" s="6" t="s">
        <v>2387</v>
      </c>
      <c r="C301" s="7">
        <v>46205</v>
      </c>
      <c r="D301" s="9" t="s">
        <v>500</v>
      </c>
      <c r="E301" s="8" t="s">
        <v>51</v>
      </c>
      <c r="F301" s="9" t="s">
        <v>242</v>
      </c>
      <c r="G301" s="9">
        <v>1</v>
      </c>
      <c r="H301" s="6" t="s">
        <v>2388</v>
      </c>
      <c r="I301" s="9" t="s">
        <v>1280</v>
      </c>
      <c r="J301" s="9" t="s">
        <v>145</v>
      </c>
    </row>
    <row r="302" spans="1:10">
      <c r="A302" s="5" t="s">
        <v>745</v>
      </c>
      <c r="B302" s="6" t="s">
        <v>2387</v>
      </c>
      <c r="C302" s="7">
        <v>46205</v>
      </c>
      <c r="D302" s="9" t="s">
        <v>270</v>
      </c>
      <c r="E302" s="8" t="s">
        <v>271</v>
      </c>
      <c r="F302" s="9" t="s">
        <v>242</v>
      </c>
      <c r="G302" s="9">
        <v>3</v>
      </c>
      <c r="H302" s="6" t="s">
        <v>2388</v>
      </c>
      <c r="I302" s="9" t="s">
        <v>1280</v>
      </c>
      <c r="J302" s="9" t="s">
        <v>145</v>
      </c>
    </row>
    <row r="303" spans="1:10">
      <c r="A303" s="5" t="s">
        <v>746</v>
      </c>
      <c r="B303" s="6" t="s">
        <v>2389</v>
      </c>
      <c r="C303" s="7">
        <v>46206</v>
      </c>
      <c r="D303" s="9" t="s">
        <v>261</v>
      </c>
      <c r="E303" s="8" t="s">
        <v>63</v>
      </c>
      <c r="F303" s="9" t="s">
        <v>242</v>
      </c>
      <c r="G303" s="9">
        <v>1</v>
      </c>
      <c r="H303" s="6" t="s">
        <v>2377</v>
      </c>
      <c r="I303" s="9" t="s">
        <v>253</v>
      </c>
      <c r="J303" s="9" t="s">
        <v>145</v>
      </c>
    </row>
    <row r="304" spans="1:10">
      <c r="A304" s="5" t="s">
        <v>747</v>
      </c>
      <c r="B304" s="6" t="s">
        <v>2389</v>
      </c>
      <c r="C304" s="7">
        <v>46206</v>
      </c>
      <c r="D304" s="9" t="s">
        <v>270</v>
      </c>
      <c r="E304" s="4" t="s">
        <v>68</v>
      </c>
      <c r="F304" s="9" t="s">
        <v>242</v>
      </c>
      <c r="G304" s="9">
        <v>1</v>
      </c>
      <c r="H304" s="6" t="s">
        <v>2377</v>
      </c>
      <c r="I304" s="9" t="s">
        <v>253</v>
      </c>
      <c r="J304" s="9" t="s">
        <v>145</v>
      </c>
    </row>
    <row r="305" spans="1:10">
      <c r="A305" s="5" t="s">
        <v>750</v>
      </c>
      <c r="B305" s="6" t="s">
        <v>2389</v>
      </c>
      <c r="C305" s="7">
        <v>46206</v>
      </c>
      <c r="D305" s="9" t="s">
        <v>270</v>
      </c>
      <c r="E305" s="8" t="s">
        <v>271</v>
      </c>
      <c r="F305" s="9" t="s">
        <v>242</v>
      </c>
      <c r="G305" s="9">
        <v>1</v>
      </c>
      <c r="H305" s="6" t="s">
        <v>2377</v>
      </c>
      <c r="I305" s="9" t="s">
        <v>253</v>
      </c>
      <c r="J305" s="9" t="s">
        <v>145</v>
      </c>
    </row>
    <row r="306" spans="1:10">
      <c r="A306" s="5" t="s">
        <v>751</v>
      </c>
      <c r="B306" s="6" t="s">
        <v>2390</v>
      </c>
      <c r="C306" s="7">
        <v>46206</v>
      </c>
      <c r="D306" s="9" t="s">
        <v>261</v>
      </c>
      <c r="E306" s="4" t="s">
        <v>62</v>
      </c>
      <c r="F306" s="9" t="s">
        <v>242</v>
      </c>
      <c r="G306" s="9">
        <v>12</v>
      </c>
      <c r="H306" s="6" t="s">
        <v>2391</v>
      </c>
      <c r="I306" s="9" t="s">
        <v>253</v>
      </c>
      <c r="J306" s="9" t="s">
        <v>145</v>
      </c>
    </row>
    <row r="307" spans="1:10">
      <c r="A307" s="5" t="s">
        <v>752</v>
      </c>
      <c r="B307" s="6" t="s">
        <v>2392</v>
      </c>
      <c r="C307" s="7">
        <v>46206</v>
      </c>
      <c r="D307" s="9" t="s">
        <v>261</v>
      </c>
      <c r="E307" s="8" t="s">
        <v>62</v>
      </c>
      <c r="F307" s="9" t="s">
        <v>242</v>
      </c>
      <c r="G307" s="9">
        <v>5</v>
      </c>
      <c r="H307" s="6" t="s">
        <v>2391</v>
      </c>
      <c r="I307" s="9" t="s">
        <v>514</v>
      </c>
      <c r="J307" s="9" t="s">
        <v>145</v>
      </c>
    </row>
    <row r="308" spans="1:10">
      <c r="A308" s="5" t="s">
        <v>754</v>
      </c>
      <c r="B308" s="6" t="s">
        <v>2393</v>
      </c>
      <c r="C308" s="7">
        <v>46206</v>
      </c>
      <c r="D308" s="9" t="s">
        <v>500</v>
      </c>
      <c r="E308" s="8" t="s">
        <v>4</v>
      </c>
      <c r="F308" s="9" t="s">
        <v>242</v>
      </c>
      <c r="G308" s="9">
        <v>1</v>
      </c>
      <c r="H308" s="6" t="s">
        <v>2394</v>
      </c>
      <c r="I308" s="9" t="s">
        <v>514</v>
      </c>
      <c r="J308" s="9" t="s">
        <v>145</v>
      </c>
    </row>
    <row r="309" spans="1:10">
      <c r="A309" s="5" t="s">
        <v>757</v>
      </c>
      <c r="B309" s="6" t="s">
        <v>2393</v>
      </c>
      <c r="C309" s="7">
        <v>46206</v>
      </c>
      <c r="D309" s="9" t="s">
        <v>270</v>
      </c>
      <c r="E309" s="8" t="s">
        <v>271</v>
      </c>
      <c r="F309" s="9" t="s">
        <v>242</v>
      </c>
      <c r="G309" s="9">
        <v>2</v>
      </c>
      <c r="H309" s="6" t="s">
        <v>2394</v>
      </c>
      <c r="I309" s="9" t="s">
        <v>514</v>
      </c>
      <c r="J309" s="9" t="s">
        <v>145</v>
      </c>
    </row>
    <row r="310" spans="1:10">
      <c r="A310" s="5" t="s">
        <v>760</v>
      </c>
      <c r="B310" s="6" t="s">
        <v>2393</v>
      </c>
      <c r="C310" s="7">
        <v>46206</v>
      </c>
      <c r="D310" s="9" t="s">
        <v>503</v>
      </c>
      <c r="E310" s="8" t="s">
        <v>162</v>
      </c>
      <c r="F310" s="9" t="s">
        <v>242</v>
      </c>
      <c r="G310" s="9">
        <v>1</v>
      </c>
      <c r="H310" s="6" t="s">
        <v>2394</v>
      </c>
      <c r="I310" s="9" t="s">
        <v>514</v>
      </c>
      <c r="J310" s="9" t="s">
        <v>145</v>
      </c>
    </row>
    <row r="311" spans="1:10">
      <c r="A311" s="5" t="s">
        <v>761</v>
      </c>
      <c r="B311" s="6" t="s">
        <v>2395</v>
      </c>
      <c r="C311" s="7">
        <v>46206</v>
      </c>
      <c r="D311" s="9" t="s">
        <v>261</v>
      </c>
      <c r="E311" s="8" t="s">
        <v>62</v>
      </c>
      <c r="F311" s="9" t="s">
        <v>242</v>
      </c>
      <c r="G311" s="9">
        <v>3</v>
      </c>
      <c r="H311" s="6" t="s">
        <v>722</v>
      </c>
      <c r="I311" s="9" t="s">
        <v>514</v>
      </c>
      <c r="J311" s="9" t="s">
        <v>145</v>
      </c>
    </row>
    <row r="312" spans="1:10">
      <c r="A312" s="5" t="s">
        <v>763</v>
      </c>
      <c r="B312" s="6" t="s">
        <v>2396</v>
      </c>
      <c r="C312" s="7">
        <v>46209</v>
      </c>
      <c r="D312" s="9" t="s">
        <v>500</v>
      </c>
      <c r="E312" s="8" t="s">
        <v>4</v>
      </c>
      <c r="F312" s="9" t="s">
        <v>242</v>
      </c>
      <c r="G312" s="9">
        <v>1</v>
      </c>
      <c r="H312" s="6" t="s">
        <v>2397</v>
      </c>
      <c r="I312" s="9" t="s">
        <v>258</v>
      </c>
      <c r="J312" s="9" t="s">
        <v>145</v>
      </c>
    </row>
    <row r="313" spans="1:10">
      <c r="A313" s="5" t="s">
        <v>764</v>
      </c>
      <c r="B313" s="6" t="s">
        <v>2396</v>
      </c>
      <c r="C313" s="7">
        <v>46209</v>
      </c>
      <c r="D313" s="9" t="s">
        <v>500</v>
      </c>
      <c r="E313" s="8" t="s">
        <v>46</v>
      </c>
      <c r="F313" s="9" t="s">
        <v>242</v>
      </c>
      <c r="G313" s="9">
        <v>1</v>
      </c>
      <c r="H313" s="6" t="s">
        <v>2397</v>
      </c>
      <c r="I313" s="9" t="s">
        <v>258</v>
      </c>
      <c r="J313" s="9" t="s">
        <v>145</v>
      </c>
    </row>
    <row r="314" spans="1:10">
      <c r="A314" s="5" t="s">
        <v>765</v>
      </c>
      <c r="B314" s="6" t="s">
        <v>2396</v>
      </c>
      <c r="C314" s="7">
        <v>46209</v>
      </c>
      <c r="D314" s="9" t="s">
        <v>261</v>
      </c>
      <c r="E314" s="8" t="s">
        <v>62</v>
      </c>
      <c r="F314" s="9" t="s">
        <v>242</v>
      </c>
      <c r="G314" s="9">
        <v>3</v>
      </c>
      <c r="H314" s="6" t="s">
        <v>2397</v>
      </c>
      <c r="I314" s="9" t="s">
        <v>258</v>
      </c>
      <c r="J314" s="9" t="s">
        <v>145</v>
      </c>
    </row>
    <row r="315" spans="1:10">
      <c r="A315" s="5" t="s">
        <v>767</v>
      </c>
      <c r="B315" s="6" t="s">
        <v>2396</v>
      </c>
      <c r="C315" s="7">
        <v>46209</v>
      </c>
      <c r="D315" s="9" t="s">
        <v>261</v>
      </c>
      <c r="E315" s="8" t="s">
        <v>64</v>
      </c>
      <c r="F315" s="9" t="s">
        <v>242</v>
      </c>
      <c r="G315" s="9">
        <v>2</v>
      </c>
      <c r="H315" s="6" t="s">
        <v>2397</v>
      </c>
      <c r="I315" s="9" t="s">
        <v>258</v>
      </c>
      <c r="J315" s="9" t="s">
        <v>145</v>
      </c>
    </row>
    <row r="316" spans="1:10">
      <c r="A316" s="5" t="s">
        <v>768</v>
      </c>
      <c r="B316" s="6" t="s">
        <v>2396</v>
      </c>
      <c r="C316" s="7">
        <v>46209</v>
      </c>
      <c r="D316" s="9" t="s">
        <v>270</v>
      </c>
      <c r="E316" s="4" t="s">
        <v>271</v>
      </c>
      <c r="F316" s="9" t="s">
        <v>242</v>
      </c>
      <c r="G316" s="9">
        <v>5</v>
      </c>
      <c r="H316" s="6" t="s">
        <v>2397</v>
      </c>
      <c r="I316" s="9" t="s">
        <v>258</v>
      </c>
      <c r="J316" s="9" t="s">
        <v>145</v>
      </c>
    </row>
    <row r="317" spans="1:10">
      <c r="A317" s="5" t="s">
        <v>769</v>
      </c>
      <c r="B317" s="6" t="s">
        <v>2396</v>
      </c>
      <c r="C317" s="7">
        <v>46209</v>
      </c>
      <c r="D317" s="9" t="s">
        <v>270</v>
      </c>
      <c r="E317" s="8" t="s">
        <v>68</v>
      </c>
      <c r="F317" s="9" t="s">
        <v>242</v>
      </c>
      <c r="G317" s="9">
        <v>2</v>
      </c>
      <c r="H317" s="6" t="s">
        <v>2397</v>
      </c>
      <c r="I317" s="9" t="s">
        <v>258</v>
      </c>
      <c r="J317" s="9" t="s">
        <v>145</v>
      </c>
    </row>
    <row r="318" spans="1:10">
      <c r="A318" s="5" t="s">
        <v>772</v>
      </c>
      <c r="B318" s="6" t="s">
        <v>2398</v>
      </c>
      <c r="C318" s="7">
        <v>46209</v>
      </c>
      <c r="D318" s="9" t="s">
        <v>500</v>
      </c>
      <c r="E318" s="8" t="s">
        <v>4</v>
      </c>
      <c r="F318" s="9" t="s">
        <v>242</v>
      </c>
      <c r="G318" s="9">
        <v>1</v>
      </c>
      <c r="H318" s="6" t="s">
        <v>866</v>
      </c>
      <c r="I318" s="9" t="s">
        <v>258</v>
      </c>
      <c r="J318" s="9" t="s">
        <v>145</v>
      </c>
    </row>
    <row r="319" spans="1:10">
      <c r="A319" s="5" t="s">
        <v>773</v>
      </c>
      <c r="B319" s="6" t="s">
        <v>2398</v>
      </c>
      <c r="C319" s="7">
        <v>46209</v>
      </c>
      <c r="D319" s="9" t="s">
        <v>270</v>
      </c>
      <c r="E319" s="8" t="s">
        <v>271</v>
      </c>
      <c r="F319" s="9" t="s">
        <v>242</v>
      </c>
      <c r="G319" s="9">
        <v>3</v>
      </c>
      <c r="H319" s="6" t="s">
        <v>866</v>
      </c>
      <c r="I319" s="9" t="s">
        <v>258</v>
      </c>
      <c r="J319" s="9" t="s">
        <v>145</v>
      </c>
    </row>
    <row r="320" spans="1:10">
      <c r="A320" s="5" t="s">
        <v>774</v>
      </c>
      <c r="B320" s="6" t="s">
        <v>2399</v>
      </c>
      <c r="C320" s="7">
        <v>46209</v>
      </c>
      <c r="D320" s="9" t="s">
        <v>696</v>
      </c>
      <c r="E320" s="8" t="s">
        <v>87</v>
      </c>
      <c r="F320" s="9" t="s">
        <v>242</v>
      </c>
      <c r="G320" s="9">
        <v>55</v>
      </c>
      <c r="H320" s="6" t="s">
        <v>2400</v>
      </c>
      <c r="I320" s="9" t="s">
        <v>253</v>
      </c>
      <c r="J320" s="9" t="s">
        <v>145</v>
      </c>
    </row>
    <row r="321" spans="1:10">
      <c r="A321" s="5" t="s">
        <v>776</v>
      </c>
      <c r="B321" s="6" t="s">
        <v>2399</v>
      </c>
      <c r="C321" s="7">
        <v>46209</v>
      </c>
      <c r="D321" s="9" t="s">
        <v>261</v>
      </c>
      <c r="E321" s="8" t="s">
        <v>62</v>
      </c>
      <c r="F321" s="9" t="s">
        <v>242</v>
      </c>
      <c r="G321" s="9">
        <v>4</v>
      </c>
      <c r="H321" s="6" t="s">
        <v>2400</v>
      </c>
      <c r="I321" s="9" t="s">
        <v>253</v>
      </c>
      <c r="J321" s="9" t="s">
        <v>145</v>
      </c>
    </row>
    <row r="322" spans="1:10">
      <c r="A322" s="5" t="s">
        <v>779</v>
      </c>
      <c r="B322" s="6" t="s">
        <v>2401</v>
      </c>
      <c r="C322" s="7">
        <v>46210</v>
      </c>
      <c r="D322" s="9" t="s">
        <v>261</v>
      </c>
      <c r="E322" s="4" t="s">
        <v>62</v>
      </c>
      <c r="F322" s="9" t="s">
        <v>242</v>
      </c>
      <c r="G322" s="9">
        <v>3</v>
      </c>
      <c r="H322" s="6" t="s">
        <v>722</v>
      </c>
      <c r="I322" s="9" t="s">
        <v>258</v>
      </c>
      <c r="J322" s="9" t="s">
        <v>145</v>
      </c>
    </row>
    <row r="323" spans="1:10">
      <c r="A323" s="5" t="s">
        <v>780</v>
      </c>
      <c r="B323" s="6" t="s">
        <v>2402</v>
      </c>
      <c r="C323" s="7">
        <v>46211</v>
      </c>
      <c r="D323" s="9" t="s">
        <v>696</v>
      </c>
      <c r="E323" s="8" t="s">
        <v>87</v>
      </c>
      <c r="F323" s="9" t="s">
        <v>242</v>
      </c>
      <c r="G323" s="9">
        <v>100</v>
      </c>
      <c r="H323" s="6" t="s">
        <v>2403</v>
      </c>
      <c r="I323" s="9" t="s">
        <v>514</v>
      </c>
      <c r="J323" s="9" t="s">
        <v>145</v>
      </c>
    </row>
    <row r="324" spans="1:10">
      <c r="A324" s="5" t="s">
        <v>782</v>
      </c>
      <c r="B324" s="6" t="s">
        <v>2402</v>
      </c>
      <c r="C324" s="7">
        <v>46211</v>
      </c>
      <c r="D324" s="9" t="s">
        <v>261</v>
      </c>
      <c r="E324" s="8" t="s">
        <v>62</v>
      </c>
      <c r="F324" s="9" t="s">
        <v>242</v>
      </c>
      <c r="G324" s="9">
        <v>6</v>
      </c>
      <c r="H324" s="6" t="s">
        <v>2403</v>
      </c>
      <c r="I324" s="9" t="s">
        <v>514</v>
      </c>
      <c r="J324" s="9" t="s">
        <v>145</v>
      </c>
    </row>
    <row r="325" spans="1:10">
      <c r="A325" s="5" t="s">
        <v>785</v>
      </c>
      <c r="B325" s="6" t="s">
        <v>2404</v>
      </c>
      <c r="C325" s="7">
        <v>46211</v>
      </c>
      <c r="D325" s="9" t="s">
        <v>261</v>
      </c>
      <c r="E325" s="8" t="s">
        <v>62</v>
      </c>
      <c r="F325" s="9" t="s">
        <v>242</v>
      </c>
      <c r="G325" s="9">
        <v>2</v>
      </c>
      <c r="H325" s="6" t="s">
        <v>722</v>
      </c>
      <c r="I325" s="9" t="s">
        <v>1546</v>
      </c>
      <c r="J325" s="9" t="s">
        <v>145</v>
      </c>
    </row>
    <row r="326" spans="1:10">
      <c r="A326" s="5" t="s">
        <v>786</v>
      </c>
      <c r="B326" s="6" t="s">
        <v>2404</v>
      </c>
      <c r="C326" s="7">
        <v>46211</v>
      </c>
      <c r="D326" s="9" t="s">
        <v>261</v>
      </c>
      <c r="E326" s="4" t="s">
        <v>281</v>
      </c>
      <c r="F326" s="9" t="s">
        <v>242</v>
      </c>
      <c r="G326" s="9">
        <v>2</v>
      </c>
      <c r="H326" s="6" t="s">
        <v>722</v>
      </c>
      <c r="I326" s="9" t="s">
        <v>1546</v>
      </c>
      <c r="J326" s="9" t="s">
        <v>145</v>
      </c>
    </row>
    <row r="327" spans="1:10">
      <c r="A327" s="5" t="s">
        <v>788</v>
      </c>
      <c r="B327" s="6" t="s">
        <v>2405</v>
      </c>
      <c r="C327" s="7">
        <v>46212</v>
      </c>
      <c r="D327" s="9" t="s">
        <v>261</v>
      </c>
      <c r="E327" s="8" t="s">
        <v>62</v>
      </c>
      <c r="F327" s="9" t="s">
        <v>242</v>
      </c>
      <c r="G327" s="9">
        <v>4</v>
      </c>
      <c r="H327" s="6" t="s">
        <v>722</v>
      </c>
      <c r="I327" s="9" t="s">
        <v>1546</v>
      </c>
      <c r="J327" s="9" t="s">
        <v>145</v>
      </c>
    </row>
    <row r="328" spans="1:10">
      <c r="A328" s="5" t="s">
        <v>789</v>
      </c>
      <c r="B328" s="6" t="s">
        <v>2405</v>
      </c>
      <c r="C328" s="7">
        <v>46212</v>
      </c>
      <c r="D328" s="9" t="s">
        <v>261</v>
      </c>
      <c r="E328" s="8" t="s">
        <v>281</v>
      </c>
      <c r="F328" s="9" t="s">
        <v>242</v>
      </c>
      <c r="G328" s="9">
        <v>5</v>
      </c>
      <c r="H328" s="6" t="s">
        <v>722</v>
      </c>
      <c r="I328" s="9" t="s">
        <v>1546</v>
      </c>
      <c r="J328" s="9" t="s">
        <v>145</v>
      </c>
    </row>
    <row r="329" spans="1:10">
      <c r="A329" s="5" t="s">
        <v>790</v>
      </c>
      <c r="B329" s="6" t="s">
        <v>2406</v>
      </c>
      <c r="C329" s="7">
        <v>46212</v>
      </c>
      <c r="D329" s="9" t="s">
        <v>500</v>
      </c>
      <c r="E329" s="8" t="s">
        <v>54</v>
      </c>
      <c r="F329" s="9" t="s">
        <v>242</v>
      </c>
      <c r="G329" s="9">
        <v>1</v>
      </c>
      <c r="H329" s="6" t="s">
        <v>876</v>
      </c>
      <c r="I329" s="9" t="s">
        <v>1546</v>
      </c>
      <c r="J329" s="9" t="s">
        <v>145</v>
      </c>
    </row>
    <row r="330" spans="1:10">
      <c r="A330" s="5" t="s">
        <v>792</v>
      </c>
      <c r="B330" s="6" t="s">
        <v>2406</v>
      </c>
      <c r="C330" s="7">
        <v>46212</v>
      </c>
      <c r="D330" s="9" t="s">
        <v>261</v>
      </c>
      <c r="E330" s="8" t="s">
        <v>62</v>
      </c>
      <c r="F330" s="9" t="s">
        <v>242</v>
      </c>
      <c r="G330" s="9">
        <v>1</v>
      </c>
      <c r="H330" s="6" t="s">
        <v>876</v>
      </c>
      <c r="I330" s="9" t="s">
        <v>1546</v>
      </c>
      <c r="J330" s="9" t="s">
        <v>145</v>
      </c>
    </row>
    <row r="331" spans="1:10">
      <c r="A331" s="5" t="s">
        <v>793</v>
      </c>
      <c r="B331" s="6" t="s">
        <v>2407</v>
      </c>
      <c r="C331" s="7">
        <v>46212</v>
      </c>
      <c r="D331" s="9" t="s">
        <v>500</v>
      </c>
      <c r="E331" s="8" t="s">
        <v>4</v>
      </c>
      <c r="F331" s="9" t="s">
        <v>242</v>
      </c>
      <c r="G331" s="9">
        <v>1</v>
      </c>
      <c r="H331" s="6" t="s">
        <v>2408</v>
      </c>
      <c r="I331" s="9" t="s">
        <v>258</v>
      </c>
      <c r="J331" s="9" t="s">
        <v>145</v>
      </c>
    </row>
    <row r="332" spans="1:10">
      <c r="A332" s="5" t="s">
        <v>794</v>
      </c>
      <c r="B332" s="6" t="s">
        <v>2407</v>
      </c>
      <c r="C332" s="7">
        <v>46212</v>
      </c>
      <c r="D332" s="9" t="s">
        <v>500</v>
      </c>
      <c r="E332" s="8" t="s">
        <v>48</v>
      </c>
      <c r="F332" s="9" t="s">
        <v>242</v>
      </c>
      <c r="G332" s="9">
        <v>1</v>
      </c>
      <c r="H332" s="6" t="s">
        <v>2408</v>
      </c>
      <c r="I332" s="9" t="s">
        <v>258</v>
      </c>
      <c r="J332" s="9" t="s">
        <v>145</v>
      </c>
    </row>
    <row r="333" spans="1:10">
      <c r="A333" s="5" t="s">
        <v>796</v>
      </c>
      <c r="B333" s="6" t="s">
        <v>2407</v>
      </c>
      <c r="C333" s="7">
        <v>46212</v>
      </c>
      <c r="D333" s="9" t="s">
        <v>270</v>
      </c>
      <c r="E333" s="8" t="s">
        <v>271</v>
      </c>
      <c r="F333" s="9" t="s">
        <v>242</v>
      </c>
      <c r="G333" s="9">
        <v>5</v>
      </c>
      <c r="H333" s="6" t="s">
        <v>2408</v>
      </c>
      <c r="I333" s="9" t="s">
        <v>258</v>
      </c>
      <c r="J333" s="9" t="s">
        <v>145</v>
      </c>
    </row>
    <row r="334" spans="1:10">
      <c r="A334" s="5" t="s">
        <v>797</v>
      </c>
      <c r="B334" s="6" t="s">
        <v>2407</v>
      </c>
      <c r="C334" s="7">
        <v>46212</v>
      </c>
      <c r="D334" s="9" t="s">
        <v>503</v>
      </c>
      <c r="E334" s="8" t="s">
        <v>162</v>
      </c>
      <c r="F334" s="9" t="s">
        <v>242</v>
      </c>
      <c r="G334" s="9">
        <v>1</v>
      </c>
      <c r="H334" s="6" t="s">
        <v>2408</v>
      </c>
      <c r="I334" s="9" t="s">
        <v>258</v>
      </c>
      <c r="J334" s="9" t="s">
        <v>145</v>
      </c>
    </row>
    <row r="335" spans="1:10">
      <c r="A335" s="5" t="s">
        <v>798</v>
      </c>
      <c r="B335" s="6" t="s">
        <v>2409</v>
      </c>
      <c r="C335" s="7">
        <v>46212</v>
      </c>
      <c r="D335" s="9" t="s">
        <v>500</v>
      </c>
      <c r="E335" s="8" t="s">
        <v>4</v>
      </c>
      <c r="F335" s="9" t="s">
        <v>242</v>
      </c>
      <c r="G335" s="9">
        <v>1</v>
      </c>
      <c r="H335" s="6" t="s">
        <v>2394</v>
      </c>
      <c r="I335" s="9" t="s">
        <v>258</v>
      </c>
      <c r="J335" s="9" t="s">
        <v>145</v>
      </c>
    </row>
    <row r="336" spans="1:10">
      <c r="A336" s="5" t="s">
        <v>799</v>
      </c>
      <c r="B336" s="6" t="s">
        <v>2409</v>
      </c>
      <c r="C336" s="7">
        <v>46212</v>
      </c>
      <c r="D336" s="9" t="s">
        <v>261</v>
      </c>
      <c r="E336" s="8" t="s">
        <v>64</v>
      </c>
      <c r="F336" s="9" t="s">
        <v>242</v>
      </c>
      <c r="G336" s="9">
        <v>2</v>
      </c>
      <c r="H336" s="6" t="s">
        <v>2394</v>
      </c>
      <c r="I336" s="9" t="s">
        <v>258</v>
      </c>
      <c r="J336" s="9" t="s">
        <v>145</v>
      </c>
    </row>
    <row r="337" spans="1:10">
      <c r="A337" s="5" t="s">
        <v>800</v>
      </c>
      <c r="B337" s="6" t="s">
        <v>2409</v>
      </c>
      <c r="C337" s="7">
        <v>46212</v>
      </c>
      <c r="D337" s="9" t="s">
        <v>261</v>
      </c>
      <c r="E337" s="8" t="s">
        <v>63</v>
      </c>
      <c r="F337" s="9" t="s">
        <v>242</v>
      </c>
      <c r="G337" s="9">
        <v>1</v>
      </c>
      <c r="H337" s="6" t="s">
        <v>2394</v>
      </c>
      <c r="I337" s="9" t="s">
        <v>258</v>
      </c>
      <c r="J337" s="9" t="s">
        <v>145</v>
      </c>
    </row>
    <row r="338" spans="1:10">
      <c r="A338" s="5" t="s">
        <v>802</v>
      </c>
      <c r="B338" s="6" t="s">
        <v>2409</v>
      </c>
      <c r="C338" s="7">
        <v>46212</v>
      </c>
      <c r="D338" s="9" t="s">
        <v>270</v>
      </c>
      <c r="E338" s="8" t="s">
        <v>271</v>
      </c>
      <c r="F338" s="9" t="s">
        <v>242</v>
      </c>
      <c r="G338" s="9">
        <v>2</v>
      </c>
      <c r="H338" s="6" t="s">
        <v>2394</v>
      </c>
      <c r="I338" s="9" t="s">
        <v>258</v>
      </c>
      <c r="J338" s="9" t="s">
        <v>145</v>
      </c>
    </row>
    <row r="339" spans="1:10">
      <c r="A339" s="5" t="s">
        <v>803</v>
      </c>
      <c r="B339" s="6" t="s">
        <v>2409</v>
      </c>
      <c r="C339" s="7">
        <v>46212</v>
      </c>
      <c r="D339" s="9" t="s">
        <v>270</v>
      </c>
      <c r="E339" s="8" t="s">
        <v>68</v>
      </c>
      <c r="F339" s="9" t="s">
        <v>242</v>
      </c>
      <c r="G339" s="9">
        <v>1</v>
      </c>
      <c r="H339" s="6" t="s">
        <v>2394</v>
      </c>
      <c r="I339" s="9" t="s">
        <v>258</v>
      </c>
      <c r="J339" s="9" t="s">
        <v>145</v>
      </c>
    </row>
    <row r="340" spans="1:10">
      <c r="A340" s="5" t="s">
        <v>805</v>
      </c>
      <c r="B340" s="6" t="s">
        <v>2410</v>
      </c>
      <c r="C340" s="7">
        <v>46213</v>
      </c>
      <c r="D340" s="9" t="s">
        <v>696</v>
      </c>
      <c r="E340" s="8" t="s">
        <v>87</v>
      </c>
      <c r="F340" s="9" t="s">
        <v>242</v>
      </c>
      <c r="G340" s="9">
        <v>100</v>
      </c>
      <c r="H340" s="6" t="s">
        <v>2400</v>
      </c>
      <c r="I340" s="9" t="s">
        <v>1280</v>
      </c>
      <c r="J340" s="9" t="s">
        <v>145</v>
      </c>
    </row>
    <row r="341" spans="1:10">
      <c r="A341" s="5" t="s">
        <v>808</v>
      </c>
      <c r="B341" s="6" t="s">
        <v>2410</v>
      </c>
      <c r="C341" s="7">
        <v>46213</v>
      </c>
      <c r="D341" s="9" t="s">
        <v>261</v>
      </c>
      <c r="E341" s="8" t="s">
        <v>62</v>
      </c>
      <c r="F341" s="9" t="s">
        <v>242</v>
      </c>
      <c r="G341" s="9">
        <v>3</v>
      </c>
      <c r="H341" s="6" t="s">
        <v>2400</v>
      </c>
      <c r="I341" s="9" t="s">
        <v>1280</v>
      </c>
      <c r="J341" s="9" t="s">
        <v>145</v>
      </c>
    </row>
    <row r="342" spans="1:10">
      <c r="A342" s="5" t="s">
        <v>809</v>
      </c>
      <c r="B342" s="6" t="s">
        <v>2411</v>
      </c>
      <c r="C342" s="7">
        <v>46213</v>
      </c>
      <c r="D342" s="9" t="s">
        <v>500</v>
      </c>
      <c r="E342" s="8" t="s">
        <v>54</v>
      </c>
      <c r="F342" s="9" t="s">
        <v>242</v>
      </c>
      <c r="G342" s="9">
        <v>1</v>
      </c>
      <c r="H342" s="6" t="s">
        <v>876</v>
      </c>
      <c r="I342" s="9" t="s">
        <v>357</v>
      </c>
      <c r="J342" s="9" t="s">
        <v>145</v>
      </c>
    </row>
    <row r="343" spans="1:10">
      <c r="A343" s="5" t="s">
        <v>810</v>
      </c>
      <c r="B343" s="6" t="s">
        <v>2411</v>
      </c>
      <c r="C343" s="7">
        <v>46213</v>
      </c>
      <c r="D343" s="9" t="s">
        <v>261</v>
      </c>
      <c r="E343" s="8" t="s">
        <v>62</v>
      </c>
      <c r="F343" s="9" t="s">
        <v>242</v>
      </c>
      <c r="G343" s="9">
        <v>1</v>
      </c>
      <c r="H343" s="6" t="s">
        <v>876</v>
      </c>
      <c r="I343" s="9" t="s">
        <v>357</v>
      </c>
      <c r="J343" s="9" t="s">
        <v>145</v>
      </c>
    </row>
    <row r="344" spans="1:10">
      <c r="A344" s="5" t="s">
        <v>812</v>
      </c>
      <c r="B344" s="6" t="s">
        <v>2412</v>
      </c>
      <c r="C344" s="7">
        <v>46213</v>
      </c>
      <c r="D344" s="9" t="s">
        <v>714</v>
      </c>
      <c r="E344" s="4" t="s">
        <v>715</v>
      </c>
      <c r="F344" s="9" t="s">
        <v>242</v>
      </c>
      <c r="G344" s="9">
        <v>1</v>
      </c>
      <c r="H344" s="6" t="s">
        <v>1341</v>
      </c>
      <c r="I344" s="9" t="s">
        <v>415</v>
      </c>
      <c r="J344" s="9" t="s">
        <v>145</v>
      </c>
    </row>
    <row r="345" spans="1:10">
      <c r="A345" s="5" t="s">
        <v>813</v>
      </c>
      <c r="B345" s="6" t="s">
        <v>2413</v>
      </c>
      <c r="C345" s="7">
        <v>46213</v>
      </c>
      <c r="D345" s="9" t="s">
        <v>500</v>
      </c>
      <c r="E345" s="4" t="s">
        <v>3</v>
      </c>
      <c r="F345" s="9" t="s">
        <v>242</v>
      </c>
      <c r="G345" s="9">
        <v>1</v>
      </c>
      <c r="H345" s="6" t="s">
        <v>1306</v>
      </c>
      <c r="I345" s="9" t="s">
        <v>628</v>
      </c>
      <c r="J345" s="9" t="s">
        <v>145</v>
      </c>
    </row>
    <row r="346" spans="1:10">
      <c r="A346" s="5" t="s">
        <v>815</v>
      </c>
      <c r="B346" s="6" t="s">
        <v>2413</v>
      </c>
      <c r="C346" s="7">
        <v>46213</v>
      </c>
      <c r="D346" s="9" t="s">
        <v>270</v>
      </c>
      <c r="E346" s="8" t="s">
        <v>271</v>
      </c>
      <c r="F346" s="9" t="s">
        <v>242</v>
      </c>
      <c r="G346" s="9">
        <v>3</v>
      </c>
      <c r="H346" s="6" t="s">
        <v>1306</v>
      </c>
      <c r="I346" s="9" t="s">
        <v>628</v>
      </c>
      <c r="J346" s="9" t="s">
        <v>145</v>
      </c>
    </row>
    <row r="347" spans="1:10">
      <c r="A347" s="5" t="s">
        <v>816</v>
      </c>
      <c r="B347" s="6" t="s">
        <v>2414</v>
      </c>
      <c r="C347" s="7">
        <v>46213</v>
      </c>
      <c r="D347" s="9" t="s">
        <v>714</v>
      </c>
      <c r="E347" s="8" t="s">
        <v>715</v>
      </c>
      <c r="F347" s="9" t="s">
        <v>242</v>
      </c>
      <c r="G347" s="9">
        <v>1</v>
      </c>
      <c r="H347" s="6" t="s">
        <v>1341</v>
      </c>
      <c r="I347" s="9" t="s">
        <v>628</v>
      </c>
      <c r="J347" s="9" t="s">
        <v>145</v>
      </c>
    </row>
    <row r="348" spans="1:10">
      <c r="A348" s="5" t="s">
        <v>817</v>
      </c>
      <c r="B348" s="6" t="s">
        <v>2415</v>
      </c>
      <c r="C348" s="7">
        <v>46213</v>
      </c>
      <c r="D348" s="9" t="s">
        <v>714</v>
      </c>
      <c r="E348" s="8" t="s">
        <v>715</v>
      </c>
      <c r="F348" s="9" t="s">
        <v>242</v>
      </c>
      <c r="G348" s="9">
        <v>1</v>
      </c>
      <c r="H348" s="6" t="s">
        <v>1341</v>
      </c>
      <c r="I348" s="9" t="s">
        <v>628</v>
      </c>
      <c r="J348" s="9" t="s">
        <v>145</v>
      </c>
    </row>
    <row r="349" spans="1:10">
      <c r="A349" s="5" t="s">
        <v>818</v>
      </c>
      <c r="B349" s="6" t="s">
        <v>2416</v>
      </c>
      <c r="C349" s="7">
        <v>46213</v>
      </c>
      <c r="D349" s="9" t="s">
        <v>500</v>
      </c>
      <c r="E349" s="4" t="s">
        <v>50</v>
      </c>
      <c r="F349" s="9" t="s">
        <v>242</v>
      </c>
      <c r="G349" s="9">
        <v>1</v>
      </c>
      <c r="H349" s="6" t="s">
        <v>693</v>
      </c>
      <c r="I349" s="9" t="s">
        <v>266</v>
      </c>
      <c r="J349" s="9" t="s">
        <v>145</v>
      </c>
    </row>
    <row r="350" spans="1:10">
      <c r="A350" s="5" t="s">
        <v>820</v>
      </c>
      <c r="B350" s="6" t="s">
        <v>2417</v>
      </c>
      <c r="C350" s="7">
        <v>46213</v>
      </c>
      <c r="D350" s="9" t="s">
        <v>261</v>
      </c>
      <c r="E350" s="8" t="s">
        <v>62</v>
      </c>
      <c r="F350" s="9" t="s">
        <v>242</v>
      </c>
      <c r="G350" s="9">
        <v>2</v>
      </c>
      <c r="H350" s="6" t="s">
        <v>722</v>
      </c>
      <c r="I350" s="9" t="s">
        <v>616</v>
      </c>
      <c r="J350" s="9" t="s">
        <v>145</v>
      </c>
    </row>
    <row r="351" spans="1:10">
      <c r="A351" s="5" t="s">
        <v>821</v>
      </c>
      <c r="B351" s="6" t="s">
        <v>2418</v>
      </c>
      <c r="C351" s="7">
        <v>46215</v>
      </c>
      <c r="D351" s="9" t="s">
        <v>500</v>
      </c>
      <c r="E351" s="4" t="s">
        <v>53</v>
      </c>
      <c r="F351" s="9" t="s">
        <v>242</v>
      </c>
      <c r="G351" s="9">
        <v>1</v>
      </c>
      <c r="H351" s="6" t="s">
        <v>693</v>
      </c>
      <c r="I351" s="9" t="s">
        <v>258</v>
      </c>
      <c r="J351" s="9" t="s">
        <v>145</v>
      </c>
    </row>
    <row r="352" spans="1:10">
      <c r="A352" s="5" t="s">
        <v>822</v>
      </c>
      <c r="B352" s="6" t="s">
        <v>2418</v>
      </c>
      <c r="C352" s="7">
        <v>46215</v>
      </c>
      <c r="D352" s="9" t="s">
        <v>270</v>
      </c>
      <c r="E352" s="8" t="s">
        <v>271</v>
      </c>
      <c r="F352" s="9" t="s">
        <v>242</v>
      </c>
      <c r="G352" s="9">
        <v>1</v>
      </c>
      <c r="H352" s="6" t="s">
        <v>693</v>
      </c>
      <c r="I352" s="9" t="s">
        <v>258</v>
      </c>
      <c r="J352" s="9" t="s">
        <v>145</v>
      </c>
    </row>
    <row r="353" spans="1:10">
      <c r="A353" s="5" t="s">
        <v>824</v>
      </c>
      <c r="B353" s="6" t="s">
        <v>2419</v>
      </c>
      <c r="C353" s="7">
        <v>46215</v>
      </c>
      <c r="D353" s="9" t="s">
        <v>500</v>
      </c>
      <c r="E353" s="4" t="s">
        <v>53</v>
      </c>
      <c r="F353" s="9" t="s">
        <v>242</v>
      </c>
      <c r="G353" s="9">
        <v>1</v>
      </c>
      <c r="H353" s="6" t="s">
        <v>693</v>
      </c>
      <c r="I353" s="9" t="s">
        <v>258</v>
      </c>
      <c r="J353" s="9" t="s">
        <v>145</v>
      </c>
    </row>
    <row r="354" spans="1:10">
      <c r="A354" s="5" t="s">
        <v>828</v>
      </c>
      <c r="B354" s="6" t="s">
        <v>2419</v>
      </c>
      <c r="C354" s="7">
        <v>46215</v>
      </c>
      <c r="D354" s="9" t="s">
        <v>261</v>
      </c>
      <c r="E354" s="8" t="s">
        <v>62</v>
      </c>
      <c r="F354" s="9" t="s">
        <v>242</v>
      </c>
      <c r="G354" s="9">
        <v>3</v>
      </c>
      <c r="H354" s="6" t="s">
        <v>693</v>
      </c>
      <c r="I354" s="9" t="s">
        <v>258</v>
      </c>
      <c r="J354" s="9" t="s">
        <v>145</v>
      </c>
    </row>
    <row r="355" spans="1:10">
      <c r="A355" s="5" t="s">
        <v>831</v>
      </c>
      <c r="B355" s="6" t="s">
        <v>2419</v>
      </c>
      <c r="C355" s="7">
        <v>46215</v>
      </c>
      <c r="D355" s="9" t="s">
        <v>270</v>
      </c>
      <c r="E355" s="8" t="s">
        <v>271</v>
      </c>
      <c r="F355" s="9" t="s">
        <v>242</v>
      </c>
      <c r="G355" s="9">
        <v>1</v>
      </c>
      <c r="H355" s="6" t="s">
        <v>693</v>
      </c>
      <c r="I355" s="9" t="s">
        <v>258</v>
      </c>
      <c r="J355" s="9" t="s">
        <v>145</v>
      </c>
    </row>
    <row r="356" spans="1:10">
      <c r="A356" s="5" t="s">
        <v>833</v>
      </c>
      <c r="B356" s="6" t="s">
        <v>2420</v>
      </c>
      <c r="C356" s="7">
        <v>46215</v>
      </c>
      <c r="D356" s="9" t="s">
        <v>500</v>
      </c>
      <c r="E356" s="8" t="s">
        <v>53</v>
      </c>
      <c r="F356" s="9" t="s">
        <v>242</v>
      </c>
      <c r="G356" s="9">
        <v>1</v>
      </c>
      <c r="H356" s="6" t="s">
        <v>693</v>
      </c>
      <c r="I356" s="9" t="s">
        <v>258</v>
      </c>
      <c r="J356" s="9" t="s">
        <v>145</v>
      </c>
    </row>
    <row r="357" spans="1:10">
      <c r="A357" s="5" t="s">
        <v>836</v>
      </c>
      <c r="B357" s="6" t="s">
        <v>2420</v>
      </c>
      <c r="C357" s="7">
        <v>46215</v>
      </c>
      <c r="D357" s="9" t="s">
        <v>270</v>
      </c>
      <c r="E357" s="8" t="s">
        <v>271</v>
      </c>
      <c r="F357" s="9" t="s">
        <v>242</v>
      </c>
      <c r="G357" s="9">
        <v>1</v>
      </c>
      <c r="H357" s="6" t="s">
        <v>693</v>
      </c>
      <c r="I357" s="9" t="s">
        <v>258</v>
      </c>
      <c r="J357" s="9" t="s">
        <v>145</v>
      </c>
    </row>
    <row r="358" spans="1:10">
      <c r="A358" s="5" t="s">
        <v>839</v>
      </c>
      <c r="B358" s="6" t="s">
        <v>2421</v>
      </c>
      <c r="C358" s="7">
        <v>46215</v>
      </c>
      <c r="D358" s="9" t="s">
        <v>500</v>
      </c>
      <c r="E358" s="8" t="s">
        <v>4</v>
      </c>
      <c r="F358" s="9" t="s">
        <v>242</v>
      </c>
      <c r="G358" s="9">
        <v>1</v>
      </c>
      <c r="H358" s="6" t="s">
        <v>866</v>
      </c>
      <c r="I358" s="9" t="s">
        <v>258</v>
      </c>
      <c r="J358" s="9" t="s">
        <v>145</v>
      </c>
    </row>
    <row r="359" spans="1:10">
      <c r="A359" s="5" t="s">
        <v>840</v>
      </c>
      <c r="B359" s="6" t="s">
        <v>2421</v>
      </c>
      <c r="C359" s="7">
        <v>46215</v>
      </c>
      <c r="D359" s="9" t="s">
        <v>261</v>
      </c>
      <c r="E359" s="4" t="s">
        <v>64</v>
      </c>
      <c r="F359" s="9" t="s">
        <v>242</v>
      </c>
      <c r="G359" s="9">
        <v>3</v>
      </c>
      <c r="H359" s="6" t="s">
        <v>866</v>
      </c>
      <c r="I359" s="9" t="s">
        <v>258</v>
      </c>
      <c r="J359" s="9" t="s">
        <v>145</v>
      </c>
    </row>
    <row r="360" spans="1:10">
      <c r="A360" s="5" t="s">
        <v>841</v>
      </c>
      <c r="B360" s="6" t="s">
        <v>2421</v>
      </c>
      <c r="C360" s="7">
        <v>46215</v>
      </c>
      <c r="D360" s="9" t="s">
        <v>270</v>
      </c>
      <c r="E360" s="8" t="s">
        <v>271</v>
      </c>
      <c r="F360" s="9" t="s">
        <v>242</v>
      </c>
      <c r="G360" s="9">
        <v>3</v>
      </c>
      <c r="H360" s="6" t="s">
        <v>866</v>
      </c>
      <c r="I360" s="9" t="s">
        <v>258</v>
      </c>
      <c r="J360" s="9" t="s">
        <v>145</v>
      </c>
    </row>
    <row r="361" spans="1:10">
      <c r="A361" s="5" t="s">
        <v>842</v>
      </c>
      <c r="B361" s="6" t="s">
        <v>2422</v>
      </c>
      <c r="C361" s="7">
        <v>46216</v>
      </c>
      <c r="D361" s="9" t="s">
        <v>503</v>
      </c>
      <c r="E361" s="8" t="s">
        <v>74</v>
      </c>
      <c r="F361" s="9" t="s">
        <v>242</v>
      </c>
      <c r="G361" s="9">
        <v>1</v>
      </c>
      <c r="H361" s="6" t="s">
        <v>1688</v>
      </c>
      <c r="I361" s="9" t="s">
        <v>258</v>
      </c>
      <c r="J361" s="9" t="s">
        <v>145</v>
      </c>
    </row>
    <row r="362" spans="1:10">
      <c r="A362" s="5" t="s">
        <v>844</v>
      </c>
      <c r="B362" s="6" t="s">
        <v>2422</v>
      </c>
      <c r="C362" s="7">
        <v>46216</v>
      </c>
      <c r="D362" s="9" t="s">
        <v>503</v>
      </c>
      <c r="E362" s="8" t="s">
        <v>76</v>
      </c>
      <c r="F362" s="9" t="s">
        <v>242</v>
      </c>
      <c r="G362" s="9">
        <v>1</v>
      </c>
      <c r="H362" s="6" t="s">
        <v>1688</v>
      </c>
      <c r="I362" s="9" t="s">
        <v>258</v>
      </c>
      <c r="J362" s="9" t="s">
        <v>145</v>
      </c>
    </row>
    <row r="363" spans="1:10">
      <c r="A363" s="5" t="s">
        <v>847</v>
      </c>
      <c r="B363" s="6" t="s">
        <v>2422</v>
      </c>
      <c r="C363" s="7">
        <v>46216</v>
      </c>
      <c r="D363" s="9" t="s">
        <v>503</v>
      </c>
      <c r="E363" s="8" t="s">
        <v>153</v>
      </c>
      <c r="F363" s="9" t="s">
        <v>242</v>
      </c>
      <c r="G363" s="9">
        <v>1</v>
      </c>
      <c r="H363" s="6" t="s">
        <v>1688</v>
      </c>
      <c r="I363" s="9" t="s">
        <v>258</v>
      </c>
      <c r="J363" s="9" t="s">
        <v>145</v>
      </c>
    </row>
    <row r="364" spans="1:10">
      <c r="A364" s="5" t="s">
        <v>849</v>
      </c>
      <c r="B364" s="6" t="s">
        <v>2423</v>
      </c>
      <c r="C364" s="7">
        <v>46216</v>
      </c>
      <c r="D364" s="9" t="s">
        <v>261</v>
      </c>
      <c r="E364" s="8" t="s">
        <v>62</v>
      </c>
      <c r="F364" s="9" t="s">
        <v>242</v>
      </c>
      <c r="G364" s="9">
        <v>2</v>
      </c>
      <c r="H364" s="6" t="s">
        <v>722</v>
      </c>
      <c r="I364" s="9" t="s">
        <v>609</v>
      </c>
      <c r="J364" s="9" t="s">
        <v>145</v>
      </c>
    </row>
    <row r="365" spans="1:10">
      <c r="A365" s="5" t="s">
        <v>852</v>
      </c>
      <c r="B365" s="6" t="s">
        <v>2424</v>
      </c>
      <c r="C365" s="7">
        <v>46216</v>
      </c>
      <c r="D365" s="9" t="s">
        <v>500</v>
      </c>
      <c r="E365" s="8" t="s">
        <v>4</v>
      </c>
      <c r="F365" s="9" t="s">
        <v>242</v>
      </c>
      <c r="G365" s="9">
        <v>1</v>
      </c>
      <c r="H365" s="6" t="s">
        <v>2425</v>
      </c>
      <c r="I365" s="9" t="s">
        <v>337</v>
      </c>
      <c r="J365" s="9" t="s">
        <v>145</v>
      </c>
    </row>
    <row r="366" spans="1:10">
      <c r="A366" s="5" t="s">
        <v>853</v>
      </c>
      <c r="B366" s="6" t="s">
        <v>2424</v>
      </c>
      <c r="C366" s="7">
        <v>46216</v>
      </c>
      <c r="D366" s="9" t="s">
        <v>500</v>
      </c>
      <c r="E366" s="8" t="s">
        <v>52</v>
      </c>
      <c r="F366" s="9" t="s">
        <v>242</v>
      </c>
      <c r="G366" s="9">
        <v>1</v>
      </c>
      <c r="H366" s="6" t="s">
        <v>2425</v>
      </c>
      <c r="I366" s="9" t="s">
        <v>337</v>
      </c>
      <c r="J366" s="9" t="s">
        <v>145</v>
      </c>
    </row>
    <row r="367" spans="1:10">
      <c r="A367" s="5" t="s">
        <v>856</v>
      </c>
      <c r="B367" s="6" t="s">
        <v>2424</v>
      </c>
      <c r="C367" s="7">
        <v>46216</v>
      </c>
      <c r="D367" s="9" t="s">
        <v>500</v>
      </c>
      <c r="E367" s="8" t="s">
        <v>54</v>
      </c>
      <c r="F367" s="9" t="s">
        <v>242</v>
      </c>
      <c r="G367" s="9">
        <v>1</v>
      </c>
      <c r="H367" s="6" t="s">
        <v>2425</v>
      </c>
      <c r="I367" s="9" t="s">
        <v>337</v>
      </c>
      <c r="J367" s="9" t="s">
        <v>145</v>
      </c>
    </row>
    <row r="368" spans="1:10">
      <c r="A368" s="5" t="s">
        <v>857</v>
      </c>
      <c r="B368" s="6" t="s">
        <v>2424</v>
      </c>
      <c r="C368" s="7">
        <v>46216</v>
      </c>
      <c r="D368" s="9" t="s">
        <v>261</v>
      </c>
      <c r="E368" s="4" t="s">
        <v>64</v>
      </c>
      <c r="F368" s="9" t="s">
        <v>242</v>
      </c>
      <c r="G368" s="9">
        <v>5</v>
      </c>
      <c r="H368" s="6" t="s">
        <v>2425</v>
      </c>
      <c r="I368" s="9" t="s">
        <v>337</v>
      </c>
      <c r="J368" s="9" t="s">
        <v>145</v>
      </c>
    </row>
    <row r="369" spans="1:10">
      <c r="A369" s="5" t="s">
        <v>858</v>
      </c>
      <c r="B369" s="6" t="s">
        <v>2424</v>
      </c>
      <c r="C369" s="7">
        <v>46216</v>
      </c>
      <c r="D369" s="9" t="s">
        <v>270</v>
      </c>
      <c r="E369" s="8" t="s">
        <v>271</v>
      </c>
      <c r="F369" s="9" t="s">
        <v>242</v>
      </c>
      <c r="G369" s="9">
        <v>5</v>
      </c>
      <c r="H369" s="6" t="s">
        <v>2425</v>
      </c>
      <c r="I369" s="9" t="s">
        <v>337</v>
      </c>
      <c r="J369" s="9" t="s">
        <v>145</v>
      </c>
    </row>
    <row r="370" spans="1:10">
      <c r="A370" s="5" t="s">
        <v>860</v>
      </c>
      <c r="B370" s="6" t="s">
        <v>2426</v>
      </c>
      <c r="C370" s="7">
        <v>46217</v>
      </c>
      <c r="D370" s="9" t="s">
        <v>500</v>
      </c>
      <c r="E370" s="8" t="s">
        <v>53</v>
      </c>
      <c r="F370" s="9" t="s">
        <v>242</v>
      </c>
      <c r="G370" s="9">
        <v>1</v>
      </c>
      <c r="H370" s="6" t="s">
        <v>693</v>
      </c>
      <c r="I370" s="9" t="s">
        <v>284</v>
      </c>
      <c r="J370" s="9" t="s">
        <v>145</v>
      </c>
    </row>
    <row r="371" spans="1:10">
      <c r="A371" s="5" t="s">
        <v>862</v>
      </c>
      <c r="B371" s="6" t="s">
        <v>2426</v>
      </c>
      <c r="C371" s="7">
        <v>46217</v>
      </c>
      <c r="D371" s="9" t="s">
        <v>270</v>
      </c>
      <c r="E371" s="8" t="s">
        <v>271</v>
      </c>
      <c r="F371" s="9" t="s">
        <v>242</v>
      </c>
      <c r="G371" s="9">
        <v>1</v>
      </c>
      <c r="H371" s="6" t="s">
        <v>693</v>
      </c>
      <c r="I371" s="9" t="s">
        <v>284</v>
      </c>
      <c r="J371" s="9" t="s">
        <v>145</v>
      </c>
    </row>
    <row r="372" spans="1:10">
      <c r="A372" s="5" t="s">
        <v>863</v>
      </c>
      <c r="B372" s="6" t="s">
        <v>2427</v>
      </c>
      <c r="C372" s="7">
        <v>46217</v>
      </c>
      <c r="D372" s="9" t="s">
        <v>261</v>
      </c>
      <c r="E372" s="8" t="s">
        <v>62</v>
      </c>
      <c r="F372" s="9" t="s">
        <v>242</v>
      </c>
      <c r="G372" s="9">
        <v>5</v>
      </c>
      <c r="H372" s="6" t="s">
        <v>722</v>
      </c>
      <c r="I372" s="9" t="s">
        <v>284</v>
      </c>
      <c r="J372" s="9" t="s">
        <v>145</v>
      </c>
    </row>
    <row r="373" spans="1:10">
      <c r="A373" s="5" t="s">
        <v>864</v>
      </c>
      <c r="B373" s="6" t="s">
        <v>2428</v>
      </c>
      <c r="C373" s="7">
        <v>46217</v>
      </c>
      <c r="D373" s="9" t="s">
        <v>500</v>
      </c>
      <c r="E373" s="8" t="s">
        <v>54</v>
      </c>
      <c r="F373" s="9" t="s">
        <v>242</v>
      </c>
      <c r="G373" s="9">
        <v>1</v>
      </c>
      <c r="H373" s="6" t="s">
        <v>759</v>
      </c>
      <c r="I373" s="9" t="s">
        <v>388</v>
      </c>
      <c r="J373" s="9" t="s">
        <v>145</v>
      </c>
    </row>
    <row r="374" spans="1:10">
      <c r="A374" s="5" t="s">
        <v>867</v>
      </c>
      <c r="B374" s="6" t="s">
        <v>2428</v>
      </c>
      <c r="C374" s="7">
        <v>46217</v>
      </c>
      <c r="D374" s="9" t="s">
        <v>261</v>
      </c>
      <c r="E374" s="8" t="s">
        <v>62</v>
      </c>
      <c r="F374" s="9" t="s">
        <v>242</v>
      </c>
      <c r="G374" s="9">
        <v>1</v>
      </c>
      <c r="H374" s="6" t="s">
        <v>759</v>
      </c>
      <c r="I374" s="9" t="s">
        <v>388</v>
      </c>
      <c r="J374" s="9" t="s">
        <v>145</v>
      </c>
    </row>
    <row r="375" spans="1:10">
      <c r="A375" s="5" t="s">
        <v>868</v>
      </c>
      <c r="B375" s="6" t="s">
        <v>2428</v>
      </c>
      <c r="C375" s="7">
        <v>46217</v>
      </c>
      <c r="D375" s="9" t="s">
        <v>261</v>
      </c>
      <c r="E375" s="8" t="s">
        <v>281</v>
      </c>
      <c r="F375" s="9" t="s">
        <v>242</v>
      </c>
      <c r="G375" s="9">
        <v>3</v>
      </c>
      <c r="H375" s="6" t="s">
        <v>759</v>
      </c>
      <c r="I375" s="9" t="s">
        <v>388</v>
      </c>
      <c r="J375" s="9" t="s">
        <v>145</v>
      </c>
    </row>
    <row r="376" spans="1:10">
      <c r="A376" s="5" t="s">
        <v>869</v>
      </c>
      <c r="B376" s="6" t="s">
        <v>2429</v>
      </c>
      <c r="C376" s="7">
        <v>46217</v>
      </c>
      <c r="D376" s="9" t="s">
        <v>500</v>
      </c>
      <c r="E376" s="4" t="s">
        <v>53</v>
      </c>
      <c r="F376" s="9" t="s">
        <v>242</v>
      </c>
      <c r="G376" s="9">
        <v>1</v>
      </c>
      <c r="H376" s="6" t="s">
        <v>2374</v>
      </c>
      <c r="I376" s="9" t="s">
        <v>253</v>
      </c>
      <c r="J376" s="9" t="s">
        <v>145</v>
      </c>
    </row>
    <row r="377" spans="1:10">
      <c r="A377" s="5" t="s">
        <v>872</v>
      </c>
      <c r="B377" s="6" t="s">
        <v>2429</v>
      </c>
      <c r="C377" s="7">
        <v>46217</v>
      </c>
      <c r="D377" s="9" t="s">
        <v>270</v>
      </c>
      <c r="E377" s="8" t="s">
        <v>271</v>
      </c>
      <c r="F377" s="9" t="s">
        <v>242</v>
      </c>
      <c r="G377" s="9">
        <v>1</v>
      </c>
      <c r="H377" s="6" t="s">
        <v>2374</v>
      </c>
      <c r="I377" s="9" t="s">
        <v>253</v>
      </c>
      <c r="J377" s="9" t="s">
        <v>145</v>
      </c>
    </row>
    <row r="378" spans="1:10">
      <c r="A378" s="5" t="s">
        <v>874</v>
      </c>
      <c r="B378" s="6" t="s">
        <v>2430</v>
      </c>
      <c r="C378" s="7">
        <v>46217</v>
      </c>
      <c r="D378" s="9" t="s">
        <v>500</v>
      </c>
      <c r="E378" s="8" t="s">
        <v>52</v>
      </c>
      <c r="F378" s="9" t="s">
        <v>242</v>
      </c>
      <c r="G378" s="9">
        <v>1</v>
      </c>
      <c r="H378" s="6" t="s">
        <v>2374</v>
      </c>
      <c r="I378" s="9" t="s">
        <v>253</v>
      </c>
      <c r="J378" s="9" t="s">
        <v>145</v>
      </c>
    </row>
    <row r="379" spans="1:10">
      <c r="A379" s="5" t="s">
        <v>877</v>
      </c>
      <c r="B379" s="6" t="s">
        <v>2430</v>
      </c>
      <c r="C379" s="7">
        <v>46217</v>
      </c>
      <c r="D379" s="9" t="s">
        <v>270</v>
      </c>
      <c r="E379" s="8" t="s">
        <v>271</v>
      </c>
      <c r="F379" s="9" t="s">
        <v>242</v>
      </c>
      <c r="G379" s="9">
        <v>1</v>
      </c>
      <c r="H379" s="6" t="s">
        <v>2374</v>
      </c>
      <c r="I379" s="9" t="s">
        <v>253</v>
      </c>
      <c r="J379" s="9" t="s">
        <v>145</v>
      </c>
    </row>
    <row r="380" spans="1:10">
      <c r="A380" s="5" t="s">
        <v>878</v>
      </c>
      <c r="B380" s="6" t="s">
        <v>2430</v>
      </c>
      <c r="C380" s="7">
        <v>46217</v>
      </c>
      <c r="D380" s="9" t="s">
        <v>503</v>
      </c>
      <c r="E380" s="8" t="s">
        <v>162</v>
      </c>
      <c r="F380" s="9" t="s">
        <v>242</v>
      </c>
      <c r="G380" s="9">
        <v>1</v>
      </c>
      <c r="H380" s="6" t="s">
        <v>2374</v>
      </c>
      <c r="I380" s="9" t="s">
        <v>253</v>
      </c>
      <c r="J380" s="9" t="s">
        <v>145</v>
      </c>
    </row>
    <row r="381" spans="1:10">
      <c r="A381" s="5" t="s">
        <v>880</v>
      </c>
      <c r="B381" s="6" t="s">
        <v>2431</v>
      </c>
      <c r="C381" s="7">
        <v>46217</v>
      </c>
      <c r="D381" s="9" t="s">
        <v>500</v>
      </c>
      <c r="E381" s="8" t="s">
        <v>3</v>
      </c>
      <c r="F381" s="9" t="s">
        <v>242</v>
      </c>
      <c r="G381" s="9">
        <v>1</v>
      </c>
      <c r="H381" s="6" t="s">
        <v>1306</v>
      </c>
      <c r="I381" s="9" t="s">
        <v>609</v>
      </c>
      <c r="J381" s="9" t="s">
        <v>145</v>
      </c>
    </row>
    <row r="382" spans="1:10">
      <c r="A382" s="5" t="s">
        <v>882</v>
      </c>
      <c r="B382" s="6" t="s">
        <v>2431</v>
      </c>
      <c r="C382" s="7">
        <v>46217</v>
      </c>
      <c r="D382" s="9" t="s">
        <v>261</v>
      </c>
      <c r="E382" s="8" t="s">
        <v>64</v>
      </c>
      <c r="F382" s="9" t="s">
        <v>242</v>
      </c>
      <c r="G382" s="9">
        <v>3</v>
      </c>
      <c r="H382" s="6" t="s">
        <v>1306</v>
      </c>
      <c r="I382" s="9" t="s">
        <v>609</v>
      </c>
      <c r="J382" s="9" t="s">
        <v>145</v>
      </c>
    </row>
    <row r="383" spans="1:10">
      <c r="A383" s="5" t="s">
        <v>884</v>
      </c>
      <c r="B383" s="6" t="s">
        <v>2431</v>
      </c>
      <c r="C383" s="7">
        <v>46217</v>
      </c>
      <c r="D383" s="9" t="s">
        <v>270</v>
      </c>
      <c r="E383" s="8" t="s">
        <v>271</v>
      </c>
      <c r="F383" s="9" t="s">
        <v>242</v>
      </c>
      <c r="G383" s="9">
        <v>3</v>
      </c>
      <c r="H383" s="6" t="s">
        <v>1306</v>
      </c>
      <c r="I383" s="9" t="s">
        <v>609</v>
      </c>
      <c r="J383" s="9" t="s">
        <v>145</v>
      </c>
    </row>
    <row r="384" spans="1:10">
      <c r="A384" s="5" t="s">
        <v>886</v>
      </c>
      <c r="B384" s="6" t="s">
        <v>2432</v>
      </c>
      <c r="C384" s="7">
        <v>46217</v>
      </c>
      <c r="D384" s="9" t="s">
        <v>261</v>
      </c>
      <c r="E384" s="8" t="s">
        <v>62</v>
      </c>
      <c r="F384" s="9" t="s">
        <v>242</v>
      </c>
      <c r="G384" s="9">
        <v>9</v>
      </c>
      <c r="H384" s="6" t="s">
        <v>722</v>
      </c>
      <c r="I384" s="9" t="s">
        <v>1546</v>
      </c>
      <c r="J384" s="9" t="s">
        <v>145</v>
      </c>
    </row>
    <row r="385" spans="1:10">
      <c r="A385" s="5" t="s">
        <v>887</v>
      </c>
      <c r="B385" s="6" t="s">
        <v>2432</v>
      </c>
      <c r="C385" s="7">
        <v>46217</v>
      </c>
      <c r="D385" s="9" t="s">
        <v>261</v>
      </c>
      <c r="E385" s="8" t="s">
        <v>281</v>
      </c>
      <c r="F385" s="9" t="s">
        <v>242</v>
      </c>
      <c r="G385" s="9">
        <v>3</v>
      </c>
      <c r="H385" s="6" t="s">
        <v>722</v>
      </c>
      <c r="I385" s="9" t="s">
        <v>1546</v>
      </c>
      <c r="J385" s="9" t="s">
        <v>145</v>
      </c>
    </row>
    <row r="386" spans="1:10">
      <c r="A386" s="5" t="s">
        <v>889</v>
      </c>
      <c r="B386" s="6" t="s">
        <v>2433</v>
      </c>
      <c r="C386" s="7">
        <v>46217</v>
      </c>
      <c r="D386" s="9" t="s">
        <v>500</v>
      </c>
      <c r="E386" s="8" t="s">
        <v>48</v>
      </c>
      <c r="F386" s="9" t="s">
        <v>242</v>
      </c>
      <c r="G386" s="9">
        <v>1</v>
      </c>
      <c r="H386" s="6" t="s">
        <v>688</v>
      </c>
      <c r="I386" s="9" t="s">
        <v>258</v>
      </c>
      <c r="J386" s="9" t="s">
        <v>145</v>
      </c>
    </row>
    <row r="387" spans="1:10">
      <c r="A387" s="5" t="s">
        <v>891</v>
      </c>
      <c r="B387" s="6" t="s">
        <v>2433</v>
      </c>
      <c r="C387" s="7">
        <v>46217</v>
      </c>
      <c r="D387" s="9" t="s">
        <v>270</v>
      </c>
      <c r="E387" s="8" t="s">
        <v>271</v>
      </c>
      <c r="F387" s="9" t="s">
        <v>242</v>
      </c>
      <c r="G387" s="9">
        <v>2</v>
      </c>
      <c r="H387" s="6" t="s">
        <v>688</v>
      </c>
      <c r="I387" s="9" t="s">
        <v>258</v>
      </c>
      <c r="J387" s="9" t="s">
        <v>145</v>
      </c>
    </row>
    <row r="388" spans="1:10">
      <c r="A388" s="5" t="s">
        <v>893</v>
      </c>
      <c r="B388" s="6" t="s">
        <v>2433</v>
      </c>
      <c r="C388" s="7">
        <v>46217</v>
      </c>
      <c r="D388" s="9" t="s">
        <v>503</v>
      </c>
      <c r="E388" s="8" t="s">
        <v>162</v>
      </c>
      <c r="F388" s="9" t="s">
        <v>242</v>
      </c>
      <c r="G388" s="9">
        <v>1</v>
      </c>
      <c r="H388" s="6" t="s">
        <v>688</v>
      </c>
      <c r="I388" s="9" t="s">
        <v>258</v>
      </c>
      <c r="J388" s="9" t="s">
        <v>145</v>
      </c>
    </row>
    <row r="389" spans="1:10">
      <c r="A389" s="5" t="s">
        <v>895</v>
      </c>
      <c r="B389" s="6" t="s">
        <v>2434</v>
      </c>
      <c r="C389" s="7">
        <v>46217</v>
      </c>
      <c r="D389" s="9" t="s">
        <v>500</v>
      </c>
      <c r="E389" s="4" t="s">
        <v>50</v>
      </c>
      <c r="F389" s="9" t="s">
        <v>242</v>
      </c>
      <c r="G389" s="9">
        <v>1</v>
      </c>
      <c r="H389" s="6" t="s">
        <v>693</v>
      </c>
      <c r="I389" s="9" t="s">
        <v>258</v>
      </c>
      <c r="J389" s="9" t="s">
        <v>145</v>
      </c>
    </row>
    <row r="390" spans="1:10">
      <c r="A390" s="5" t="s">
        <v>897</v>
      </c>
      <c r="B390" s="6" t="s">
        <v>2434</v>
      </c>
      <c r="C390" s="7">
        <v>46217</v>
      </c>
      <c r="D390" s="9" t="s">
        <v>270</v>
      </c>
      <c r="E390" s="8" t="s">
        <v>271</v>
      </c>
      <c r="F390" s="9" t="s">
        <v>242</v>
      </c>
      <c r="G390" s="9">
        <v>2</v>
      </c>
      <c r="H390" s="6" t="s">
        <v>693</v>
      </c>
      <c r="I390" s="9" t="s">
        <v>258</v>
      </c>
      <c r="J390" s="9" t="s">
        <v>145</v>
      </c>
    </row>
    <row r="391" spans="1:10">
      <c r="A391" s="5" t="s">
        <v>899</v>
      </c>
      <c r="B391" s="6" t="s">
        <v>2435</v>
      </c>
      <c r="C391" s="7">
        <v>46218</v>
      </c>
      <c r="D391" s="9" t="s">
        <v>261</v>
      </c>
      <c r="E391" s="8" t="s">
        <v>62</v>
      </c>
      <c r="F391" s="9" t="s">
        <v>242</v>
      </c>
      <c r="G391" s="9">
        <v>2</v>
      </c>
      <c r="H391" s="6" t="s">
        <v>2033</v>
      </c>
      <c r="I391" s="9" t="s">
        <v>275</v>
      </c>
      <c r="J391" s="9" t="s">
        <v>145</v>
      </c>
    </row>
    <row r="392" spans="1:10">
      <c r="A392" s="5" t="s">
        <v>900</v>
      </c>
      <c r="B392" s="6" t="s">
        <v>2436</v>
      </c>
      <c r="C392" s="7">
        <v>46218</v>
      </c>
      <c r="D392" s="9" t="s">
        <v>500</v>
      </c>
      <c r="E392" s="8" t="s">
        <v>51</v>
      </c>
      <c r="F392" s="9" t="s">
        <v>242</v>
      </c>
      <c r="G392" s="9">
        <v>1</v>
      </c>
      <c r="H392" s="6" t="s">
        <v>2437</v>
      </c>
      <c r="I392" s="9" t="s">
        <v>484</v>
      </c>
      <c r="J392" s="9" t="s">
        <v>145</v>
      </c>
    </row>
    <row r="393" spans="1:10">
      <c r="A393" s="5" t="s">
        <v>901</v>
      </c>
      <c r="B393" s="6" t="s">
        <v>2436</v>
      </c>
      <c r="C393" s="7">
        <v>46218</v>
      </c>
      <c r="D393" s="9" t="s">
        <v>261</v>
      </c>
      <c r="E393" s="8" t="s">
        <v>64</v>
      </c>
      <c r="F393" s="9" t="s">
        <v>242</v>
      </c>
      <c r="G393" s="9">
        <v>2</v>
      </c>
      <c r="H393" s="6" t="s">
        <v>2437</v>
      </c>
      <c r="I393" s="9" t="s">
        <v>484</v>
      </c>
      <c r="J393" s="9" t="s">
        <v>145</v>
      </c>
    </row>
    <row r="394" spans="1:10">
      <c r="A394" s="5" t="s">
        <v>903</v>
      </c>
      <c r="B394" s="6" t="s">
        <v>2436</v>
      </c>
      <c r="C394" s="7">
        <v>46218</v>
      </c>
      <c r="D394" s="9" t="s">
        <v>270</v>
      </c>
      <c r="E394" s="8" t="s">
        <v>271</v>
      </c>
      <c r="F394" s="9" t="s">
        <v>242</v>
      </c>
      <c r="G394" s="9">
        <v>2</v>
      </c>
      <c r="H394" s="6" t="s">
        <v>2437</v>
      </c>
      <c r="I394" s="9" t="s">
        <v>484</v>
      </c>
      <c r="J394" s="9" t="s">
        <v>145</v>
      </c>
    </row>
    <row r="395" spans="1:10">
      <c r="A395" s="5" t="s">
        <v>907</v>
      </c>
      <c r="B395" s="6" t="s">
        <v>2438</v>
      </c>
      <c r="C395" s="7">
        <v>46218</v>
      </c>
      <c r="D395" s="9" t="s">
        <v>500</v>
      </c>
      <c r="E395" s="8" t="s">
        <v>51</v>
      </c>
      <c r="F395" s="9" t="s">
        <v>242</v>
      </c>
      <c r="G395" s="9">
        <v>1</v>
      </c>
      <c r="H395" s="6" t="s">
        <v>2012</v>
      </c>
      <c r="I395" s="9" t="s">
        <v>363</v>
      </c>
      <c r="J395" s="9" t="s">
        <v>145</v>
      </c>
    </row>
    <row r="396" spans="1:10">
      <c r="A396" s="5" t="s">
        <v>1530</v>
      </c>
      <c r="B396" s="6" t="s">
        <v>2438</v>
      </c>
      <c r="C396" s="7">
        <v>46218</v>
      </c>
      <c r="D396" s="9" t="s">
        <v>261</v>
      </c>
      <c r="E396" s="8" t="s">
        <v>64</v>
      </c>
      <c r="F396" s="9" t="s">
        <v>242</v>
      </c>
      <c r="G396" s="9">
        <v>2</v>
      </c>
      <c r="H396" s="6" t="s">
        <v>2012</v>
      </c>
      <c r="I396" s="9" t="s">
        <v>363</v>
      </c>
      <c r="J396" s="9" t="s">
        <v>145</v>
      </c>
    </row>
    <row r="397" spans="1:10">
      <c r="A397" s="5" t="s">
        <v>1532</v>
      </c>
      <c r="B397" s="6" t="s">
        <v>2438</v>
      </c>
      <c r="C397" s="7">
        <v>46218</v>
      </c>
      <c r="D397" s="9" t="s">
        <v>270</v>
      </c>
      <c r="E397" s="8" t="s">
        <v>271</v>
      </c>
      <c r="F397" s="9" t="s">
        <v>242</v>
      </c>
      <c r="G397" s="9">
        <v>2</v>
      </c>
      <c r="H397" s="6" t="s">
        <v>2012</v>
      </c>
      <c r="I397" s="9" t="s">
        <v>363</v>
      </c>
      <c r="J397" s="9" t="s">
        <v>145</v>
      </c>
    </row>
    <row r="398" spans="1:10">
      <c r="A398" s="5" t="s">
        <v>1533</v>
      </c>
      <c r="B398" s="6" t="s">
        <v>2439</v>
      </c>
      <c r="C398" s="7">
        <v>46219</v>
      </c>
      <c r="D398" s="9" t="s">
        <v>500</v>
      </c>
      <c r="E398" s="8" t="s">
        <v>51</v>
      </c>
      <c r="F398" s="9" t="s">
        <v>242</v>
      </c>
      <c r="G398" s="9">
        <v>1</v>
      </c>
      <c r="H398" s="6" t="s">
        <v>693</v>
      </c>
      <c r="I398" s="9" t="s">
        <v>484</v>
      </c>
      <c r="J398" s="9" t="s">
        <v>145</v>
      </c>
    </row>
    <row r="399" spans="1:10">
      <c r="A399" s="5" t="s">
        <v>1534</v>
      </c>
      <c r="B399" s="6" t="s">
        <v>2439</v>
      </c>
      <c r="C399" s="7">
        <v>46219</v>
      </c>
      <c r="D399" s="9" t="s">
        <v>270</v>
      </c>
      <c r="E399" s="8" t="s">
        <v>271</v>
      </c>
      <c r="F399" s="9" t="s">
        <v>242</v>
      </c>
      <c r="G399" s="9">
        <v>2</v>
      </c>
      <c r="H399" s="6" t="s">
        <v>693</v>
      </c>
      <c r="I399" s="9" t="s">
        <v>484</v>
      </c>
      <c r="J399" s="9" t="s">
        <v>145</v>
      </c>
    </row>
    <row r="400" spans="1:10">
      <c r="A400" s="5" t="s">
        <v>1537</v>
      </c>
      <c r="B400" s="6" t="s">
        <v>2440</v>
      </c>
      <c r="C400" s="7">
        <v>46219</v>
      </c>
      <c r="D400" s="9" t="s">
        <v>261</v>
      </c>
      <c r="E400" s="8" t="s">
        <v>62</v>
      </c>
      <c r="F400" s="9" t="s">
        <v>242</v>
      </c>
      <c r="G400" s="9">
        <v>2</v>
      </c>
      <c r="H400" s="6" t="s">
        <v>722</v>
      </c>
      <c r="I400" s="9" t="s">
        <v>609</v>
      </c>
      <c r="J400" s="9" t="s">
        <v>145</v>
      </c>
    </row>
    <row r="401" spans="1:10">
      <c r="A401" s="5" t="s">
        <v>1720</v>
      </c>
      <c r="B401" s="6" t="s">
        <v>2441</v>
      </c>
      <c r="C401" s="7">
        <v>46223</v>
      </c>
      <c r="D401" s="9" t="s">
        <v>500</v>
      </c>
      <c r="E401" s="8" t="s">
        <v>4</v>
      </c>
      <c r="F401" s="9" t="s">
        <v>242</v>
      </c>
      <c r="G401" s="9">
        <v>1</v>
      </c>
      <c r="H401" s="6" t="s">
        <v>866</v>
      </c>
      <c r="I401" s="9" t="s">
        <v>388</v>
      </c>
      <c r="J401" s="9" t="s">
        <v>145</v>
      </c>
    </row>
    <row r="402" spans="1:10">
      <c r="A402" s="5" t="s">
        <v>1721</v>
      </c>
      <c r="B402" s="6" t="s">
        <v>2442</v>
      </c>
      <c r="C402" s="7">
        <v>46223</v>
      </c>
      <c r="D402" s="9" t="s">
        <v>500</v>
      </c>
      <c r="E402" s="8" t="s">
        <v>53</v>
      </c>
      <c r="F402" s="9" t="s">
        <v>242</v>
      </c>
      <c r="G402" s="9">
        <v>1</v>
      </c>
      <c r="H402" s="6" t="s">
        <v>693</v>
      </c>
      <c r="I402" s="9" t="s">
        <v>388</v>
      </c>
      <c r="J402" s="9" t="s">
        <v>145</v>
      </c>
    </row>
    <row r="403" spans="1:10">
      <c r="A403" s="5" t="s">
        <v>1722</v>
      </c>
      <c r="B403" s="6" t="s">
        <v>2442</v>
      </c>
      <c r="C403" s="7">
        <v>46223</v>
      </c>
      <c r="D403" s="9" t="s">
        <v>270</v>
      </c>
      <c r="E403" s="8" t="s">
        <v>271</v>
      </c>
      <c r="F403" s="9" t="s">
        <v>242</v>
      </c>
      <c r="G403" s="9">
        <v>1</v>
      </c>
      <c r="H403" s="6" t="s">
        <v>693</v>
      </c>
      <c r="I403" s="9" t="s">
        <v>388</v>
      </c>
      <c r="J403" s="9" t="s">
        <v>145</v>
      </c>
    </row>
    <row r="404" spans="1:10">
      <c r="A404" s="5" t="s">
        <v>1724</v>
      </c>
      <c r="B404" s="6" t="s">
        <v>2443</v>
      </c>
      <c r="C404" s="7">
        <v>46223</v>
      </c>
      <c r="D404" s="9" t="s">
        <v>261</v>
      </c>
      <c r="E404" s="8" t="s">
        <v>62</v>
      </c>
      <c r="F404" s="9" t="s">
        <v>242</v>
      </c>
      <c r="G404" s="9">
        <v>5</v>
      </c>
      <c r="H404" s="6" t="s">
        <v>722</v>
      </c>
      <c r="I404" s="9" t="s">
        <v>616</v>
      </c>
      <c r="J404" s="9" t="s">
        <v>145</v>
      </c>
    </row>
    <row r="405" spans="1:10">
      <c r="A405" s="5" t="s">
        <v>1726</v>
      </c>
      <c r="B405" s="6" t="s">
        <v>2444</v>
      </c>
      <c r="C405" s="7">
        <v>46223</v>
      </c>
      <c r="D405" s="9" t="s">
        <v>500</v>
      </c>
      <c r="E405" s="4" t="s">
        <v>53</v>
      </c>
      <c r="F405" s="9" t="s">
        <v>242</v>
      </c>
      <c r="G405" s="9">
        <v>1</v>
      </c>
      <c r="H405" s="6" t="s">
        <v>2445</v>
      </c>
      <c r="I405" s="9" t="s">
        <v>1546</v>
      </c>
      <c r="J405" s="9" t="s">
        <v>145</v>
      </c>
    </row>
    <row r="406" spans="1:10">
      <c r="A406" s="5" t="s">
        <v>1727</v>
      </c>
      <c r="B406" s="6" t="s">
        <v>2444</v>
      </c>
      <c r="C406" s="7">
        <v>46223</v>
      </c>
      <c r="D406" s="9" t="s">
        <v>261</v>
      </c>
      <c r="E406" s="8" t="s">
        <v>62</v>
      </c>
      <c r="F406" s="9" t="s">
        <v>242</v>
      </c>
      <c r="G406" s="9">
        <v>8</v>
      </c>
      <c r="H406" s="6" t="s">
        <v>2445</v>
      </c>
      <c r="I406" s="9" t="s">
        <v>1546</v>
      </c>
      <c r="J406" s="9" t="s">
        <v>145</v>
      </c>
    </row>
    <row r="407" spans="1:10">
      <c r="A407" s="5" t="s">
        <v>1728</v>
      </c>
      <c r="B407" s="6" t="s">
        <v>2444</v>
      </c>
      <c r="C407" s="7">
        <v>46223</v>
      </c>
      <c r="D407" s="9" t="s">
        <v>270</v>
      </c>
      <c r="E407" s="8" t="s">
        <v>271</v>
      </c>
      <c r="F407" s="9" t="s">
        <v>242</v>
      </c>
      <c r="G407" s="9">
        <v>1</v>
      </c>
      <c r="H407" s="6" t="s">
        <v>2445</v>
      </c>
      <c r="I407" s="9" t="s">
        <v>1546</v>
      </c>
      <c r="J407" s="9" t="s">
        <v>145</v>
      </c>
    </row>
    <row r="408" spans="1:10">
      <c r="A408" s="5" t="s">
        <v>1730</v>
      </c>
      <c r="B408" s="6" t="s">
        <v>2446</v>
      </c>
      <c r="C408" s="7">
        <v>46223</v>
      </c>
      <c r="D408" s="9" t="s">
        <v>696</v>
      </c>
      <c r="E408" s="4" t="s">
        <v>87</v>
      </c>
      <c r="F408" s="9" t="s">
        <v>242</v>
      </c>
      <c r="G408" s="9">
        <v>35</v>
      </c>
      <c r="H408" s="6" t="s">
        <v>2400</v>
      </c>
      <c r="I408" s="9" t="s">
        <v>1280</v>
      </c>
      <c r="J408" s="9" t="s">
        <v>145</v>
      </c>
    </row>
    <row r="409" spans="1:10">
      <c r="A409" s="5" t="s">
        <v>1731</v>
      </c>
      <c r="B409" s="6" t="s">
        <v>2446</v>
      </c>
      <c r="C409" s="7">
        <v>46223</v>
      </c>
      <c r="D409" s="9" t="s">
        <v>261</v>
      </c>
      <c r="E409" s="8" t="s">
        <v>62</v>
      </c>
      <c r="F409" s="9" t="s">
        <v>242</v>
      </c>
      <c r="G409" s="9">
        <v>2</v>
      </c>
      <c r="H409" s="6" t="s">
        <v>2400</v>
      </c>
      <c r="I409" s="9" t="s">
        <v>1280</v>
      </c>
      <c r="J409" s="9" t="s">
        <v>145</v>
      </c>
    </row>
    <row r="410" spans="1:10">
      <c r="A410" s="5" t="s">
        <v>1733</v>
      </c>
      <c r="B410" s="6" t="s">
        <v>2447</v>
      </c>
      <c r="C410" s="7">
        <v>46223</v>
      </c>
      <c r="D410" s="9" t="s">
        <v>500</v>
      </c>
      <c r="E410" s="8" t="s">
        <v>51</v>
      </c>
      <c r="F410" s="9" t="s">
        <v>242</v>
      </c>
      <c r="G410" s="9">
        <v>1</v>
      </c>
      <c r="H410" s="6" t="s">
        <v>2448</v>
      </c>
      <c r="I410" s="9" t="s">
        <v>628</v>
      </c>
      <c r="J410" s="9" t="s">
        <v>145</v>
      </c>
    </row>
    <row r="411" spans="1:10">
      <c r="A411" s="5" t="s">
        <v>1735</v>
      </c>
      <c r="B411" s="6" t="s">
        <v>2447</v>
      </c>
      <c r="C411" s="7">
        <v>46223</v>
      </c>
      <c r="D411" s="9" t="s">
        <v>261</v>
      </c>
      <c r="E411" s="4" t="s">
        <v>62</v>
      </c>
      <c r="F411" s="9" t="s">
        <v>242</v>
      </c>
      <c r="G411" s="9">
        <v>9</v>
      </c>
      <c r="H411" s="6" t="s">
        <v>2448</v>
      </c>
      <c r="I411" s="9" t="s">
        <v>628</v>
      </c>
      <c r="J411" s="9" t="s">
        <v>145</v>
      </c>
    </row>
    <row r="412" spans="1:10">
      <c r="A412" s="5" t="s">
        <v>1736</v>
      </c>
      <c r="B412" s="6" t="s">
        <v>2449</v>
      </c>
      <c r="C412" s="7">
        <v>46223</v>
      </c>
      <c r="D412" s="9" t="s">
        <v>500</v>
      </c>
      <c r="E412" s="8" t="s">
        <v>52</v>
      </c>
      <c r="F412" s="9" t="s">
        <v>242</v>
      </c>
      <c r="G412" s="9">
        <v>1</v>
      </c>
      <c r="H412" s="6" t="s">
        <v>693</v>
      </c>
      <c r="I412" s="9" t="s">
        <v>266</v>
      </c>
      <c r="J412" s="9" t="s">
        <v>145</v>
      </c>
    </row>
    <row r="413" spans="1:10">
      <c r="A413" s="5" t="s">
        <v>1738</v>
      </c>
      <c r="B413" s="6" t="s">
        <v>2449</v>
      </c>
      <c r="C413" s="7">
        <v>46223</v>
      </c>
      <c r="D413" s="9" t="s">
        <v>500</v>
      </c>
      <c r="E413" s="8" t="s">
        <v>53</v>
      </c>
      <c r="F413" s="9" t="s">
        <v>242</v>
      </c>
      <c r="G413" s="9">
        <v>1</v>
      </c>
      <c r="H413" s="6" t="s">
        <v>693</v>
      </c>
      <c r="I413" s="9" t="s">
        <v>266</v>
      </c>
      <c r="J413" s="9" t="s">
        <v>145</v>
      </c>
    </row>
    <row r="414" spans="1:10">
      <c r="A414" s="5" t="s">
        <v>1740</v>
      </c>
      <c r="B414" s="6" t="s">
        <v>2450</v>
      </c>
      <c r="C414" s="7">
        <v>46224</v>
      </c>
      <c r="D414" s="9" t="s">
        <v>261</v>
      </c>
      <c r="E414" s="8" t="s">
        <v>62</v>
      </c>
      <c r="F414" s="9" t="s">
        <v>242</v>
      </c>
      <c r="G414" s="9">
        <v>12</v>
      </c>
      <c r="H414" s="6" t="s">
        <v>2391</v>
      </c>
      <c r="I414" s="9" t="s">
        <v>253</v>
      </c>
      <c r="J414" s="9" t="s">
        <v>145</v>
      </c>
    </row>
    <row r="415" spans="1:10">
      <c r="A415" s="5" t="s">
        <v>1742</v>
      </c>
      <c r="B415" s="6" t="s">
        <v>2451</v>
      </c>
      <c r="C415" s="7">
        <v>46224</v>
      </c>
      <c r="D415" s="9" t="s">
        <v>500</v>
      </c>
      <c r="E415" s="8" t="s">
        <v>52</v>
      </c>
      <c r="F415" s="9" t="s">
        <v>242</v>
      </c>
      <c r="G415" s="9">
        <v>1</v>
      </c>
      <c r="H415" s="6" t="s">
        <v>693</v>
      </c>
      <c r="I415" s="9" t="s">
        <v>388</v>
      </c>
      <c r="J415" s="9" t="s">
        <v>145</v>
      </c>
    </row>
    <row r="416" spans="1:10">
      <c r="A416" s="5" t="s">
        <v>1744</v>
      </c>
      <c r="B416" s="6" t="s">
        <v>2451</v>
      </c>
      <c r="C416" s="7">
        <v>46224</v>
      </c>
      <c r="D416" s="9" t="s">
        <v>500</v>
      </c>
      <c r="E416" s="8" t="s">
        <v>53</v>
      </c>
      <c r="F416" s="9" t="s">
        <v>242</v>
      </c>
      <c r="G416" s="9">
        <v>1</v>
      </c>
      <c r="H416" s="6" t="s">
        <v>693</v>
      </c>
      <c r="I416" s="9" t="s">
        <v>388</v>
      </c>
      <c r="J416" s="9" t="s">
        <v>145</v>
      </c>
    </row>
    <row r="417" spans="1:10">
      <c r="A417" s="5" t="s">
        <v>1745</v>
      </c>
      <c r="B417" s="6" t="s">
        <v>2451</v>
      </c>
      <c r="C417" s="7">
        <v>46224</v>
      </c>
      <c r="D417" s="9" t="s">
        <v>261</v>
      </c>
      <c r="E417" s="4" t="s">
        <v>63</v>
      </c>
      <c r="F417" s="9" t="s">
        <v>242</v>
      </c>
      <c r="G417" s="9">
        <v>3</v>
      </c>
      <c r="H417" s="6" t="s">
        <v>693</v>
      </c>
      <c r="I417" s="9" t="s">
        <v>388</v>
      </c>
      <c r="J417" s="9" t="s">
        <v>145</v>
      </c>
    </row>
    <row r="418" spans="1:10">
      <c r="A418" s="5" t="s">
        <v>1746</v>
      </c>
      <c r="B418" s="6" t="s">
        <v>2451</v>
      </c>
      <c r="C418" s="7">
        <v>46224</v>
      </c>
      <c r="D418" s="9" t="s">
        <v>270</v>
      </c>
      <c r="E418" s="8" t="s">
        <v>68</v>
      </c>
      <c r="F418" s="9" t="s">
        <v>242</v>
      </c>
      <c r="G418" s="9">
        <v>3</v>
      </c>
      <c r="H418" s="6" t="s">
        <v>693</v>
      </c>
      <c r="I418" s="9" t="s">
        <v>388</v>
      </c>
      <c r="J418" s="9" t="s">
        <v>145</v>
      </c>
    </row>
    <row r="419" spans="1:10">
      <c r="A419" s="5" t="s">
        <v>1747</v>
      </c>
      <c r="B419" s="6" t="s">
        <v>2451</v>
      </c>
      <c r="C419" s="7">
        <v>46224</v>
      </c>
      <c r="D419" s="9" t="s">
        <v>261</v>
      </c>
      <c r="E419" s="8" t="s">
        <v>62</v>
      </c>
      <c r="F419" s="9" t="s">
        <v>242</v>
      </c>
      <c r="G419" s="9">
        <v>10</v>
      </c>
      <c r="H419" s="6" t="s">
        <v>693</v>
      </c>
      <c r="I419" s="9" t="s">
        <v>388</v>
      </c>
      <c r="J419" s="9" t="s">
        <v>145</v>
      </c>
    </row>
    <row r="420" spans="1:10">
      <c r="A420" s="5" t="s">
        <v>1748</v>
      </c>
      <c r="B420" s="6" t="s">
        <v>1697</v>
      </c>
      <c r="C420" s="7">
        <v>46224</v>
      </c>
      <c r="D420" s="9" t="s">
        <v>500</v>
      </c>
      <c r="E420" s="8" t="s">
        <v>3</v>
      </c>
      <c r="F420" s="9" t="s">
        <v>242</v>
      </c>
      <c r="G420" s="9">
        <v>1</v>
      </c>
      <c r="H420" s="6" t="s">
        <v>1306</v>
      </c>
      <c r="I420" s="9" t="s">
        <v>609</v>
      </c>
      <c r="J420" s="9" t="s">
        <v>145</v>
      </c>
    </row>
    <row r="421" spans="1:10">
      <c r="A421" s="5" t="s">
        <v>1750</v>
      </c>
      <c r="B421" s="6" t="s">
        <v>1697</v>
      </c>
      <c r="C421" s="7">
        <v>46224</v>
      </c>
      <c r="D421" s="9" t="s">
        <v>261</v>
      </c>
      <c r="E421" s="8" t="s">
        <v>64</v>
      </c>
      <c r="F421" s="9" t="s">
        <v>242</v>
      </c>
      <c r="G421" s="9">
        <v>3</v>
      </c>
      <c r="H421" s="6" t="s">
        <v>1306</v>
      </c>
      <c r="I421" s="9" t="s">
        <v>609</v>
      </c>
      <c r="J421" s="9" t="s">
        <v>145</v>
      </c>
    </row>
    <row r="422" spans="1:10">
      <c r="A422" s="5" t="s">
        <v>1751</v>
      </c>
      <c r="B422" s="6" t="s">
        <v>1697</v>
      </c>
      <c r="C422" s="7">
        <v>46224</v>
      </c>
      <c r="D422" s="9" t="s">
        <v>270</v>
      </c>
      <c r="E422" s="8" t="s">
        <v>271</v>
      </c>
      <c r="F422" s="9" t="s">
        <v>242</v>
      </c>
      <c r="G422" s="9">
        <v>3</v>
      </c>
      <c r="H422" s="6" t="s">
        <v>1306</v>
      </c>
      <c r="I422" s="9" t="s">
        <v>609</v>
      </c>
      <c r="J422" s="9" t="s">
        <v>145</v>
      </c>
    </row>
    <row r="423" spans="1:10">
      <c r="A423" s="5" t="s">
        <v>1752</v>
      </c>
      <c r="B423" s="6" t="s">
        <v>2452</v>
      </c>
      <c r="C423" s="7">
        <v>46225</v>
      </c>
      <c r="D423" s="9" t="s">
        <v>500</v>
      </c>
      <c r="E423" s="8" t="s">
        <v>4</v>
      </c>
      <c r="F423" s="9" t="s">
        <v>242</v>
      </c>
      <c r="G423" s="9">
        <v>2</v>
      </c>
      <c r="H423" s="6" t="s">
        <v>866</v>
      </c>
      <c r="I423" s="9" t="s">
        <v>258</v>
      </c>
      <c r="J423" s="9" t="s">
        <v>145</v>
      </c>
    </row>
    <row r="424" spans="1:10">
      <c r="A424" s="5" t="s">
        <v>1753</v>
      </c>
      <c r="B424" s="6" t="s">
        <v>2452</v>
      </c>
      <c r="C424" s="7">
        <v>46225</v>
      </c>
      <c r="D424" s="9" t="s">
        <v>270</v>
      </c>
      <c r="E424" s="8" t="s">
        <v>271</v>
      </c>
      <c r="F424" s="9" t="s">
        <v>242</v>
      </c>
      <c r="G424" s="9">
        <v>6</v>
      </c>
      <c r="H424" s="6" t="s">
        <v>866</v>
      </c>
      <c r="I424" s="9" t="s">
        <v>258</v>
      </c>
      <c r="J424" s="9" t="s">
        <v>145</v>
      </c>
    </row>
    <row r="425" spans="1:10">
      <c r="A425" s="5" t="s">
        <v>1755</v>
      </c>
      <c r="B425" s="6" t="s">
        <v>2453</v>
      </c>
      <c r="C425" s="7">
        <v>46225</v>
      </c>
      <c r="D425" s="9" t="s">
        <v>696</v>
      </c>
      <c r="E425" s="8" t="s">
        <v>87</v>
      </c>
      <c r="F425" s="9" t="s">
        <v>242</v>
      </c>
      <c r="G425" s="9">
        <v>30</v>
      </c>
      <c r="H425" s="6" t="s">
        <v>2454</v>
      </c>
      <c r="I425" s="9" t="s">
        <v>514</v>
      </c>
      <c r="J425" s="9" t="s">
        <v>145</v>
      </c>
    </row>
    <row r="426" spans="1:10">
      <c r="A426" s="5" t="s">
        <v>1756</v>
      </c>
      <c r="B426" s="6" t="s">
        <v>2453</v>
      </c>
      <c r="C426" s="7">
        <v>46225</v>
      </c>
      <c r="D426" s="9" t="s">
        <v>261</v>
      </c>
      <c r="E426" s="8" t="s">
        <v>62</v>
      </c>
      <c r="F426" s="9" t="s">
        <v>242</v>
      </c>
      <c r="G426" s="9">
        <v>3</v>
      </c>
      <c r="H426" s="6" t="s">
        <v>2454</v>
      </c>
      <c r="I426" s="9" t="s">
        <v>514</v>
      </c>
      <c r="J426" s="9" t="s">
        <v>145</v>
      </c>
    </row>
    <row r="427" spans="1:10">
      <c r="A427" s="5" t="s">
        <v>1757</v>
      </c>
      <c r="B427" s="6" t="s">
        <v>2455</v>
      </c>
      <c r="C427" s="7">
        <v>46225</v>
      </c>
      <c r="D427" s="9" t="s">
        <v>261</v>
      </c>
      <c r="E427" s="8" t="s">
        <v>62</v>
      </c>
      <c r="F427" s="9" t="s">
        <v>242</v>
      </c>
      <c r="G427" s="9">
        <v>2</v>
      </c>
      <c r="H427" s="6" t="s">
        <v>722</v>
      </c>
      <c r="I427" s="9" t="s">
        <v>514</v>
      </c>
      <c r="J427" s="9" t="s">
        <v>145</v>
      </c>
    </row>
    <row r="428" spans="1:10">
      <c r="A428" s="5" t="s">
        <v>1758</v>
      </c>
      <c r="B428" s="6" t="s">
        <v>2456</v>
      </c>
      <c r="C428" s="7">
        <v>46225</v>
      </c>
      <c r="D428" s="9" t="s">
        <v>261</v>
      </c>
      <c r="E428" s="8" t="s">
        <v>62</v>
      </c>
      <c r="F428" s="9" t="s">
        <v>242</v>
      </c>
      <c r="G428" s="9">
        <v>2</v>
      </c>
      <c r="H428" s="6" t="s">
        <v>722</v>
      </c>
      <c r="I428" s="9" t="s">
        <v>514</v>
      </c>
      <c r="J428" s="9" t="s">
        <v>145</v>
      </c>
    </row>
    <row r="429" spans="1:10">
      <c r="A429" s="5" t="s">
        <v>1760</v>
      </c>
      <c r="B429" s="6" t="s">
        <v>2457</v>
      </c>
      <c r="C429" s="7">
        <v>46225</v>
      </c>
      <c r="D429" s="9" t="s">
        <v>500</v>
      </c>
      <c r="E429" s="8" t="s">
        <v>53</v>
      </c>
      <c r="F429" s="9" t="s">
        <v>242</v>
      </c>
      <c r="G429" s="9">
        <v>1</v>
      </c>
      <c r="H429" s="6" t="s">
        <v>2437</v>
      </c>
      <c r="I429" s="9" t="s">
        <v>258</v>
      </c>
      <c r="J429" s="9" t="s">
        <v>145</v>
      </c>
    </row>
    <row r="430" spans="1:10">
      <c r="A430" s="5" t="s">
        <v>1762</v>
      </c>
      <c r="B430" s="6" t="s">
        <v>2457</v>
      </c>
      <c r="C430" s="7">
        <v>46225</v>
      </c>
      <c r="D430" s="9" t="s">
        <v>261</v>
      </c>
      <c r="E430" s="8" t="s">
        <v>64</v>
      </c>
      <c r="F430" s="9" t="s">
        <v>242</v>
      </c>
      <c r="G430" s="9">
        <v>1</v>
      </c>
      <c r="H430" s="6" t="s">
        <v>2437</v>
      </c>
      <c r="I430" s="9" t="s">
        <v>258</v>
      </c>
      <c r="J430" s="9" t="s">
        <v>145</v>
      </c>
    </row>
    <row r="431" spans="1:10">
      <c r="A431" s="5" t="s">
        <v>1763</v>
      </c>
      <c r="B431" s="6" t="s">
        <v>2457</v>
      </c>
      <c r="C431" s="7">
        <v>46225</v>
      </c>
      <c r="D431" s="9" t="s">
        <v>270</v>
      </c>
      <c r="E431" s="4" t="s">
        <v>271</v>
      </c>
      <c r="F431" s="9" t="s">
        <v>242</v>
      </c>
      <c r="G431" s="9">
        <v>1</v>
      </c>
      <c r="H431" s="6" t="s">
        <v>2437</v>
      </c>
      <c r="I431" s="9" t="s">
        <v>258</v>
      </c>
      <c r="J431" s="9" t="s">
        <v>145</v>
      </c>
    </row>
    <row r="432" spans="1:10">
      <c r="A432" s="5" t="s">
        <v>1764</v>
      </c>
      <c r="B432" s="6" t="s">
        <v>2458</v>
      </c>
      <c r="C432" s="7">
        <v>46225</v>
      </c>
      <c r="D432" s="9" t="s">
        <v>500</v>
      </c>
      <c r="E432" s="8" t="s">
        <v>54</v>
      </c>
      <c r="F432" s="9" t="s">
        <v>242</v>
      </c>
      <c r="G432" s="9">
        <v>1</v>
      </c>
      <c r="H432" s="6" t="s">
        <v>876</v>
      </c>
      <c r="I432" s="9" t="s">
        <v>484</v>
      </c>
      <c r="J432" s="9" t="s">
        <v>145</v>
      </c>
    </row>
    <row r="433" spans="1:10">
      <c r="A433" s="5" t="s">
        <v>1765</v>
      </c>
      <c r="B433" s="6" t="s">
        <v>2459</v>
      </c>
      <c r="C433" s="7">
        <v>46225</v>
      </c>
      <c r="D433" s="9" t="s">
        <v>500</v>
      </c>
      <c r="E433" s="8" t="s">
        <v>53</v>
      </c>
      <c r="F433" s="9" t="s">
        <v>242</v>
      </c>
      <c r="G433" s="9">
        <v>1</v>
      </c>
      <c r="H433" s="6" t="s">
        <v>693</v>
      </c>
      <c r="I433" s="9" t="s">
        <v>311</v>
      </c>
      <c r="J433" s="9" t="s">
        <v>145</v>
      </c>
    </row>
    <row r="434" spans="1:10">
      <c r="A434" s="5" t="s">
        <v>1768</v>
      </c>
      <c r="B434" s="6" t="s">
        <v>2459</v>
      </c>
      <c r="C434" s="7">
        <v>46225</v>
      </c>
      <c r="D434" s="9" t="s">
        <v>261</v>
      </c>
      <c r="E434" s="8" t="s">
        <v>64</v>
      </c>
      <c r="F434" s="9" t="s">
        <v>242</v>
      </c>
      <c r="G434" s="9">
        <v>1</v>
      </c>
      <c r="H434" s="6" t="s">
        <v>693</v>
      </c>
      <c r="I434" s="9" t="s">
        <v>311</v>
      </c>
      <c r="J434" s="9" t="s">
        <v>145</v>
      </c>
    </row>
    <row r="435" spans="1:10">
      <c r="A435" s="5" t="s">
        <v>1769</v>
      </c>
      <c r="B435" s="6" t="s">
        <v>2459</v>
      </c>
      <c r="C435" s="7">
        <v>46225</v>
      </c>
      <c r="D435" s="9" t="s">
        <v>270</v>
      </c>
      <c r="E435" s="8" t="s">
        <v>271</v>
      </c>
      <c r="F435" s="9" t="s">
        <v>242</v>
      </c>
      <c r="G435" s="9">
        <v>1</v>
      </c>
      <c r="H435" s="6" t="s">
        <v>693</v>
      </c>
      <c r="I435" s="9" t="s">
        <v>311</v>
      </c>
      <c r="J435" s="9" t="s">
        <v>145</v>
      </c>
    </row>
    <row r="436" spans="1:10">
      <c r="A436" s="5" t="s">
        <v>1770</v>
      </c>
      <c r="B436" s="6" t="s">
        <v>2460</v>
      </c>
      <c r="C436" s="7">
        <v>46225</v>
      </c>
      <c r="D436" s="9" t="s">
        <v>696</v>
      </c>
      <c r="E436" s="8" t="s">
        <v>87</v>
      </c>
      <c r="F436" s="9" t="s">
        <v>242</v>
      </c>
      <c r="G436" s="9">
        <v>30</v>
      </c>
      <c r="H436" s="6" t="s">
        <v>2461</v>
      </c>
      <c r="I436" s="9" t="s">
        <v>1280</v>
      </c>
      <c r="J436" s="9" t="s">
        <v>145</v>
      </c>
    </row>
    <row r="437" spans="1:10">
      <c r="A437" s="5" t="s">
        <v>1773</v>
      </c>
      <c r="B437" s="6" t="s">
        <v>2460</v>
      </c>
      <c r="C437" s="7">
        <v>46225</v>
      </c>
      <c r="D437" s="9" t="s">
        <v>261</v>
      </c>
      <c r="E437" s="8" t="s">
        <v>62</v>
      </c>
      <c r="F437" s="9" t="s">
        <v>242</v>
      </c>
      <c r="G437" s="9">
        <v>2</v>
      </c>
      <c r="H437" s="6" t="s">
        <v>2461</v>
      </c>
      <c r="I437" s="9" t="s">
        <v>1280</v>
      </c>
      <c r="J437" s="9" t="s">
        <v>145</v>
      </c>
    </row>
    <row r="438" spans="1:10">
      <c r="A438" s="5" t="s">
        <v>1775</v>
      </c>
      <c r="B438" s="6" t="s">
        <v>2462</v>
      </c>
      <c r="C438" s="7">
        <v>46226</v>
      </c>
      <c r="D438" s="9" t="s">
        <v>261</v>
      </c>
      <c r="E438" s="4" t="s">
        <v>62</v>
      </c>
      <c r="F438" s="9" t="s">
        <v>242</v>
      </c>
      <c r="G438" s="9">
        <v>6</v>
      </c>
      <c r="H438" s="6" t="s">
        <v>722</v>
      </c>
      <c r="I438" s="9" t="s">
        <v>253</v>
      </c>
      <c r="J438" s="9" t="s">
        <v>145</v>
      </c>
    </row>
    <row r="439" spans="1:10">
      <c r="A439" s="5" t="s">
        <v>1776</v>
      </c>
      <c r="B439" s="6" t="s">
        <v>2463</v>
      </c>
      <c r="C439" s="7">
        <v>46226</v>
      </c>
      <c r="D439" s="9" t="s">
        <v>500</v>
      </c>
      <c r="E439" s="4" t="s">
        <v>53</v>
      </c>
      <c r="F439" s="9" t="s">
        <v>242</v>
      </c>
      <c r="G439" s="9">
        <v>1</v>
      </c>
      <c r="H439" s="6" t="s">
        <v>693</v>
      </c>
      <c r="I439" s="9" t="s">
        <v>609</v>
      </c>
      <c r="J439" s="9" t="s">
        <v>145</v>
      </c>
    </row>
    <row r="440" spans="1:10">
      <c r="A440" s="5" t="s">
        <v>1777</v>
      </c>
      <c r="B440" s="6" t="s">
        <v>2463</v>
      </c>
      <c r="C440" s="7">
        <v>46226</v>
      </c>
      <c r="D440" s="9" t="s">
        <v>261</v>
      </c>
      <c r="E440" s="8" t="s">
        <v>62</v>
      </c>
      <c r="F440" s="9" t="s">
        <v>242</v>
      </c>
      <c r="G440" s="9">
        <v>2</v>
      </c>
      <c r="H440" s="6" t="s">
        <v>693</v>
      </c>
      <c r="I440" s="9" t="s">
        <v>609</v>
      </c>
      <c r="J440" s="9" t="s">
        <v>145</v>
      </c>
    </row>
    <row r="441" spans="1:10">
      <c r="A441" s="5" t="s">
        <v>1779</v>
      </c>
      <c r="B441" s="6" t="s">
        <v>2464</v>
      </c>
      <c r="C441" s="7">
        <v>46226</v>
      </c>
      <c r="D441" s="9" t="s">
        <v>261</v>
      </c>
      <c r="E441" s="8" t="s">
        <v>62</v>
      </c>
      <c r="F441" s="9" t="s">
        <v>242</v>
      </c>
      <c r="G441" s="9">
        <v>3</v>
      </c>
      <c r="H441" s="6" t="s">
        <v>722</v>
      </c>
      <c r="I441" s="9" t="s">
        <v>514</v>
      </c>
      <c r="J441" s="9" t="s">
        <v>145</v>
      </c>
    </row>
    <row r="442" spans="1:10">
      <c r="A442" s="5" t="s">
        <v>1780</v>
      </c>
      <c r="B442" s="6" t="s">
        <v>2465</v>
      </c>
      <c r="C442" s="7">
        <v>46226</v>
      </c>
      <c r="D442" s="9" t="s">
        <v>500</v>
      </c>
      <c r="E442" s="8" t="s">
        <v>53</v>
      </c>
      <c r="F442" s="9" t="s">
        <v>242</v>
      </c>
      <c r="G442" s="9">
        <v>1</v>
      </c>
      <c r="H442" s="6" t="s">
        <v>693</v>
      </c>
      <c r="I442" s="9" t="s">
        <v>514</v>
      </c>
      <c r="J442" s="9" t="s">
        <v>145</v>
      </c>
    </row>
    <row r="443" spans="1:10">
      <c r="A443" s="5" t="s">
        <v>1781</v>
      </c>
      <c r="B443" s="6" t="s">
        <v>2465</v>
      </c>
      <c r="C443" s="7">
        <v>46226</v>
      </c>
      <c r="D443" s="9" t="s">
        <v>261</v>
      </c>
      <c r="E443" s="4" t="s">
        <v>64</v>
      </c>
      <c r="F443" s="9" t="s">
        <v>242</v>
      </c>
      <c r="G443" s="9">
        <v>1</v>
      </c>
      <c r="H443" s="6" t="s">
        <v>693</v>
      </c>
      <c r="I443" s="9" t="s">
        <v>514</v>
      </c>
      <c r="J443" s="9" t="s">
        <v>145</v>
      </c>
    </row>
    <row r="444" spans="1:10">
      <c r="A444" s="5" t="s">
        <v>1784</v>
      </c>
      <c r="B444" s="6" t="s">
        <v>2465</v>
      </c>
      <c r="C444" s="7">
        <v>46226</v>
      </c>
      <c r="D444" s="9" t="s">
        <v>270</v>
      </c>
      <c r="E444" s="8" t="s">
        <v>271</v>
      </c>
      <c r="F444" s="9" t="s">
        <v>242</v>
      </c>
      <c r="G444" s="9">
        <v>1</v>
      </c>
      <c r="H444" s="6" t="s">
        <v>693</v>
      </c>
      <c r="I444" s="9" t="s">
        <v>514</v>
      </c>
      <c r="J444" s="9" t="s">
        <v>145</v>
      </c>
    </row>
    <row r="445" spans="1:10">
      <c r="A445" s="5" t="s">
        <v>1785</v>
      </c>
      <c r="B445" s="6" t="s">
        <v>2466</v>
      </c>
      <c r="C445" s="7">
        <v>46226</v>
      </c>
      <c r="D445" s="9" t="s">
        <v>696</v>
      </c>
      <c r="E445" s="8" t="s">
        <v>87</v>
      </c>
      <c r="F445" s="9" t="s">
        <v>242</v>
      </c>
      <c r="G445" s="9">
        <v>55</v>
      </c>
      <c r="H445" s="6" t="s">
        <v>1536</v>
      </c>
      <c r="I445" s="9" t="s">
        <v>628</v>
      </c>
      <c r="J445" s="9" t="s">
        <v>145</v>
      </c>
    </row>
    <row r="446" spans="1:10">
      <c r="A446" s="5" t="s">
        <v>1787</v>
      </c>
      <c r="B446" s="6" t="s">
        <v>2466</v>
      </c>
      <c r="C446" s="7">
        <v>46226</v>
      </c>
      <c r="D446" s="9" t="s">
        <v>500</v>
      </c>
      <c r="E446" s="8" t="s">
        <v>4</v>
      </c>
      <c r="F446" s="9" t="s">
        <v>242</v>
      </c>
      <c r="G446" s="9">
        <v>1</v>
      </c>
      <c r="H446" s="6" t="s">
        <v>1536</v>
      </c>
      <c r="I446" s="9" t="s">
        <v>628</v>
      </c>
      <c r="J446" s="9" t="s">
        <v>145</v>
      </c>
    </row>
    <row r="447" spans="1:10">
      <c r="A447" s="5" t="s">
        <v>1789</v>
      </c>
      <c r="B447" s="6" t="s">
        <v>2466</v>
      </c>
      <c r="C447" s="7">
        <v>46226</v>
      </c>
      <c r="D447" s="9" t="s">
        <v>261</v>
      </c>
      <c r="E447" s="4" t="s">
        <v>63</v>
      </c>
      <c r="F447" s="9" t="s">
        <v>242</v>
      </c>
      <c r="G447" s="9">
        <v>3</v>
      </c>
      <c r="H447" s="6" t="s">
        <v>1536</v>
      </c>
      <c r="I447" s="9" t="s">
        <v>628</v>
      </c>
      <c r="J447" s="9" t="s">
        <v>145</v>
      </c>
    </row>
    <row r="448" spans="1:10">
      <c r="A448" s="5" t="s">
        <v>1790</v>
      </c>
      <c r="B448" s="6" t="s">
        <v>2466</v>
      </c>
      <c r="C448" s="7">
        <v>46226</v>
      </c>
      <c r="D448" s="9" t="s">
        <v>270</v>
      </c>
      <c r="E448" s="8" t="s">
        <v>68</v>
      </c>
      <c r="F448" s="9" t="s">
        <v>242</v>
      </c>
      <c r="G448" s="9">
        <v>3</v>
      </c>
      <c r="H448" s="6" t="s">
        <v>1536</v>
      </c>
      <c r="I448" s="9" t="s">
        <v>628</v>
      </c>
      <c r="J448" s="9" t="s">
        <v>145</v>
      </c>
    </row>
    <row r="449" spans="1:10">
      <c r="A449" s="5" t="s">
        <v>1791</v>
      </c>
      <c r="B449" s="6" t="s">
        <v>2467</v>
      </c>
      <c r="C449" s="7">
        <v>46227</v>
      </c>
      <c r="D449" s="9" t="s">
        <v>696</v>
      </c>
      <c r="E449" s="4" t="s">
        <v>87</v>
      </c>
      <c r="F449" s="9" t="s">
        <v>242</v>
      </c>
      <c r="G449" s="9">
        <v>100</v>
      </c>
      <c r="H449" s="6" t="s">
        <v>2468</v>
      </c>
      <c r="I449" s="9" t="s">
        <v>1280</v>
      </c>
      <c r="J449" s="9" t="s">
        <v>145</v>
      </c>
    </row>
    <row r="450" spans="1:10">
      <c r="A450" s="5" t="s">
        <v>1792</v>
      </c>
      <c r="B450" s="6" t="s">
        <v>2467</v>
      </c>
      <c r="C450" s="7">
        <v>46227</v>
      </c>
      <c r="D450" s="9" t="s">
        <v>261</v>
      </c>
      <c r="E450" s="8" t="s">
        <v>62</v>
      </c>
      <c r="F450" s="9" t="s">
        <v>242</v>
      </c>
      <c r="G450" s="9">
        <v>2</v>
      </c>
      <c r="H450" s="6" t="s">
        <v>2468</v>
      </c>
      <c r="I450" s="9" t="s">
        <v>1280</v>
      </c>
      <c r="J450" s="9" t="s">
        <v>145</v>
      </c>
    </row>
    <row r="451" spans="1:10">
      <c r="A451" s="5" t="s">
        <v>1795</v>
      </c>
      <c r="B451" s="6" t="s">
        <v>2469</v>
      </c>
      <c r="C451" s="7">
        <v>46227</v>
      </c>
      <c r="D451" s="9" t="s">
        <v>500</v>
      </c>
      <c r="E451" s="4" t="s">
        <v>4</v>
      </c>
      <c r="F451" s="9" t="s">
        <v>242</v>
      </c>
      <c r="G451" s="9">
        <v>1</v>
      </c>
      <c r="H451" s="6" t="s">
        <v>866</v>
      </c>
      <c r="I451" s="9" t="s">
        <v>258</v>
      </c>
      <c r="J451" s="9" t="s">
        <v>145</v>
      </c>
    </row>
    <row r="452" spans="1:10">
      <c r="A452" s="5" t="s">
        <v>1796</v>
      </c>
      <c r="B452" s="6" t="s">
        <v>2469</v>
      </c>
      <c r="C452" s="7">
        <v>46227</v>
      </c>
      <c r="D452" s="9" t="s">
        <v>261</v>
      </c>
      <c r="E452" s="8" t="s">
        <v>63</v>
      </c>
      <c r="F452" s="9" t="s">
        <v>242</v>
      </c>
      <c r="G452" s="9">
        <v>1</v>
      </c>
      <c r="H452" s="6" t="s">
        <v>866</v>
      </c>
      <c r="I452" s="9" t="s">
        <v>258</v>
      </c>
      <c r="J452" s="9" t="s">
        <v>145</v>
      </c>
    </row>
    <row r="453" spans="1:10">
      <c r="A453" s="5" t="s">
        <v>1798</v>
      </c>
      <c r="B453" s="6" t="s">
        <v>2469</v>
      </c>
      <c r="C453" s="7">
        <v>46227</v>
      </c>
      <c r="D453" s="9" t="s">
        <v>270</v>
      </c>
      <c r="E453" s="8" t="s">
        <v>68</v>
      </c>
      <c r="F453" s="9" t="s">
        <v>242</v>
      </c>
      <c r="G453" s="9">
        <v>1</v>
      </c>
      <c r="H453" s="6" t="s">
        <v>866</v>
      </c>
      <c r="I453" s="9" t="s">
        <v>258</v>
      </c>
      <c r="J453" s="9" t="s">
        <v>145</v>
      </c>
    </row>
    <row r="454" spans="1:10">
      <c r="A454" s="5" t="s">
        <v>1799</v>
      </c>
      <c r="B454" s="6" t="s">
        <v>2470</v>
      </c>
      <c r="C454" s="7">
        <v>46227</v>
      </c>
      <c r="D454" s="9" t="s">
        <v>503</v>
      </c>
      <c r="E454" s="4" t="s">
        <v>72</v>
      </c>
      <c r="F454" s="9" t="s">
        <v>242</v>
      </c>
      <c r="G454" s="9">
        <v>1</v>
      </c>
      <c r="H454" s="6" t="s">
        <v>1688</v>
      </c>
      <c r="I454" s="9" t="s">
        <v>258</v>
      </c>
      <c r="J454" s="9" t="s">
        <v>145</v>
      </c>
    </row>
    <row r="455" spans="1:10">
      <c r="A455" s="5" t="s">
        <v>1801</v>
      </c>
      <c r="B455" s="6" t="s">
        <v>2470</v>
      </c>
      <c r="C455" s="7">
        <v>46227</v>
      </c>
      <c r="D455" s="9" t="s">
        <v>503</v>
      </c>
      <c r="E455" s="8" t="s">
        <v>78</v>
      </c>
      <c r="F455" s="9" t="s">
        <v>242</v>
      </c>
      <c r="G455" s="9">
        <v>2</v>
      </c>
      <c r="H455" s="6" t="s">
        <v>1688</v>
      </c>
      <c r="I455" s="9" t="s">
        <v>258</v>
      </c>
      <c r="J455" s="9" t="s">
        <v>145</v>
      </c>
    </row>
    <row r="456" spans="1:10">
      <c r="A456" s="5" t="s">
        <v>1802</v>
      </c>
      <c r="B456" s="6" t="s">
        <v>2470</v>
      </c>
      <c r="C456" s="7">
        <v>46227</v>
      </c>
      <c r="D456" s="9" t="s">
        <v>503</v>
      </c>
      <c r="E456" s="8" t="s">
        <v>76</v>
      </c>
      <c r="F456" s="9" t="s">
        <v>242</v>
      </c>
      <c r="G456" s="9">
        <v>2</v>
      </c>
      <c r="H456" s="6" t="s">
        <v>1688</v>
      </c>
      <c r="I456" s="9" t="s">
        <v>258</v>
      </c>
      <c r="J456" s="9" t="s">
        <v>145</v>
      </c>
    </row>
    <row r="457" spans="1:10">
      <c r="A457" s="5" t="s">
        <v>1804</v>
      </c>
      <c r="B457" s="6" t="s">
        <v>2470</v>
      </c>
      <c r="C457" s="7">
        <v>46227</v>
      </c>
      <c r="D457" s="9" t="s">
        <v>261</v>
      </c>
      <c r="E457" s="8" t="s">
        <v>62</v>
      </c>
      <c r="F457" s="9" t="s">
        <v>242</v>
      </c>
      <c r="G457" s="9">
        <v>5</v>
      </c>
      <c r="H457" s="6" t="s">
        <v>1688</v>
      </c>
      <c r="I457" s="9" t="s">
        <v>258</v>
      </c>
      <c r="J457" s="9" t="s">
        <v>145</v>
      </c>
    </row>
    <row r="458" spans="1:10">
      <c r="A458" s="5" t="s">
        <v>1805</v>
      </c>
      <c r="B458" s="6" t="s">
        <v>2471</v>
      </c>
      <c r="C458" s="7">
        <v>46227</v>
      </c>
      <c r="D458" s="9" t="s">
        <v>500</v>
      </c>
      <c r="E458" s="8" t="s">
        <v>3</v>
      </c>
      <c r="F458" s="9" t="s">
        <v>242</v>
      </c>
      <c r="G458" s="9">
        <v>1</v>
      </c>
      <c r="H458" s="6" t="s">
        <v>2472</v>
      </c>
      <c r="I458" s="9" t="s">
        <v>258</v>
      </c>
      <c r="J458" s="9" t="s">
        <v>145</v>
      </c>
    </row>
    <row r="459" spans="1:10">
      <c r="A459" s="5" t="s">
        <v>1806</v>
      </c>
      <c r="B459" s="6" t="s">
        <v>2471</v>
      </c>
      <c r="C459" s="7">
        <v>46227</v>
      </c>
      <c r="D459" s="9" t="s">
        <v>500</v>
      </c>
      <c r="E459" s="8" t="s">
        <v>48</v>
      </c>
      <c r="F459" s="9" t="s">
        <v>242</v>
      </c>
      <c r="G459" s="9">
        <v>1</v>
      </c>
      <c r="H459" s="6" t="s">
        <v>2472</v>
      </c>
      <c r="I459" s="9" t="s">
        <v>258</v>
      </c>
      <c r="J459" s="9" t="s">
        <v>145</v>
      </c>
    </row>
    <row r="460" spans="1:10">
      <c r="A460" s="5" t="s">
        <v>1809</v>
      </c>
      <c r="B460" s="6" t="s">
        <v>2471</v>
      </c>
      <c r="C460" s="7">
        <v>46227</v>
      </c>
      <c r="D460" s="9" t="s">
        <v>261</v>
      </c>
      <c r="E460" s="8" t="s">
        <v>64</v>
      </c>
      <c r="F460" s="9" t="s">
        <v>242</v>
      </c>
      <c r="G460" s="9">
        <v>6</v>
      </c>
      <c r="H460" s="6" t="s">
        <v>2472</v>
      </c>
      <c r="I460" s="9" t="s">
        <v>258</v>
      </c>
      <c r="J460" s="9" t="s">
        <v>145</v>
      </c>
    </row>
    <row r="461" spans="1:10">
      <c r="A461" s="5" t="s">
        <v>1810</v>
      </c>
      <c r="B461" s="6" t="s">
        <v>2471</v>
      </c>
      <c r="C461" s="7">
        <v>46227</v>
      </c>
      <c r="D461" s="9" t="s">
        <v>270</v>
      </c>
      <c r="E461" s="4" t="s">
        <v>271</v>
      </c>
      <c r="F461" s="9" t="s">
        <v>242</v>
      </c>
      <c r="G461" s="9">
        <v>6</v>
      </c>
      <c r="H461" s="6" t="s">
        <v>2472</v>
      </c>
      <c r="I461" s="9" t="s">
        <v>258</v>
      </c>
      <c r="J461" s="9" t="s">
        <v>145</v>
      </c>
    </row>
    <row r="462" spans="1:10">
      <c r="A462" s="5" t="s">
        <v>1813</v>
      </c>
      <c r="B462" s="6" t="s">
        <v>2473</v>
      </c>
      <c r="C462" s="7">
        <v>46227</v>
      </c>
      <c r="D462" s="9" t="s">
        <v>261</v>
      </c>
      <c r="E462" s="4" t="s">
        <v>62</v>
      </c>
      <c r="F462" s="9" t="s">
        <v>242</v>
      </c>
      <c r="G462" s="9">
        <v>2</v>
      </c>
      <c r="H462" s="6" t="s">
        <v>2033</v>
      </c>
      <c r="I462" s="9" t="s">
        <v>628</v>
      </c>
      <c r="J462" s="9" t="s">
        <v>145</v>
      </c>
    </row>
    <row r="463" spans="1:10">
      <c r="A463" s="5" t="s">
        <v>1815</v>
      </c>
      <c r="B463" s="6" t="s">
        <v>2474</v>
      </c>
      <c r="C463" s="7">
        <v>46227</v>
      </c>
      <c r="D463" s="9" t="s">
        <v>261</v>
      </c>
      <c r="E463" s="8" t="s">
        <v>62</v>
      </c>
      <c r="F463" s="9" t="s">
        <v>242</v>
      </c>
      <c r="G463" s="9">
        <v>2</v>
      </c>
      <c r="H463" s="6" t="s">
        <v>1437</v>
      </c>
      <c r="I463" s="9" t="s">
        <v>628</v>
      </c>
      <c r="J463" s="9" t="s">
        <v>145</v>
      </c>
    </row>
    <row r="464" spans="1:10">
      <c r="A464" s="5" t="s">
        <v>1816</v>
      </c>
      <c r="B464" s="6" t="s">
        <v>2475</v>
      </c>
      <c r="C464" s="7">
        <v>46227</v>
      </c>
      <c r="D464" s="9" t="s">
        <v>500</v>
      </c>
      <c r="E464" s="8" t="s">
        <v>51</v>
      </c>
      <c r="F464" s="9" t="s">
        <v>242</v>
      </c>
      <c r="G464" s="9">
        <v>1</v>
      </c>
      <c r="H464" s="6" t="s">
        <v>2374</v>
      </c>
      <c r="I464" s="9" t="s">
        <v>514</v>
      </c>
      <c r="J464" s="9" t="s">
        <v>145</v>
      </c>
    </row>
    <row r="465" spans="1:10">
      <c r="A465" s="5" t="s">
        <v>1818</v>
      </c>
      <c r="B465" s="6" t="s">
        <v>2476</v>
      </c>
      <c r="C465" s="7">
        <v>46227</v>
      </c>
      <c r="D465" s="9" t="s">
        <v>500</v>
      </c>
      <c r="E465" s="8" t="s">
        <v>51</v>
      </c>
      <c r="F465" s="9" t="s">
        <v>242</v>
      </c>
      <c r="G465" s="9">
        <v>1</v>
      </c>
      <c r="H465" s="6" t="s">
        <v>2374</v>
      </c>
      <c r="I465" s="9" t="s">
        <v>514</v>
      </c>
      <c r="J465" s="9" t="s">
        <v>145</v>
      </c>
    </row>
    <row r="466" spans="1:10">
      <c r="A466" s="5" t="s">
        <v>1819</v>
      </c>
      <c r="B466" s="6" t="s">
        <v>2477</v>
      </c>
      <c r="C466" s="7">
        <v>46228</v>
      </c>
      <c r="D466" s="9" t="s">
        <v>696</v>
      </c>
      <c r="E466" s="4" t="s">
        <v>87</v>
      </c>
      <c r="F466" s="9" t="s">
        <v>242</v>
      </c>
      <c r="G466" s="9">
        <v>100</v>
      </c>
      <c r="H466" s="6" t="s">
        <v>2400</v>
      </c>
      <c r="I466" s="9" t="s">
        <v>1280</v>
      </c>
      <c r="J466" s="9" t="s">
        <v>145</v>
      </c>
    </row>
    <row r="467" spans="1:10">
      <c r="A467" s="5" t="s">
        <v>1821</v>
      </c>
      <c r="B467" s="6" t="s">
        <v>2477</v>
      </c>
      <c r="C467" s="7">
        <v>46228</v>
      </c>
      <c r="D467" s="9" t="s">
        <v>261</v>
      </c>
      <c r="E467" s="8" t="s">
        <v>62</v>
      </c>
      <c r="F467" s="9" t="s">
        <v>242</v>
      </c>
      <c r="G467" s="9">
        <v>2</v>
      </c>
      <c r="H467" s="6" t="s">
        <v>2400</v>
      </c>
      <c r="I467" s="9" t="s">
        <v>1280</v>
      </c>
      <c r="J467" s="9" t="s">
        <v>145</v>
      </c>
    </row>
    <row r="468" spans="1:10">
      <c r="A468" s="5" t="s">
        <v>1822</v>
      </c>
      <c r="B468" s="6" t="s">
        <v>2478</v>
      </c>
      <c r="C468" s="7">
        <v>46228</v>
      </c>
      <c r="D468" s="9" t="s">
        <v>261</v>
      </c>
      <c r="E468" s="8" t="s">
        <v>65</v>
      </c>
      <c r="F468" s="9" t="s">
        <v>242</v>
      </c>
      <c r="G468" s="9">
        <v>1</v>
      </c>
      <c r="H468" s="6" t="s">
        <v>2479</v>
      </c>
      <c r="I468" s="9" t="s">
        <v>1280</v>
      </c>
      <c r="J468" s="9" t="s">
        <v>145</v>
      </c>
    </row>
    <row r="469" spans="1:10">
      <c r="A469" s="5" t="s">
        <v>1824</v>
      </c>
      <c r="B469" s="6" t="s">
        <v>2478</v>
      </c>
      <c r="C469" s="7">
        <v>46228</v>
      </c>
      <c r="D469" s="9" t="s">
        <v>270</v>
      </c>
      <c r="E469" s="8" t="s">
        <v>271</v>
      </c>
      <c r="F469" s="9" t="s">
        <v>242</v>
      </c>
      <c r="G469" s="9">
        <v>2</v>
      </c>
      <c r="H469" s="6" t="s">
        <v>2479</v>
      </c>
      <c r="I469" s="9" t="s">
        <v>1280</v>
      </c>
      <c r="J469" s="9" t="s">
        <v>145</v>
      </c>
    </row>
    <row r="470" spans="1:10">
      <c r="A470" s="5" t="s">
        <v>1825</v>
      </c>
      <c r="B470" s="6" t="s">
        <v>2480</v>
      </c>
      <c r="C470" s="7">
        <v>46230</v>
      </c>
      <c r="D470" s="9" t="s">
        <v>500</v>
      </c>
      <c r="E470" s="4" t="s">
        <v>46</v>
      </c>
      <c r="F470" s="9" t="s">
        <v>242</v>
      </c>
      <c r="G470" s="9">
        <v>1</v>
      </c>
      <c r="H470" s="6" t="s">
        <v>2481</v>
      </c>
      <c r="I470" s="9" t="s">
        <v>275</v>
      </c>
      <c r="J470" s="9" t="s">
        <v>145</v>
      </c>
    </row>
    <row r="471" spans="1:10">
      <c r="A471" s="5" t="s">
        <v>1827</v>
      </c>
      <c r="B471" s="6" t="s">
        <v>2482</v>
      </c>
      <c r="C471" s="7">
        <v>46230</v>
      </c>
      <c r="D471" s="9" t="s">
        <v>500</v>
      </c>
      <c r="E471" s="8" t="s">
        <v>4</v>
      </c>
      <c r="F471" s="9" t="s">
        <v>242</v>
      </c>
      <c r="G471" s="9">
        <v>1</v>
      </c>
      <c r="H471" s="6" t="s">
        <v>2483</v>
      </c>
      <c r="I471" s="9" t="s">
        <v>415</v>
      </c>
      <c r="J471" s="9" t="s">
        <v>145</v>
      </c>
    </row>
    <row r="472" spans="1:10">
      <c r="A472" s="5" t="s">
        <v>1828</v>
      </c>
      <c r="B472" s="6" t="s">
        <v>2482</v>
      </c>
      <c r="C472" s="7">
        <v>46230</v>
      </c>
      <c r="D472" s="9" t="s">
        <v>500</v>
      </c>
      <c r="E472" s="4" t="s">
        <v>53</v>
      </c>
      <c r="F472" s="9" t="s">
        <v>242</v>
      </c>
      <c r="G472" s="9">
        <v>1</v>
      </c>
      <c r="H472" s="6" t="s">
        <v>2483</v>
      </c>
      <c r="I472" s="9" t="s">
        <v>415</v>
      </c>
      <c r="J472" s="9" t="s">
        <v>145</v>
      </c>
    </row>
    <row r="473" spans="1:10">
      <c r="A473" s="5" t="s">
        <v>1829</v>
      </c>
      <c r="B473" s="6" t="s">
        <v>2484</v>
      </c>
      <c r="C473" s="7">
        <v>46230</v>
      </c>
      <c r="D473" s="9" t="s">
        <v>261</v>
      </c>
      <c r="E473" s="8" t="s">
        <v>62</v>
      </c>
      <c r="F473" s="9" t="s">
        <v>242</v>
      </c>
      <c r="G473" s="9">
        <v>2</v>
      </c>
      <c r="H473" s="6" t="s">
        <v>722</v>
      </c>
      <c r="I473" s="9" t="s">
        <v>514</v>
      </c>
      <c r="J473" s="9" t="s">
        <v>145</v>
      </c>
    </row>
    <row r="474" spans="1:10">
      <c r="A474" s="5" t="s">
        <v>1831</v>
      </c>
      <c r="B474" s="6" t="s">
        <v>2485</v>
      </c>
      <c r="C474" s="7">
        <v>46230</v>
      </c>
      <c r="D474" s="9" t="s">
        <v>500</v>
      </c>
      <c r="E474" s="4" t="s">
        <v>53</v>
      </c>
      <c r="F474" s="9" t="s">
        <v>242</v>
      </c>
      <c r="G474" s="9">
        <v>1</v>
      </c>
      <c r="H474" s="6" t="s">
        <v>2374</v>
      </c>
      <c r="I474" s="9" t="s">
        <v>266</v>
      </c>
      <c r="J474" s="9" t="s">
        <v>145</v>
      </c>
    </row>
    <row r="475" spans="1:10">
      <c r="A475" s="5" t="s">
        <v>1832</v>
      </c>
      <c r="B475" s="6" t="s">
        <v>2485</v>
      </c>
      <c r="C475" s="7">
        <v>46230</v>
      </c>
      <c r="D475" s="9" t="s">
        <v>261</v>
      </c>
      <c r="E475" s="4" t="s">
        <v>64</v>
      </c>
      <c r="F475" s="9" t="s">
        <v>242</v>
      </c>
      <c r="G475" s="9">
        <v>1</v>
      </c>
      <c r="H475" s="6" t="s">
        <v>2374</v>
      </c>
      <c r="I475" s="9" t="s">
        <v>266</v>
      </c>
    </row>
    <row r="476" spans="1:10">
      <c r="A476" s="5" t="s">
        <v>1833</v>
      </c>
      <c r="B476" s="6" t="s">
        <v>2485</v>
      </c>
      <c r="C476" s="7">
        <v>46230</v>
      </c>
      <c r="D476" s="9" t="s">
        <v>270</v>
      </c>
      <c r="E476" s="4" t="s">
        <v>271</v>
      </c>
      <c r="F476" s="9" t="s">
        <v>242</v>
      </c>
      <c r="G476" s="9">
        <v>1</v>
      </c>
      <c r="H476" s="6" t="s">
        <v>2374</v>
      </c>
      <c r="I476" s="9" t="s">
        <v>266</v>
      </c>
    </row>
    <row r="477" spans="1:10">
      <c r="A477" s="5" t="s">
        <v>1835</v>
      </c>
      <c r="B477" s="6" t="s">
        <v>2486</v>
      </c>
      <c r="C477" s="7">
        <v>46230</v>
      </c>
      <c r="D477" s="9" t="s">
        <v>500</v>
      </c>
      <c r="E477" s="4" t="s">
        <v>52</v>
      </c>
      <c r="F477" s="9" t="s">
        <v>242</v>
      </c>
      <c r="G477" s="9">
        <v>1</v>
      </c>
      <c r="H477" s="6" t="s">
        <v>2374</v>
      </c>
      <c r="I477" s="9" t="s">
        <v>266</v>
      </c>
    </row>
    <row r="478" spans="1:10">
      <c r="A478" s="5" t="s">
        <v>1836</v>
      </c>
      <c r="B478" s="6" t="s">
        <v>2487</v>
      </c>
      <c r="C478" s="7">
        <v>46231</v>
      </c>
      <c r="D478" s="9" t="s">
        <v>261</v>
      </c>
      <c r="E478" s="4" t="s">
        <v>65</v>
      </c>
      <c r="F478" s="9" t="s">
        <v>242</v>
      </c>
      <c r="G478" s="9">
        <v>2</v>
      </c>
      <c r="H478" s="6" t="s">
        <v>2479</v>
      </c>
      <c r="I478" s="9" t="s">
        <v>258</v>
      </c>
    </row>
    <row r="479" spans="1:10">
      <c r="A479" s="5" t="s">
        <v>1837</v>
      </c>
      <c r="B479" s="6" t="s">
        <v>2487</v>
      </c>
      <c r="C479" s="7">
        <v>46231</v>
      </c>
      <c r="D479" s="9" t="s">
        <v>270</v>
      </c>
      <c r="E479" s="4" t="s">
        <v>271</v>
      </c>
      <c r="F479" s="9" t="s">
        <v>242</v>
      </c>
      <c r="G479" s="9">
        <v>2</v>
      </c>
      <c r="H479" s="6" t="s">
        <v>2479</v>
      </c>
      <c r="I479" s="9" t="s">
        <v>258</v>
      </c>
    </row>
    <row r="480" spans="1:10">
      <c r="A480" s="5" t="s">
        <v>1839</v>
      </c>
      <c r="B480" s="6" t="s">
        <v>2488</v>
      </c>
      <c r="C480" s="7">
        <v>46232</v>
      </c>
      <c r="D480" s="9" t="s">
        <v>500</v>
      </c>
      <c r="E480" s="4" t="s">
        <v>53</v>
      </c>
      <c r="F480" s="9" t="s">
        <v>242</v>
      </c>
      <c r="G480" s="9">
        <v>1</v>
      </c>
      <c r="H480" s="6" t="s">
        <v>693</v>
      </c>
      <c r="I480" s="9" t="s">
        <v>284</v>
      </c>
    </row>
    <row r="481" spans="1:9">
      <c r="A481" s="5" t="s">
        <v>1840</v>
      </c>
      <c r="B481" s="6" t="s">
        <v>2489</v>
      </c>
      <c r="C481" s="7">
        <v>46232</v>
      </c>
      <c r="D481" s="9" t="s">
        <v>500</v>
      </c>
      <c r="E481" s="4" t="s">
        <v>53</v>
      </c>
      <c r="F481" s="9" t="s">
        <v>242</v>
      </c>
      <c r="G481" s="9">
        <v>1</v>
      </c>
      <c r="H481" s="6" t="s">
        <v>693</v>
      </c>
      <c r="I481" s="9" t="s">
        <v>514</v>
      </c>
    </row>
    <row r="482" spans="1:9">
      <c r="A482" s="5" t="s">
        <v>1841</v>
      </c>
      <c r="B482" s="6" t="s">
        <v>2489</v>
      </c>
      <c r="C482" s="7">
        <v>46232</v>
      </c>
      <c r="D482" s="9" t="s">
        <v>261</v>
      </c>
      <c r="E482" s="4" t="s">
        <v>64</v>
      </c>
      <c r="F482" s="9" t="s">
        <v>242</v>
      </c>
      <c r="G482" s="9">
        <v>1</v>
      </c>
      <c r="H482" s="6" t="s">
        <v>693</v>
      </c>
      <c r="I482" s="9" t="s">
        <v>514</v>
      </c>
    </row>
    <row r="483" spans="1:9">
      <c r="A483" s="5" t="s">
        <v>1842</v>
      </c>
      <c r="B483" s="6" t="s">
        <v>2489</v>
      </c>
      <c r="C483" s="7">
        <v>46232</v>
      </c>
      <c r="D483" s="9" t="s">
        <v>270</v>
      </c>
      <c r="E483" s="4" t="s">
        <v>271</v>
      </c>
      <c r="F483" s="9" t="s">
        <v>242</v>
      </c>
      <c r="G483" s="9">
        <v>1</v>
      </c>
      <c r="H483" s="6" t="s">
        <v>693</v>
      </c>
      <c r="I483" s="9" t="s">
        <v>514</v>
      </c>
    </row>
    <row r="484" spans="1:9">
      <c r="A484" s="5" t="s">
        <v>1845</v>
      </c>
      <c r="B484" s="6" t="s">
        <v>2490</v>
      </c>
      <c r="C484" s="7">
        <v>46232</v>
      </c>
      <c r="D484" s="9" t="s">
        <v>696</v>
      </c>
      <c r="E484" s="4" t="s">
        <v>87</v>
      </c>
      <c r="F484" s="9" t="s">
        <v>242</v>
      </c>
      <c r="G484" s="9">
        <v>50</v>
      </c>
      <c r="H484" s="6" t="s">
        <v>2400</v>
      </c>
      <c r="I484" s="9" t="s">
        <v>514</v>
      </c>
    </row>
    <row r="485" spans="1:9">
      <c r="A485" s="5" t="s">
        <v>1846</v>
      </c>
      <c r="B485" s="6" t="s">
        <v>2490</v>
      </c>
      <c r="C485" s="7">
        <v>46232</v>
      </c>
      <c r="D485" s="9" t="s">
        <v>261</v>
      </c>
      <c r="E485" s="4" t="s">
        <v>62</v>
      </c>
      <c r="F485" s="9" t="s">
        <v>242</v>
      </c>
      <c r="G485" s="9">
        <v>2</v>
      </c>
      <c r="H485" s="6" t="s">
        <v>2400</v>
      </c>
      <c r="I485" s="9" t="s">
        <v>514</v>
      </c>
    </row>
    <row r="486" spans="1:9">
      <c r="A486" s="5" t="s">
        <v>1848</v>
      </c>
      <c r="B486" s="6" t="s">
        <v>2491</v>
      </c>
      <c r="C486" s="7">
        <v>46232</v>
      </c>
      <c r="D486" s="9" t="s">
        <v>503</v>
      </c>
      <c r="E486" s="4" t="s">
        <v>71</v>
      </c>
      <c r="F486" s="9" t="s">
        <v>242</v>
      </c>
      <c r="G486" s="9">
        <v>1</v>
      </c>
      <c r="H486" s="6" t="s">
        <v>2492</v>
      </c>
      <c r="I486" s="9" t="s">
        <v>514</v>
      </c>
    </row>
    <row r="487" spans="1:9">
      <c r="A487" s="5" t="s">
        <v>1849</v>
      </c>
      <c r="B487" s="6" t="s">
        <v>2491</v>
      </c>
      <c r="C487" s="7">
        <v>46232</v>
      </c>
      <c r="D487" s="9" t="s">
        <v>503</v>
      </c>
      <c r="E487" s="4" t="s">
        <v>78</v>
      </c>
      <c r="F487" s="9" t="s">
        <v>242</v>
      </c>
      <c r="G487" s="9">
        <v>2</v>
      </c>
      <c r="H487" s="6" t="s">
        <v>2492</v>
      </c>
      <c r="I487" s="9" t="s">
        <v>514</v>
      </c>
    </row>
    <row r="488" spans="1:9">
      <c r="A488" s="5" t="s">
        <v>2067</v>
      </c>
      <c r="B488" s="6" t="s">
        <v>2491</v>
      </c>
      <c r="C488" s="7">
        <v>46232</v>
      </c>
      <c r="D488" s="9" t="s">
        <v>503</v>
      </c>
      <c r="E488" s="4" t="s">
        <v>76</v>
      </c>
      <c r="F488" s="9" t="s">
        <v>242</v>
      </c>
      <c r="G488" s="9">
        <v>2</v>
      </c>
      <c r="H488" s="6" t="s">
        <v>2492</v>
      </c>
      <c r="I488" s="9" t="s">
        <v>514</v>
      </c>
    </row>
    <row r="489" spans="1:9">
      <c r="A489" s="5" t="s">
        <v>2068</v>
      </c>
      <c r="B489" s="6" t="s">
        <v>2493</v>
      </c>
      <c r="C489" s="7">
        <v>46233</v>
      </c>
      <c r="D489" s="9" t="s">
        <v>500</v>
      </c>
      <c r="E489" s="4" t="s">
        <v>51</v>
      </c>
      <c r="F489" s="9" t="s">
        <v>242</v>
      </c>
      <c r="G489" s="9">
        <v>1</v>
      </c>
      <c r="H489" s="6" t="s">
        <v>693</v>
      </c>
      <c r="I489" s="9" t="s">
        <v>616</v>
      </c>
    </row>
    <row r="490" spans="1:9">
      <c r="A490" s="5" t="s">
        <v>2069</v>
      </c>
      <c r="B490" s="6" t="s">
        <v>2494</v>
      </c>
      <c r="C490" s="7">
        <v>46233</v>
      </c>
      <c r="D490" s="9" t="s">
        <v>500</v>
      </c>
      <c r="E490" s="4" t="s">
        <v>46</v>
      </c>
      <c r="F490" s="9" t="s">
        <v>242</v>
      </c>
      <c r="G490" s="9">
        <v>1</v>
      </c>
      <c r="H490" s="6" t="s">
        <v>2481</v>
      </c>
      <c r="I490" s="9" t="s">
        <v>1546</v>
      </c>
    </row>
    <row r="491" spans="1:9">
      <c r="A491" s="5" t="s">
        <v>2072</v>
      </c>
      <c r="B491" s="6" t="s">
        <v>2494</v>
      </c>
      <c r="C491" s="7">
        <v>46233</v>
      </c>
      <c r="D491" s="9" t="s">
        <v>261</v>
      </c>
      <c r="E491" s="4" t="s">
        <v>63</v>
      </c>
      <c r="F491" s="9" t="s">
        <v>242</v>
      </c>
      <c r="G491" s="9">
        <v>3</v>
      </c>
      <c r="H491" s="6" t="s">
        <v>2481</v>
      </c>
      <c r="I491" s="9" t="s">
        <v>1546</v>
      </c>
    </row>
    <row r="492" spans="1:9">
      <c r="A492" s="5" t="s">
        <v>2075</v>
      </c>
      <c r="B492" s="6" t="s">
        <v>2494</v>
      </c>
      <c r="C492" s="7">
        <v>46233</v>
      </c>
      <c r="D492" s="9" t="s">
        <v>270</v>
      </c>
      <c r="E492" s="4" t="s">
        <v>68</v>
      </c>
      <c r="F492" s="9" t="s">
        <v>242</v>
      </c>
      <c r="G492" s="9">
        <v>3</v>
      </c>
      <c r="H492" s="6" t="s">
        <v>2481</v>
      </c>
      <c r="I492" s="9" t="s">
        <v>1546</v>
      </c>
    </row>
    <row r="493" spans="1:9">
      <c r="A493" s="5" t="s">
        <v>2076</v>
      </c>
      <c r="B493" s="6" t="s">
        <v>2495</v>
      </c>
      <c r="C493" s="7">
        <v>46233</v>
      </c>
      <c r="D493" s="9" t="s">
        <v>500</v>
      </c>
      <c r="E493" s="4" t="s">
        <v>52</v>
      </c>
      <c r="F493" s="9" t="s">
        <v>242</v>
      </c>
      <c r="G493" s="9">
        <v>1</v>
      </c>
      <c r="H493" s="6" t="s">
        <v>693</v>
      </c>
      <c r="I493" s="9" t="s">
        <v>1546</v>
      </c>
    </row>
    <row r="494" spans="1:9">
      <c r="A494" s="5" t="s">
        <v>2078</v>
      </c>
      <c r="B494" s="6" t="s">
        <v>2495</v>
      </c>
      <c r="C494" s="7">
        <v>46233</v>
      </c>
      <c r="D494" s="9" t="s">
        <v>261</v>
      </c>
      <c r="E494" s="4" t="s">
        <v>62</v>
      </c>
      <c r="F494" s="9" t="s">
        <v>242</v>
      </c>
      <c r="G494" s="9">
        <v>8</v>
      </c>
      <c r="H494" s="6" t="s">
        <v>693</v>
      </c>
      <c r="I494" s="9" t="s">
        <v>1546</v>
      </c>
    </row>
    <row r="495" spans="1:9">
      <c r="A495" s="5" t="s">
        <v>2079</v>
      </c>
      <c r="B495" s="6" t="s">
        <v>2496</v>
      </c>
      <c r="C495" s="7">
        <v>46231</v>
      </c>
      <c r="D495" s="9" t="s">
        <v>241</v>
      </c>
      <c r="E495" s="4" t="s">
        <v>1152</v>
      </c>
      <c r="F495" s="9" t="s">
        <v>242</v>
      </c>
      <c r="G495" s="9">
        <v>40</v>
      </c>
      <c r="H495" s="6" t="s">
        <v>2497</v>
      </c>
      <c r="I495" s="9" t="s">
        <v>827</v>
      </c>
    </row>
    <row r="496" spans="1:9">
      <c r="A496" s="5" t="s">
        <v>2080</v>
      </c>
      <c r="B496" s="6" t="s">
        <v>2498</v>
      </c>
      <c r="C496" s="7">
        <v>46233</v>
      </c>
      <c r="D496" s="9" t="s">
        <v>696</v>
      </c>
      <c r="E496" s="4" t="s">
        <v>88</v>
      </c>
      <c r="F496" s="9" t="s">
        <v>242</v>
      </c>
      <c r="G496" s="9">
        <v>400</v>
      </c>
      <c r="H496" s="6" t="s">
        <v>2499</v>
      </c>
      <c r="I496" s="9" t="s">
        <v>311</v>
      </c>
    </row>
    <row r="497" spans="1:9">
      <c r="A497" s="5" t="s">
        <v>2082</v>
      </c>
      <c r="B497" s="6" t="s">
        <v>1317</v>
      </c>
      <c r="C497" s="7">
        <v>46233</v>
      </c>
      <c r="D497" s="9" t="s">
        <v>696</v>
      </c>
      <c r="E497" s="4" t="s">
        <v>88</v>
      </c>
      <c r="F497" s="9" t="s">
        <v>242</v>
      </c>
      <c r="G497" s="9">
        <v>400</v>
      </c>
      <c r="H497" s="6" t="s">
        <v>2499</v>
      </c>
      <c r="I497" s="9" t="s">
        <v>830</v>
      </c>
    </row>
    <row r="498" spans="1:9">
      <c r="A498" s="5" t="s">
        <v>2085</v>
      </c>
      <c r="B498" s="6" t="s">
        <v>2498</v>
      </c>
      <c r="C498" s="7">
        <v>46233</v>
      </c>
      <c r="D498" s="9" t="s">
        <v>905</v>
      </c>
      <c r="E498" s="4" t="s">
        <v>207</v>
      </c>
      <c r="F498" s="9" t="s">
        <v>242</v>
      </c>
      <c r="G498" s="9">
        <v>10</v>
      </c>
      <c r="H498" s="6" t="s">
        <v>906</v>
      </c>
      <c r="I498" s="9" t="s">
        <v>311</v>
      </c>
    </row>
    <row r="499" spans="1:9">
      <c r="A499" s="5" t="s">
        <v>2086</v>
      </c>
      <c r="B499" s="6" t="s">
        <v>1317</v>
      </c>
      <c r="C499" s="7">
        <v>46233</v>
      </c>
      <c r="D499" s="9" t="s">
        <v>905</v>
      </c>
      <c r="E499" s="4" t="s">
        <v>208</v>
      </c>
      <c r="F499" s="9" t="s">
        <v>242</v>
      </c>
      <c r="G499" s="9">
        <v>10</v>
      </c>
      <c r="H499" s="6" t="s">
        <v>906</v>
      </c>
      <c r="I499" s="9" t="s">
        <v>918</v>
      </c>
    </row>
    <row r="500" spans="1:9">
      <c r="A500" s="5" t="s">
        <v>2087</v>
      </c>
      <c r="B500" s="6" t="s">
        <v>2498</v>
      </c>
      <c r="C500" s="7">
        <v>46233</v>
      </c>
      <c r="D500" s="9" t="s">
        <v>905</v>
      </c>
      <c r="E500" s="4" t="s">
        <v>209</v>
      </c>
      <c r="F500" s="9" t="s">
        <v>242</v>
      </c>
      <c r="G500" s="9">
        <v>4</v>
      </c>
      <c r="H500" s="6" t="s">
        <v>906</v>
      </c>
      <c r="I500" s="9" t="s">
        <v>827</v>
      </c>
    </row>
    <row r="501" spans="1:9">
      <c r="A501" s="5" t="s">
        <v>2088</v>
      </c>
      <c r="B501" s="6" t="s">
        <v>1317</v>
      </c>
      <c r="C501" s="7">
        <v>46233</v>
      </c>
      <c r="D501" s="9" t="s">
        <v>905</v>
      </c>
      <c r="E501" s="4" t="s">
        <v>216</v>
      </c>
      <c r="F501" s="9" t="s">
        <v>242</v>
      </c>
      <c r="G501" s="9">
        <v>12</v>
      </c>
      <c r="H501" s="6" t="s">
        <v>906</v>
      </c>
      <c r="I501" s="9" t="s">
        <v>830</v>
      </c>
    </row>
    <row r="502" spans="1:9">
      <c r="A502" s="5" t="s">
        <v>2090</v>
      </c>
      <c r="B502" s="6" t="s">
        <v>2500</v>
      </c>
      <c r="C502" s="7">
        <v>46233</v>
      </c>
      <c r="D502" s="9" t="s">
        <v>1322</v>
      </c>
      <c r="E502" s="4" t="s">
        <v>1323</v>
      </c>
      <c r="F502" s="9" t="s">
        <v>242</v>
      </c>
      <c r="G502" s="9">
        <v>4</v>
      </c>
      <c r="H502" s="6" t="s">
        <v>2501</v>
      </c>
      <c r="I502" s="9" t="s">
        <v>311</v>
      </c>
    </row>
    <row r="503" spans="1:9">
      <c r="A503" s="5" t="s">
        <v>2091</v>
      </c>
      <c r="B503" s="6" t="s">
        <v>2502</v>
      </c>
      <c r="C503" s="7">
        <v>46233</v>
      </c>
      <c r="D503" s="9" t="s">
        <v>1322</v>
      </c>
      <c r="E503" s="4" t="s">
        <v>1323</v>
      </c>
      <c r="F503" s="9" t="s">
        <v>242</v>
      </c>
      <c r="G503" s="9">
        <v>5</v>
      </c>
      <c r="H503" s="6" t="s">
        <v>2501</v>
      </c>
      <c r="I503" s="9" t="s">
        <v>830</v>
      </c>
    </row>
    <row r="504" spans="1:9">
      <c r="A504" s="5" t="s">
        <v>2092</v>
      </c>
      <c r="B504" s="6" t="s">
        <v>2503</v>
      </c>
      <c r="C504" s="7">
        <v>46233</v>
      </c>
      <c r="D504" s="9" t="s">
        <v>1322</v>
      </c>
      <c r="E504" s="4" t="s">
        <v>1323</v>
      </c>
      <c r="F504" s="9" t="s">
        <v>242</v>
      </c>
      <c r="G504" s="9">
        <v>3</v>
      </c>
      <c r="H504" s="6" t="s">
        <v>2501</v>
      </c>
      <c r="I504" s="9" t="s">
        <v>827</v>
      </c>
    </row>
    <row r="505" spans="1:9">
      <c r="A505" s="5" t="s">
        <v>2094</v>
      </c>
      <c r="B505" s="6" t="s">
        <v>2504</v>
      </c>
      <c r="C505" s="7">
        <v>46211</v>
      </c>
      <c r="D505" s="9" t="s">
        <v>241</v>
      </c>
      <c r="E505" s="4" t="s">
        <v>1152</v>
      </c>
      <c r="F505" s="9" t="s">
        <v>242</v>
      </c>
      <c r="G505" s="9">
        <v>3</v>
      </c>
      <c r="H505" s="6" t="s">
        <v>2497</v>
      </c>
      <c r="I505" s="9" t="s">
        <v>830</v>
      </c>
    </row>
  </sheetData>
  <autoFilter ref="A6:M454" xr:uid="{B7411325-D959-40C5-9F01-09913600F1C6}"/>
  <mergeCells count="2">
    <mergeCell ref="A2:J2"/>
    <mergeCell ref="A3:B3"/>
  </mergeCells>
  <phoneticPr fontId="5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8DB68-65B9-4AD9-BB0C-2B7C8C579FD2}">
  <dimension ref="A2:M414"/>
  <sheetViews>
    <sheetView workbookViewId="0">
      <selection sqref="A1:A1048576"/>
    </sheetView>
  </sheetViews>
  <sheetFormatPr defaultColWidth="9.81640625" defaultRowHeight="17"/>
  <cols>
    <col min="1" max="1" width="7.81640625" style="10" customWidth="1"/>
    <col min="2" max="2" width="35.81640625" style="3" bestFit="1" customWidth="1"/>
    <col min="3" max="3" width="16.453125" style="10" customWidth="1"/>
    <col min="4" max="4" width="20.1796875" style="10" customWidth="1"/>
    <col min="5" max="5" width="27.453125" style="11" customWidth="1"/>
    <col min="6" max="7" width="10.54296875" style="10" customWidth="1"/>
    <col min="8" max="8" width="52.1796875" style="3" customWidth="1"/>
    <col min="9" max="9" width="8.7265625" style="10" customWidth="1"/>
    <col min="10" max="10" width="20" style="10" hidden="1" customWidth="1"/>
    <col min="11" max="16384" width="9.81640625" style="3"/>
  </cols>
  <sheetData>
    <row r="2" spans="1:13" s="31" customFormat="1" ht="35.15" customHeight="1">
      <c r="A2" s="96"/>
      <c r="B2" s="96"/>
      <c r="C2" s="96"/>
      <c r="D2" s="96"/>
      <c r="E2" s="96"/>
      <c r="F2" s="96"/>
      <c r="G2" s="96"/>
      <c r="H2" s="96"/>
      <c r="I2" s="96"/>
      <c r="J2" s="96"/>
      <c r="K2" s="30"/>
      <c r="L2" s="30"/>
      <c r="M2" s="30"/>
    </row>
    <row r="3" spans="1:13" s="31" customFormat="1" ht="23.15" customHeight="1">
      <c r="A3" s="97" t="s">
        <v>233</v>
      </c>
      <c r="B3" s="97"/>
      <c r="C3" s="32"/>
      <c r="D3" s="33"/>
      <c r="E3" s="32"/>
      <c r="F3" s="32"/>
      <c r="G3" s="32"/>
      <c r="H3" s="32"/>
      <c r="I3" s="32"/>
      <c r="J3" s="32"/>
      <c r="K3" s="32"/>
      <c r="L3" s="32"/>
      <c r="M3" s="34"/>
    </row>
    <row r="4" spans="1:13" ht="5.15" customHeight="1"/>
    <row r="5" spans="1:13">
      <c r="G5" s="10">
        <f>SUBTOTAL(3,G7:G822)</f>
        <v>408</v>
      </c>
    </row>
    <row r="6" spans="1:13" ht="25.5" customHeight="1">
      <c r="A6" s="1" t="s">
        <v>102</v>
      </c>
      <c r="B6" s="2" t="s">
        <v>103</v>
      </c>
      <c r="C6" s="1" t="s">
        <v>104</v>
      </c>
      <c r="D6" s="1" t="s">
        <v>105</v>
      </c>
      <c r="E6" s="2" t="s">
        <v>106</v>
      </c>
      <c r="F6" s="1" t="s">
        <v>107</v>
      </c>
      <c r="G6" s="1" t="s">
        <v>6</v>
      </c>
      <c r="H6" s="1" t="s">
        <v>108</v>
      </c>
      <c r="I6" s="1" t="s">
        <v>109</v>
      </c>
      <c r="J6" s="1" t="s">
        <v>110</v>
      </c>
    </row>
    <row r="7" spans="1:13">
      <c r="A7" s="5" t="s">
        <v>239</v>
      </c>
      <c r="B7" s="6" t="s">
        <v>2505</v>
      </c>
      <c r="C7" s="7">
        <v>46235</v>
      </c>
      <c r="D7" s="9" t="s">
        <v>1</v>
      </c>
      <c r="E7" s="8" t="s">
        <v>657</v>
      </c>
      <c r="F7" s="9" t="s">
        <v>242</v>
      </c>
      <c r="G7" s="9">
        <v>1</v>
      </c>
      <c r="H7" s="6" t="s">
        <v>249</v>
      </c>
      <c r="I7" s="9" t="s">
        <v>976</v>
      </c>
      <c r="J7" s="9" t="s">
        <v>145</v>
      </c>
    </row>
    <row r="8" spans="1:13">
      <c r="A8" s="5" t="s">
        <v>245</v>
      </c>
      <c r="B8" s="6" t="s">
        <v>2505</v>
      </c>
      <c r="C8" s="7">
        <v>46235</v>
      </c>
      <c r="D8" s="9" t="s">
        <v>1</v>
      </c>
      <c r="E8" s="4" t="s">
        <v>17</v>
      </c>
      <c r="F8" s="9" t="s">
        <v>246</v>
      </c>
      <c r="G8" s="9">
        <v>1</v>
      </c>
      <c r="H8" s="6" t="s">
        <v>249</v>
      </c>
      <c r="I8" s="9" t="s">
        <v>976</v>
      </c>
      <c r="J8" s="9" t="s">
        <v>145</v>
      </c>
    </row>
    <row r="9" spans="1:13">
      <c r="A9" s="5" t="s">
        <v>247</v>
      </c>
      <c r="B9" s="6" t="s">
        <v>2505</v>
      </c>
      <c r="C9" s="7">
        <v>46235</v>
      </c>
      <c r="D9" s="9" t="s">
        <v>500</v>
      </c>
      <c r="E9" s="8" t="s">
        <v>3</v>
      </c>
      <c r="F9" s="9" t="s">
        <v>242</v>
      </c>
      <c r="G9" s="9">
        <v>1</v>
      </c>
      <c r="H9" s="6" t="s">
        <v>249</v>
      </c>
      <c r="I9" s="9" t="s">
        <v>976</v>
      </c>
      <c r="J9" s="9" t="s">
        <v>145</v>
      </c>
    </row>
    <row r="10" spans="1:13">
      <c r="A10" s="5" t="s">
        <v>250</v>
      </c>
      <c r="B10" s="6" t="s">
        <v>2505</v>
      </c>
      <c r="C10" s="7">
        <v>46235</v>
      </c>
      <c r="D10" s="9" t="s">
        <v>261</v>
      </c>
      <c r="E10" s="4" t="s">
        <v>64</v>
      </c>
      <c r="F10" s="9" t="s">
        <v>242</v>
      </c>
      <c r="G10" s="9">
        <v>4</v>
      </c>
      <c r="H10" s="6" t="s">
        <v>249</v>
      </c>
      <c r="I10" s="9" t="s">
        <v>976</v>
      </c>
      <c r="J10" s="9" t="s">
        <v>145</v>
      </c>
    </row>
    <row r="11" spans="1:13">
      <c r="A11" s="5" t="s">
        <v>251</v>
      </c>
      <c r="B11" s="6" t="s">
        <v>2505</v>
      </c>
      <c r="C11" s="7">
        <v>46235</v>
      </c>
      <c r="D11" s="9" t="s">
        <v>270</v>
      </c>
      <c r="E11" s="8" t="s">
        <v>271</v>
      </c>
      <c r="F11" s="9" t="s">
        <v>242</v>
      </c>
      <c r="G11" s="9">
        <v>5</v>
      </c>
      <c r="H11" s="6" t="s">
        <v>249</v>
      </c>
      <c r="I11" s="9" t="s">
        <v>976</v>
      </c>
      <c r="J11" s="9" t="s">
        <v>145</v>
      </c>
    </row>
    <row r="12" spans="1:13">
      <c r="A12" s="5" t="s">
        <v>254</v>
      </c>
      <c r="B12" s="6" t="s">
        <v>2505</v>
      </c>
      <c r="C12" s="7">
        <v>46235</v>
      </c>
      <c r="D12" s="9" t="s">
        <v>503</v>
      </c>
      <c r="E12" s="8" t="s">
        <v>206</v>
      </c>
      <c r="F12" s="9" t="s">
        <v>242</v>
      </c>
      <c r="G12" s="9">
        <v>2</v>
      </c>
      <c r="H12" s="6" t="s">
        <v>249</v>
      </c>
      <c r="I12" s="9" t="s">
        <v>976</v>
      </c>
      <c r="J12" s="9" t="s">
        <v>145</v>
      </c>
    </row>
    <row r="13" spans="1:13">
      <c r="A13" s="5" t="s">
        <v>255</v>
      </c>
      <c r="B13" s="6" t="s">
        <v>2506</v>
      </c>
      <c r="C13" s="7">
        <v>46235</v>
      </c>
      <c r="D13" s="9" t="s">
        <v>241</v>
      </c>
      <c r="E13" s="8" t="s">
        <v>1152</v>
      </c>
      <c r="F13" s="9" t="s">
        <v>586</v>
      </c>
      <c r="G13" s="9">
        <v>1</v>
      </c>
      <c r="H13" s="6" t="s">
        <v>587</v>
      </c>
      <c r="I13" s="9" t="s">
        <v>289</v>
      </c>
      <c r="J13" s="9" t="s">
        <v>145</v>
      </c>
    </row>
    <row r="14" spans="1:13">
      <c r="A14" s="5" t="s">
        <v>259</v>
      </c>
      <c r="B14" s="6" t="s">
        <v>2506</v>
      </c>
      <c r="C14" s="7">
        <v>46235</v>
      </c>
      <c r="D14" s="9" t="s">
        <v>261</v>
      </c>
      <c r="E14" s="8" t="s">
        <v>62</v>
      </c>
      <c r="F14" s="9" t="s">
        <v>586</v>
      </c>
      <c r="G14" s="9">
        <v>2</v>
      </c>
      <c r="H14" s="6" t="s">
        <v>587</v>
      </c>
      <c r="I14" s="9" t="s">
        <v>289</v>
      </c>
      <c r="J14" s="9" t="s">
        <v>145</v>
      </c>
    </row>
    <row r="15" spans="1:13">
      <c r="A15" s="5" t="s">
        <v>260</v>
      </c>
      <c r="B15" s="6" t="s">
        <v>2507</v>
      </c>
      <c r="C15" s="7">
        <v>46235</v>
      </c>
      <c r="D15" s="9" t="s">
        <v>299</v>
      </c>
      <c r="E15" s="8" t="s">
        <v>376</v>
      </c>
      <c r="F15" s="9" t="s">
        <v>242</v>
      </c>
      <c r="G15" s="9">
        <v>1</v>
      </c>
      <c r="H15" s="6" t="s">
        <v>249</v>
      </c>
      <c r="I15" s="9" t="s">
        <v>605</v>
      </c>
      <c r="J15" s="9" t="s">
        <v>145</v>
      </c>
    </row>
    <row r="16" spans="1:13">
      <c r="A16" s="5" t="s">
        <v>262</v>
      </c>
      <c r="B16" s="6" t="s">
        <v>2507</v>
      </c>
      <c r="C16" s="7">
        <v>46235</v>
      </c>
      <c r="D16" s="9" t="s">
        <v>299</v>
      </c>
      <c r="E16" s="8" t="s">
        <v>21</v>
      </c>
      <c r="F16" s="9" t="s">
        <v>246</v>
      </c>
      <c r="G16" s="9">
        <v>1</v>
      </c>
      <c r="H16" s="6" t="s">
        <v>249</v>
      </c>
      <c r="I16" s="9" t="s">
        <v>605</v>
      </c>
      <c r="J16" s="9" t="s">
        <v>145</v>
      </c>
    </row>
    <row r="17" spans="1:10">
      <c r="A17" s="5" t="s">
        <v>267</v>
      </c>
      <c r="B17" s="6" t="s">
        <v>2508</v>
      </c>
      <c r="C17" s="7">
        <v>46235</v>
      </c>
      <c r="D17" s="9" t="s">
        <v>665</v>
      </c>
      <c r="E17" s="8" t="s">
        <v>666</v>
      </c>
      <c r="F17" s="9" t="s">
        <v>242</v>
      </c>
      <c r="G17" s="9">
        <v>1</v>
      </c>
      <c r="H17" s="6" t="s">
        <v>2509</v>
      </c>
      <c r="I17" s="9" t="s">
        <v>258</v>
      </c>
      <c r="J17" s="9" t="s">
        <v>145</v>
      </c>
    </row>
    <row r="18" spans="1:10">
      <c r="A18" s="5" t="s">
        <v>268</v>
      </c>
      <c r="B18" s="6" t="s">
        <v>2508</v>
      </c>
      <c r="C18" s="7">
        <v>46235</v>
      </c>
      <c r="D18" s="9" t="s">
        <v>500</v>
      </c>
      <c r="E18" s="8" t="s">
        <v>3</v>
      </c>
      <c r="F18" s="9" t="s">
        <v>242</v>
      </c>
      <c r="G18" s="9">
        <v>1</v>
      </c>
      <c r="H18" s="6" t="s">
        <v>2509</v>
      </c>
      <c r="I18" s="9" t="s">
        <v>258</v>
      </c>
      <c r="J18" s="9" t="s">
        <v>145</v>
      </c>
    </row>
    <row r="19" spans="1:10">
      <c r="A19" s="5" t="s">
        <v>269</v>
      </c>
      <c r="B19" s="6" t="s">
        <v>2508</v>
      </c>
      <c r="C19" s="7">
        <v>46235</v>
      </c>
      <c r="D19" s="9" t="s">
        <v>711</v>
      </c>
      <c r="E19" s="8" t="s">
        <v>111</v>
      </c>
      <c r="F19" s="9" t="s">
        <v>242</v>
      </c>
      <c r="G19" s="9">
        <v>1</v>
      </c>
      <c r="H19" s="6" t="s">
        <v>2509</v>
      </c>
      <c r="I19" s="9" t="s">
        <v>258</v>
      </c>
      <c r="J19" s="9" t="s">
        <v>145</v>
      </c>
    </row>
    <row r="20" spans="1:10">
      <c r="A20" s="5" t="s">
        <v>272</v>
      </c>
      <c r="B20" s="6" t="s">
        <v>2508</v>
      </c>
      <c r="C20" s="7">
        <v>46235</v>
      </c>
      <c r="D20" s="9" t="s">
        <v>714</v>
      </c>
      <c r="E20" s="4" t="s">
        <v>715</v>
      </c>
      <c r="F20" s="9" t="s">
        <v>242</v>
      </c>
      <c r="G20" s="9">
        <v>1</v>
      </c>
      <c r="H20" s="6" t="s">
        <v>2509</v>
      </c>
      <c r="I20" s="9" t="s">
        <v>258</v>
      </c>
      <c r="J20" s="9" t="s">
        <v>145</v>
      </c>
    </row>
    <row r="21" spans="1:10">
      <c r="A21" s="5" t="s">
        <v>276</v>
      </c>
      <c r="B21" s="6" t="s">
        <v>2508</v>
      </c>
      <c r="C21" s="7">
        <v>46235</v>
      </c>
      <c r="D21" s="9" t="s">
        <v>503</v>
      </c>
      <c r="E21" s="8" t="s">
        <v>1429</v>
      </c>
      <c r="F21" s="9" t="s">
        <v>242</v>
      </c>
      <c r="G21" s="9">
        <v>25</v>
      </c>
      <c r="H21" s="6" t="s">
        <v>2509</v>
      </c>
      <c r="I21" s="9" t="s">
        <v>258</v>
      </c>
      <c r="J21" s="9" t="s">
        <v>145</v>
      </c>
    </row>
    <row r="22" spans="1:10">
      <c r="A22" s="5" t="s">
        <v>277</v>
      </c>
      <c r="B22" s="6" t="s">
        <v>2508</v>
      </c>
      <c r="C22" s="7">
        <v>46235</v>
      </c>
      <c r="D22" s="9" t="s">
        <v>503</v>
      </c>
      <c r="E22" s="8" t="s">
        <v>160</v>
      </c>
      <c r="F22" s="9" t="s">
        <v>242</v>
      </c>
      <c r="G22" s="9">
        <v>8</v>
      </c>
      <c r="H22" s="6" t="s">
        <v>2509</v>
      </c>
      <c r="I22" s="9" t="s">
        <v>258</v>
      </c>
      <c r="J22" s="9" t="s">
        <v>145</v>
      </c>
    </row>
    <row r="23" spans="1:10">
      <c r="A23" s="5" t="s">
        <v>279</v>
      </c>
      <c r="B23" s="6" t="s">
        <v>2508</v>
      </c>
      <c r="C23" s="7">
        <v>46235</v>
      </c>
      <c r="D23" s="9" t="s">
        <v>503</v>
      </c>
      <c r="E23" s="8" t="s">
        <v>71</v>
      </c>
      <c r="F23" s="9" t="s">
        <v>242</v>
      </c>
      <c r="G23" s="9">
        <v>1</v>
      </c>
      <c r="H23" s="6" t="s">
        <v>2509</v>
      </c>
      <c r="I23" s="9" t="s">
        <v>258</v>
      </c>
      <c r="J23" s="9" t="s">
        <v>145</v>
      </c>
    </row>
    <row r="24" spans="1:10">
      <c r="A24" s="5" t="s">
        <v>280</v>
      </c>
      <c r="B24" s="6" t="s">
        <v>2508</v>
      </c>
      <c r="C24" s="7">
        <v>46235</v>
      </c>
      <c r="D24" s="9" t="s">
        <v>503</v>
      </c>
      <c r="E24" s="8" t="s">
        <v>75</v>
      </c>
      <c r="F24" s="9" t="s">
        <v>242</v>
      </c>
      <c r="G24" s="9">
        <v>3</v>
      </c>
      <c r="H24" s="6" t="s">
        <v>2509</v>
      </c>
      <c r="I24" s="9" t="s">
        <v>258</v>
      </c>
      <c r="J24" s="9" t="s">
        <v>145</v>
      </c>
    </row>
    <row r="25" spans="1:10">
      <c r="A25" s="5" t="s">
        <v>282</v>
      </c>
      <c r="B25" s="6" t="s">
        <v>2508</v>
      </c>
      <c r="C25" s="7">
        <v>46235</v>
      </c>
      <c r="D25" s="9" t="s">
        <v>270</v>
      </c>
      <c r="E25" s="8" t="s">
        <v>271</v>
      </c>
      <c r="F25" s="9" t="s">
        <v>242</v>
      </c>
      <c r="G25" s="9">
        <v>5</v>
      </c>
      <c r="H25" s="6" t="s">
        <v>2509</v>
      </c>
      <c r="I25" s="9" t="s">
        <v>258</v>
      </c>
      <c r="J25" s="9" t="s">
        <v>145</v>
      </c>
    </row>
    <row r="26" spans="1:10">
      <c r="A26" s="5" t="s">
        <v>285</v>
      </c>
      <c r="B26" s="6" t="s">
        <v>2510</v>
      </c>
      <c r="C26" s="7">
        <v>46235</v>
      </c>
      <c r="D26" s="9" t="s">
        <v>665</v>
      </c>
      <c r="E26" s="4" t="s">
        <v>666</v>
      </c>
      <c r="F26" s="9" t="s">
        <v>242</v>
      </c>
      <c r="G26" s="9">
        <v>1</v>
      </c>
      <c r="H26" s="6" t="s">
        <v>2511</v>
      </c>
      <c r="I26" s="9" t="s">
        <v>258</v>
      </c>
      <c r="J26" s="9" t="s">
        <v>145</v>
      </c>
    </row>
    <row r="27" spans="1:10">
      <c r="A27" s="5" t="s">
        <v>286</v>
      </c>
      <c r="B27" s="6" t="s">
        <v>2510</v>
      </c>
      <c r="C27" s="7">
        <v>46235</v>
      </c>
      <c r="D27" s="9" t="s">
        <v>665</v>
      </c>
      <c r="E27" s="8" t="s">
        <v>666</v>
      </c>
      <c r="F27" s="9" t="s">
        <v>246</v>
      </c>
      <c r="G27" s="9">
        <v>1</v>
      </c>
      <c r="H27" s="6" t="s">
        <v>2511</v>
      </c>
      <c r="I27" s="9" t="s">
        <v>258</v>
      </c>
      <c r="J27" s="9" t="s">
        <v>145</v>
      </c>
    </row>
    <row r="28" spans="1:10">
      <c r="A28" s="5" t="s">
        <v>287</v>
      </c>
      <c r="B28" s="6" t="s">
        <v>2510</v>
      </c>
      <c r="C28" s="7">
        <v>46235</v>
      </c>
      <c r="D28" s="9" t="s">
        <v>261</v>
      </c>
      <c r="E28" s="8" t="s">
        <v>64</v>
      </c>
      <c r="F28" s="9" t="s">
        <v>242</v>
      </c>
      <c r="G28" s="9">
        <v>1</v>
      </c>
      <c r="H28" s="6" t="s">
        <v>2511</v>
      </c>
      <c r="I28" s="9" t="s">
        <v>258</v>
      </c>
      <c r="J28" s="9" t="s">
        <v>145</v>
      </c>
    </row>
    <row r="29" spans="1:10">
      <c r="A29" s="5" t="s">
        <v>290</v>
      </c>
      <c r="B29" s="6" t="s">
        <v>2510</v>
      </c>
      <c r="C29" s="7">
        <v>46235</v>
      </c>
      <c r="D29" s="9" t="s">
        <v>270</v>
      </c>
      <c r="E29" s="8" t="s">
        <v>271</v>
      </c>
      <c r="F29" s="9" t="s">
        <v>242</v>
      </c>
      <c r="G29" s="9">
        <v>1</v>
      </c>
      <c r="H29" s="6" t="s">
        <v>2511</v>
      </c>
      <c r="I29" s="9" t="s">
        <v>258</v>
      </c>
      <c r="J29" s="9" t="s">
        <v>145</v>
      </c>
    </row>
    <row r="30" spans="1:10">
      <c r="A30" s="5" t="s">
        <v>291</v>
      </c>
      <c r="B30" s="6" t="s">
        <v>2510</v>
      </c>
      <c r="C30" s="7">
        <v>46235</v>
      </c>
      <c r="D30" s="9" t="s">
        <v>503</v>
      </c>
      <c r="E30" s="4" t="s">
        <v>1429</v>
      </c>
      <c r="F30" s="9" t="s">
        <v>242</v>
      </c>
      <c r="G30" s="9">
        <v>10</v>
      </c>
      <c r="H30" s="6" t="s">
        <v>2511</v>
      </c>
      <c r="I30" s="9" t="s">
        <v>258</v>
      </c>
      <c r="J30" s="9" t="s">
        <v>145</v>
      </c>
    </row>
    <row r="31" spans="1:10">
      <c r="A31" s="5" t="s">
        <v>293</v>
      </c>
      <c r="B31" s="6" t="s">
        <v>2512</v>
      </c>
      <c r="C31" s="7">
        <v>46237</v>
      </c>
      <c r="D31" s="9" t="s">
        <v>299</v>
      </c>
      <c r="E31" s="8" t="s">
        <v>21</v>
      </c>
      <c r="F31" s="9" t="s">
        <v>242</v>
      </c>
      <c r="G31" s="9">
        <v>1</v>
      </c>
      <c r="H31" s="6" t="s">
        <v>526</v>
      </c>
      <c r="I31" s="9" t="s">
        <v>284</v>
      </c>
      <c r="J31" s="9" t="s">
        <v>145</v>
      </c>
    </row>
    <row r="32" spans="1:10">
      <c r="A32" s="5" t="s">
        <v>294</v>
      </c>
      <c r="B32" s="6" t="s">
        <v>2512</v>
      </c>
      <c r="C32" s="7">
        <v>46237</v>
      </c>
      <c r="D32" s="9" t="s">
        <v>299</v>
      </c>
      <c r="E32" s="8" t="s">
        <v>21</v>
      </c>
      <c r="F32" s="9" t="s">
        <v>246</v>
      </c>
      <c r="G32" s="9">
        <v>1</v>
      </c>
      <c r="H32" s="6" t="s">
        <v>526</v>
      </c>
      <c r="I32" s="9" t="s">
        <v>284</v>
      </c>
      <c r="J32" s="9" t="s">
        <v>145</v>
      </c>
    </row>
    <row r="33" spans="1:10">
      <c r="A33" s="5" t="s">
        <v>296</v>
      </c>
      <c r="B33" s="6" t="s">
        <v>2513</v>
      </c>
      <c r="C33" s="7">
        <v>46237</v>
      </c>
      <c r="D33" s="9" t="s">
        <v>241</v>
      </c>
      <c r="E33" s="8" t="s">
        <v>1152</v>
      </c>
      <c r="F33" s="9" t="s">
        <v>242</v>
      </c>
      <c r="G33" s="9">
        <v>1</v>
      </c>
      <c r="H33" s="6" t="s">
        <v>243</v>
      </c>
      <c r="I33" s="9" t="s">
        <v>609</v>
      </c>
      <c r="J33" s="9" t="s">
        <v>145</v>
      </c>
    </row>
    <row r="34" spans="1:10">
      <c r="A34" s="5" t="s">
        <v>297</v>
      </c>
      <c r="B34" s="6" t="s">
        <v>2513</v>
      </c>
      <c r="C34" s="7">
        <v>46237</v>
      </c>
      <c r="D34" s="9" t="s">
        <v>241</v>
      </c>
      <c r="E34" s="8" t="s">
        <v>29</v>
      </c>
      <c r="F34" s="9" t="s">
        <v>246</v>
      </c>
      <c r="G34" s="9">
        <v>1</v>
      </c>
      <c r="H34" s="6" t="s">
        <v>243</v>
      </c>
      <c r="I34" s="9" t="s">
        <v>609</v>
      </c>
      <c r="J34" s="9" t="s">
        <v>145</v>
      </c>
    </row>
    <row r="35" spans="1:10">
      <c r="A35" s="5" t="s">
        <v>300</v>
      </c>
      <c r="B35" s="6" t="s">
        <v>2514</v>
      </c>
      <c r="C35" s="7">
        <v>46237</v>
      </c>
      <c r="D35" s="9" t="s">
        <v>241</v>
      </c>
      <c r="E35" s="8" t="s">
        <v>1152</v>
      </c>
      <c r="F35" s="9" t="s">
        <v>242</v>
      </c>
      <c r="G35" s="9">
        <v>1</v>
      </c>
      <c r="H35" s="6" t="s">
        <v>243</v>
      </c>
      <c r="I35" s="9" t="s">
        <v>253</v>
      </c>
      <c r="J35" s="9" t="s">
        <v>145</v>
      </c>
    </row>
    <row r="36" spans="1:10">
      <c r="A36" s="5" t="s">
        <v>301</v>
      </c>
      <c r="B36" s="6" t="s">
        <v>2514</v>
      </c>
      <c r="C36" s="7">
        <v>46237</v>
      </c>
      <c r="D36" s="9" t="s">
        <v>241</v>
      </c>
      <c r="E36" s="8" t="s">
        <v>27</v>
      </c>
      <c r="F36" s="9" t="s">
        <v>246</v>
      </c>
      <c r="G36" s="9">
        <v>1</v>
      </c>
      <c r="H36" s="6" t="s">
        <v>243</v>
      </c>
      <c r="I36" s="9" t="s">
        <v>253</v>
      </c>
      <c r="J36" s="9" t="s">
        <v>145</v>
      </c>
    </row>
    <row r="37" spans="1:10">
      <c r="A37" s="5" t="s">
        <v>302</v>
      </c>
      <c r="B37" s="6" t="s">
        <v>2514</v>
      </c>
      <c r="C37" s="7">
        <v>46237</v>
      </c>
      <c r="D37" s="9" t="s">
        <v>261</v>
      </c>
      <c r="E37" s="8" t="s">
        <v>62</v>
      </c>
      <c r="F37" s="9" t="s">
        <v>242</v>
      </c>
      <c r="G37" s="9">
        <v>2</v>
      </c>
      <c r="H37" s="6" t="s">
        <v>243</v>
      </c>
      <c r="I37" s="9" t="s">
        <v>253</v>
      </c>
      <c r="J37" s="9" t="s">
        <v>145</v>
      </c>
    </row>
    <row r="38" spans="1:10">
      <c r="A38" s="5" t="s">
        <v>303</v>
      </c>
      <c r="B38" s="6" t="s">
        <v>2515</v>
      </c>
      <c r="C38" s="7">
        <v>46237</v>
      </c>
      <c r="D38" s="9" t="s">
        <v>241</v>
      </c>
      <c r="E38" s="8" t="s">
        <v>1152</v>
      </c>
      <c r="F38" s="9" t="s">
        <v>242</v>
      </c>
      <c r="G38" s="9">
        <v>1</v>
      </c>
      <c r="H38" s="6" t="s">
        <v>931</v>
      </c>
      <c r="I38" s="9" t="s">
        <v>284</v>
      </c>
      <c r="J38" s="9" t="s">
        <v>145</v>
      </c>
    </row>
    <row r="39" spans="1:10">
      <c r="A39" s="5" t="s">
        <v>305</v>
      </c>
      <c r="B39" s="6" t="s">
        <v>2515</v>
      </c>
      <c r="C39" s="7">
        <v>46237</v>
      </c>
      <c r="D39" s="9" t="s">
        <v>241</v>
      </c>
      <c r="E39" s="8" t="s">
        <v>29</v>
      </c>
      <c r="F39" s="9" t="s">
        <v>246</v>
      </c>
      <c r="G39" s="9">
        <v>1</v>
      </c>
      <c r="H39" s="6" t="s">
        <v>931</v>
      </c>
      <c r="I39" s="9" t="s">
        <v>284</v>
      </c>
      <c r="J39" s="9" t="s">
        <v>145</v>
      </c>
    </row>
    <row r="40" spans="1:10">
      <c r="A40" s="5" t="s">
        <v>306</v>
      </c>
      <c r="B40" s="6" t="s">
        <v>2515</v>
      </c>
      <c r="C40" s="7">
        <v>46237</v>
      </c>
      <c r="D40" s="9" t="s">
        <v>261</v>
      </c>
      <c r="E40" s="8" t="s">
        <v>281</v>
      </c>
      <c r="F40" s="9" t="s">
        <v>242</v>
      </c>
      <c r="G40" s="9">
        <v>3</v>
      </c>
      <c r="H40" s="6" t="s">
        <v>931</v>
      </c>
      <c r="I40" s="9" t="s">
        <v>284</v>
      </c>
      <c r="J40" s="9" t="s">
        <v>145</v>
      </c>
    </row>
    <row r="41" spans="1:10">
      <c r="A41" s="5" t="s">
        <v>307</v>
      </c>
      <c r="B41" s="6" t="s">
        <v>2516</v>
      </c>
      <c r="C41" s="7">
        <v>46238</v>
      </c>
      <c r="D41" s="9" t="s">
        <v>241</v>
      </c>
      <c r="E41" s="8" t="s">
        <v>1152</v>
      </c>
      <c r="F41" s="9" t="s">
        <v>242</v>
      </c>
      <c r="G41" s="9">
        <v>1</v>
      </c>
      <c r="H41" s="6" t="s">
        <v>320</v>
      </c>
      <c r="I41" s="9" t="s">
        <v>337</v>
      </c>
      <c r="J41" s="9" t="s">
        <v>145</v>
      </c>
    </row>
    <row r="42" spans="1:10">
      <c r="A42" s="5" t="s">
        <v>308</v>
      </c>
      <c r="B42" s="6" t="s">
        <v>2516</v>
      </c>
      <c r="C42" s="7">
        <v>46238</v>
      </c>
      <c r="D42" s="9" t="s">
        <v>241</v>
      </c>
      <c r="E42" s="8" t="s">
        <v>29</v>
      </c>
      <c r="F42" s="9" t="s">
        <v>246</v>
      </c>
      <c r="G42" s="9">
        <v>1</v>
      </c>
      <c r="H42" s="6" t="s">
        <v>320</v>
      </c>
      <c r="I42" s="9" t="s">
        <v>337</v>
      </c>
      <c r="J42" s="9" t="s">
        <v>145</v>
      </c>
    </row>
    <row r="43" spans="1:10">
      <c r="A43" s="5" t="s">
        <v>312</v>
      </c>
      <c r="B43" s="6" t="s">
        <v>2517</v>
      </c>
      <c r="C43" s="7">
        <v>46238</v>
      </c>
      <c r="D43" s="9" t="s">
        <v>299</v>
      </c>
      <c r="E43" s="8" t="s">
        <v>376</v>
      </c>
      <c r="F43" s="9" t="s">
        <v>242</v>
      </c>
      <c r="G43" s="9">
        <v>1</v>
      </c>
      <c r="H43" s="6" t="s">
        <v>328</v>
      </c>
      <c r="I43" s="9" t="s">
        <v>605</v>
      </c>
      <c r="J43" s="9" t="s">
        <v>145</v>
      </c>
    </row>
    <row r="44" spans="1:10">
      <c r="A44" s="5" t="s">
        <v>313</v>
      </c>
      <c r="B44" s="6" t="s">
        <v>2517</v>
      </c>
      <c r="C44" s="7">
        <v>46238</v>
      </c>
      <c r="D44" s="9" t="s">
        <v>299</v>
      </c>
      <c r="E44" s="8" t="s">
        <v>376</v>
      </c>
      <c r="F44" s="9" t="s">
        <v>246</v>
      </c>
      <c r="G44" s="9">
        <v>1</v>
      </c>
      <c r="H44" s="6" t="s">
        <v>328</v>
      </c>
      <c r="I44" s="9" t="s">
        <v>605</v>
      </c>
      <c r="J44" s="9" t="s">
        <v>145</v>
      </c>
    </row>
    <row r="45" spans="1:10">
      <c r="A45" s="5" t="s">
        <v>314</v>
      </c>
      <c r="B45" s="6" t="s">
        <v>2518</v>
      </c>
      <c r="C45" s="7">
        <v>46238</v>
      </c>
      <c r="D45" s="9" t="s">
        <v>241</v>
      </c>
      <c r="E45" s="8" t="s">
        <v>1152</v>
      </c>
      <c r="F45" s="9" t="s">
        <v>242</v>
      </c>
      <c r="G45" s="9">
        <v>1</v>
      </c>
      <c r="H45" s="6" t="s">
        <v>243</v>
      </c>
      <c r="I45" s="9" t="s">
        <v>609</v>
      </c>
      <c r="J45" s="9" t="s">
        <v>145</v>
      </c>
    </row>
    <row r="46" spans="1:10">
      <c r="A46" s="5" t="s">
        <v>317</v>
      </c>
      <c r="B46" s="6" t="s">
        <v>2518</v>
      </c>
      <c r="C46" s="7">
        <v>46238</v>
      </c>
      <c r="D46" s="9" t="s">
        <v>241</v>
      </c>
      <c r="E46" s="8" t="s">
        <v>29</v>
      </c>
      <c r="F46" s="9" t="s">
        <v>246</v>
      </c>
      <c r="G46" s="9">
        <v>1</v>
      </c>
      <c r="H46" s="6" t="s">
        <v>243</v>
      </c>
      <c r="I46" s="9" t="s">
        <v>609</v>
      </c>
      <c r="J46" s="9" t="s">
        <v>145</v>
      </c>
    </row>
    <row r="47" spans="1:10">
      <c r="A47" s="5" t="s">
        <v>318</v>
      </c>
      <c r="B47" s="6" t="s">
        <v>2510</v>
      </c>
      <c r="C47" s="7">
        <v>46238</v>
      </c>
      <c r="D47" s="9" t="s">
        <v>665</v>
      </c>
      <c r="E47" s="8" t="s">
        <v>666</v>
      </c>
      <c r="F47" s="9" t="s">
        <v>242</v>
      </c>
      <c r="G47" s="9">
        <v>1</v>
      </c>
      <c r="H47" s="6" t="s">
        <v>2519</v>
      </c>
      <c r="I47" s="9" t="s">
        <v>311</v>
      </c>
      <c r="J47" s="9" t="s">
        <v>145</v>
      </c>
    </row>
    <row r="48" spans="1:10">
      <c r="A48" s="5" t="s">
        <v>321</v>
      </c>
      <c r="B48" s="6" t="s">
        <v>2510</v>
      </c>
      <c r="C48" s="7">
        <v>46238</v>
      </c>
      <c r="D48" s="9" t="s">
        <v>665</v>
      </c>
      <c r="E48" s="4" t="s">
        <v>666</v>
      </c>
      <c r="F48" s="9" t="s">
        <v>246</v>
      </c>
      <c r="G48" s="9">
        <v>1</v>
      </c>
      <c r="H48" s="6" t="s">
        <v>2519</v>
      </c>
      <c r="I48" s="9" t="s">
        <v>311</v>
      </c>
      <c r="J48" s="9" t="s">
        <v>145</v>
      </c>
    </row>
    <row r="49" spans="1:10">
      <c r="A49" s="5" t="s">
        <v>322</v>
      </c>
      <c r="B49" s="6" t="s">
        <v>2510</v>
      </c>
      <c r="C49" s="7">
        <v>46238</v>
      </c>
      <c r="D49" s="9" t="s">
        <v>270</v>
      </c>
      <c r="E49" s="4" t="s">
        <v>271</v>
      </c>
      <c r="F49" s="9" t="s">
        <v>242</v>
      </c>
      <c r="G49" s="9">
        <v>1</v>
      </c>
      <c r="H49" s="6" t="s">
        <v>2519</v>
      </c>
      <c r="I49" s="9" t="s">
        <v>311</v>
      </c>
      <c r="J49" s="9" t="s">
        <v>145</v>
      </c>
    </row>
    <row r="50" spans="1:10">
      <c r="A50" s="5" t="s">
        <v>324</v>
      </c>
      <c r="B50" s="6" t="s">
        <v>2520</v>
      </c>
      <c r="C50" s="7">
        <v>46238</v>
      </c>
      <c r="D50" s="9" t="s">
        <v>1</v>
      </c>
      <c r="E50" s="8" t="s">
        <v>672</v>
      </c>
      <c r="F50" s="9" t="s">
        <v>242</v>
      </c>
      <c r="G50" s="9">
        <v>2</v>
      </c>
      <c r="H50" s="6" t="s">
        <v>2521</v>
      </c>
      <c r="I50" s="9" t="s">
        <v>311</v>
      </c>
      <c r="J50" s="9" t="s">
        <v>145</v>
      </c>
    </row>
    <row r="51" spans="1:10">
      <c r="A51" s="5" t="s">
        <v>325</v>
      </c>
      <c r="B51" s="6" t="s">
        <v>2520</v>
      </c>
      <c r="C51" s="7">
        <v>46238</v>
      </c>
      <c r="D51" s="9" t="s">
        <v>1</v>
      </c>
      <c r="E51" s="8" t="s">
        <v>659</v>
      </c>
      <c r="F51" s="9" t="s">
        <v>246</v>
      </c>
      <c r="G51" s="9">
        <v>1</v>
      </c>
      <c r="H51" s="6" t="s">
        <v>2521</v>
      </c>
      <c r="I51" s="9" t="s">
        <v>311</v>
      </c>
      <c r="J51" s="9" t="s">
        <v>145</v>
      </c>
    </row>
    <row r="52" spans="1:10">
      <c r="A52" s="5" t="s">
        <v>326</v>
      </c>
      <c r="B52" s="6" t="s">
        <v>2520</v>
      </c>
      <c r="C52" s="7">
        <v>46238</v>
      </c>
      <c r="D52" s="9" t="s">
        <v>1024</v>
      </c>
      <c r="E52" s="8" t="s">
        <v>83</v>
      </c>
      <c r="F52" s="9" t="s">
        <v>242</v>
      </c>
      <c r="G52" s="9">
        <v>1</v>
      </c>
      <c r="H52" s="6" t="s">
        <v>2521</v>
      </c>
      <c r="I52" s="9" t="s">
        <v>311</v>
      </c>
      <c r="J52" s="9" t="s">
        <v>145</v>
      </c>
    </row>
    <row r="53" spans="1:10">
      <c r="A53" s="5" t="s">
        <v>330</v>
      </c>
      <c r="B53" s="6" t="s">
        <v>2520</v>
      </c>
      <c r="C53" s="7">
        <v>46238</v>
      </c>
      <c r="D53" s="9" t="s">
        <v>500</v>
      </c>
      <c r="E53" s="4" t="s">
        <v>4</v>
      </c>
      <c r="F53" s="9" t="s">
        <v>242</v>
      </c>
      <c r="G53" s="9">
        <v>1</v>
      </c>
      <c r="H53" s="6" t="s">
        <v>2521</v>
      </c>
      <c r="I53" s="9" t="s">
        <v>311</v>
      </c>
      <c r="J53" s="9" t="s">
        <v>145</v>
      </c>
    </row>
    <row r="54" spans="1:10">
      <c r="A54" s="5" t="s">
        <v>331</v>
      </c>
      <c r="B54" s="6" t="s">
        <v>2520</v>
      </c>
      <c r="C54" s="7">
        <v>46238</v>
      </c>
      <c r="D54" s="9" t="s">
        <v>261</v>
      </c>
      <c r="E54" s="8" t="s">
        <v>64</v>
      </c>
      <c r="F54" s="9" t="s">
        <v>242</v>
      </c>
      <c r="G54" s="9">
        <v>7</v>
      </c>
      <c r="H54" s="6" t="s">
        <v>2521</v>
      </c>
      <c r="I54" s="9" t="s">
        <v>311</v>
      </c>
      <c r="J54" s="9" t="s">
        <v>145</v>
      </c>
    </row>
    <row r="55" spans="1:10">
      <c r="A55" s="5" t="s">
        <v>332</v>
      </c>
      <c r="B55" s="6" t="s">
        <v>2520</v>
      </c>
      <c r="C55" s="7">
        <v>46238</v>
      </c>
      <c r="D55" s="9" t="s">
        <v>270</v>
      </c>
      <c r="E55" s="4" t="s">
        <v>271</v>
      </c>
      <c r="F55" s="9" t="s">
        <v>242</v>
      </c>
      <c r="G55" s="9">
        <v>7</v>
      </c>
      <c r="H55" s="6" t="s">
        <v>2521</v>
      </c>
      <c r="I55" s="9" t="s">
        <v>311</v>
      </c>
      <c r="J55" s="9" t="s">
        <v>145</v>
      </c>
    </row>
    <row r="56" spans="1:10">
      <c r="A56" s="5" t="s">
        <v>334</v>
      </c>
      <c r="B56" s="6" t="s">
        <v>2520</v>
      </c>
      <c r="C56" s="7">
        <v>46238</v>
      </c>
      <c r="D56" s="9" t="s">
        <v>503</v>
      </c>
      <c r="E56" s="8" t="s">
        <v>162</v>
      </c>
      <c r="F56" s="9" t="s">
        <v>242</v>
      </c>
      <c r="G56" s="9">
        <v>2</v>
      </c>
      <c r="H56" s="6" t="s">
        <v>2521</v>
      </c>
      <c r="I56" s="9" t="s">
        <v>311</v>
      </c>
      <c r="J56" s="9" t="s">
        <v>145</v>
      </c>
    </row>
    <row r="57" spans="1:10">
      <c r="A57" s="5" t="s">
        <v>335</v>
      </c>
      <c r="B57" s="6" t="s">
        <v>2522</v>
      </c>
      <c r="C57" s="7">
        <v>46238</v>
      </c>
      <c r="D57" s="9" t="s">
        <v>241</v>
      </c>
      <c r="E57" s="4" t="s">
        <v>1152</v>
      </c>
      <c r="F57" s="9" t="s">
        <v>242</v>
      </c>
      <c r="G57" s="9">
        <v>1</v>
      </c>
      <c r="H57" s="6" t="s">
        <v>243</v>
      </c>
      <c r="I57" s="9" t="s">
        <v>284</v>
      </c>
      <c r="J57" s="9" t="s">
        <v>145</v>
      </c>
    </row>
    <row r="58" spans="1:10">
      <c r="A58" s="5" t="s">
        <v>338</v>
      </c>
      <c r="B58" s="6" t="s">
        <v>2522</v>
      </c>
      <c r="C58" s="7">
        <v>46238</v>
      </c>
      <c r="D58" s="9" t="s">
        <v>241</v>
      </c>
      <c r="E58" s="8" t="s">
        <v>29</v>
      </c>
      <c r="F58" s="9" t="s">
        <v>246</v>
      </c>
      <c r="G58" s="9">
        <v>1</v>
      </c>
      <c r="H58" s="6" t="s">
        <v>243</v>
      </c>
      <c r="I58" s="9" t="s">
        <v>284</v>
      </c>
      <c r="J58" s="9" t="s">
        <v>145</v>
      </c>
    </row>
    <row r="59" spans="1:10">
      <c r="A59" s="5" t="s">
        <v>339</v>
      </c>
      <c r="B59" s="6" t="s">
        <v>2523</v>
      </c>
      <c r="C59" s="7">
        <v>46240</v>
      </c>
      <c r="D59" s="9" t="s">
        <v>241</v>
      </c>
      <c r="E59" s="8" t="s">
        <v>1152</v>
      </c>
      <c r="F59" s="9" t="s">
        <v>242</v>
      </c>
      <c r="G59" s="9">
        <v>1</v>
      </c>
      <c r="H59" s="6" t="s">
        <v>2524</v>
      </c>
      <c r="I59" s="9" t="s">
        <v>329</v>
      </c>
      <c r="J59" s="9" t="s">
        <v>145</v>
      </c>
    </row>
    <row r="60" spans="1:10">
      <c r="A60" s="5" t="s">
        <v>342</v>
      </c>
      <c r="B60" s="6" t="s">
        <v>2523</v>
      </c>
      <c r="C60" s="7">
        <v>46240</v>
      </c>
      <c r="D60" s="9" t="s">
        <v>241</v>
      </c>
      <c r="E60" s="8" t="s">
        <v>29</v>
      </c>
      <c r="F60" s="9" t="s">
        <v>246</v>
      </c>
      <c r="G60" s="9">
        <v>1</v>
      </c>
      <c r="H60" s="6" t="s">
        <v>2524</v>
      </c>
      <c r="I60" s="9" t="s">
        <v>329</v>
      </c>
      <c r="J60" s="9" t="s">
        <v>145</v>
      </c>
    </row>
    <row r="61" spans="1:10">
      <c r="A61" s="5" t="s">
        <v>343</v>
      </c>
      <c r="B61" s="6" t="s">
        <v>2525</v>
      </c>
      <c r="C61" s="7">
        <v>46240</v>
      </c>
      <c r="D61" s="9" t="s">
        <v>241</v>
      </c>
      <c r="E61" s="8" t="s">
        <v>1152</v>
      </c>
      <c r="F61" s="9" t="s">
        <v>242</v>
      </c>
      <c r="G61" s="9">
        <v>1</v>
      </c>
      <c r="H61" s="6" t="s">
        <v>931</v>
      </c>
      <c r="I61" s="9" t="s">
        <v>266</v>
      </c>
      <c r="J61" s="9" t="s">
        <v>145</v>
      </c>
    </row>
    <row r="62" spans="1:10">
      <c r="A62" s="5" t="s">
        <v>345</v>
      </c>
      <c r="B62" s="6" t="s">
        <v>2525</v>
      </c>
      <c r="C62" s="7">
        <v>46240</v>
      </c>
      <c r="D62" s="9" t="s">
        <v>241</v>
      </c>
      <c r="E62" s="8" t="s">
        <v>29</v>
      </c>
      <c r="F62" s="9" t="s">
        <v>246</v>
      </c>
      <c r="G62" s="9">
        <v>1</v>
      </c>
      <c r="H62" s="6" t="s">
        <v>931</v>
      </c>
      <c r="I62" s="9" t="s">
        <v>266</v>
      </c>
      <c r="J62" s="9" t="s">
        <v>145</v>
      </c>
    </row>
    <row r="63" spans="1:10">
      <c r="A63" s="5" t="s">
        <v>346</v>
      </c>
      <c r="B63" s="6" t="s">
        <v>2525</v>
      </c>
      <c r="C63" s="7">
        <v>46240</v>
      </c>
      <c r="D63" s="9" t="s">
        <v>261</v>
      </c>
      <c r="E63" s="4" t="s">
        <v>62</v>
      </c>
      <c r="F63" s="9" t="s">
        <v>242</v>
      </c>
      <c r="G63" s="9">
        <v>1</v>
      </c>
      <c r="H63" s="6" t="s">
        <v>931</v>
      </c>
      <c r="I63" s="9" t="s">
        <v>266</v>
      </c>
      <c r="J63" s="9" t="s">
        <v>145</v>
      </c>
    </row>
    <row r="64" spans="1:10">
      <c r="A64" s="5" t="s">
        <v>349</v>
      </c>
      <c r="B64" s="6" t="s">
        <v>2526</v>
      </c>
      <c r="C64" s="7">
        <v>46241</v>
      </c>
      <c r="D64" s="9" t="s">
        <v>299</v>
      </c>
      <c r="E64" s="8" t="s">
        <v>21</v>
      </c>
      <c r="F64" s="9" t="s">
        <v>242</v>
      </c>
      <c r="G64" s="9">
        <v>1</v>
      </c>
      <c r="H64" s="6" t="s">
        <v>320</v>
      </c>
      <c r="I64" s="9" t="s">
        <v>357</v>
      </c>
      <c r="J64" s="9" t="s">
        <v>145</v>
      </c>
    </row>
    <row r="65" spans="1:10">
      <c r="A65" s="5" t="s">
        <v>350</v>
      </c>
      <c r="B65" s="6" t="s">
        <v>2526</v>
      </c>
      <c r="C65" s="7">
        <v>46241</v>
      </c>
      <c r="D65" s="9" t="s">
        <v>299</v>
      </c>
      <c r="E65" s="8" t="s">
        <v>21</v>
      </c>
      <c r="F65" s="9" t="s">
        <v>246</v>
      </c>
      <c r="G65" s="9">
        <v>1</v>
      </c>
      <c r="H65" s="6" t="s">
        <v>320</v>
      </c>
      <c r="I65" s="9" t="s">
        <v>357</v>
      </c>
      <c r="J65" s="9" t="s">
        <v>145</v>
      </c>
    </row>
    <row r="66" spans="1:10">
      <c r="A66" s="5" t="s">
        <v>353</v>
      </c>
      <c r="B66" s="6" t="s">
        <v>2520</v>
      </c>
      <c r="C66" s="7">
        <v>46241</v>
      </c>
      <c r="D66" s="9" t="s">
        <v>1</v>
      </c>
      <c r="E66" s="8" t="s">
        <v>672</v>
      </c>
      <c r="F66" s="9" t="s">
        <v>242</v>
      </c>
      <c r="G66" s="9">
        <v>1</v>
      </c>
      <c r="H66" s="6" t="s">
        <v>2527</v>
      </c>
      <c r="I66" s="9" t="s">
        <v>311</v>
      </c>
      <c r="J66" s="9" t="s">
        <v>145</v>
      </c>
    </row>
    <row r="67" spans="1:10">
      <c r="A67" s="5" t="s">
        <v>354</v>
      </c>
      <c r="B67" s="6" t="s">
        <v>2520</v>
      </c>
      <c r="C67" s="7">
        <v>46241</v>
      </c>
      <c r="D67" s="9" t="s">
        <v>1</v>
      </c>
      <c r="E67" s="8" t="s">
        <v>672</v>
      </c>
      <c r="F67" s="9" t="s">
        <v>246</v>
      </c>
      <c r="G67" s="9">
        <v>1</v>
      </c>
      <c r="H67" s="6" t="s">
        <v>2527</v>
      </c>
      <c r="I67" s="9" t="s">
        <v>311</v>
      </c>
      <c r="J67" s="9" t="s">
        <v>145</v>
      </c>
    </row>
    <row r="68" spans="1:10">
      <c r="A68" s="5" t="s">
        <v>355</v>
      </c>
      <c r="B68" s="6" t="s">
        <v>2528</v>
      </c>
      <c r="C68" s="7">
        <v>46244</v>
      </c>
      <c r="D68" s="9" t="s">
        <v>241</v>
      </c>
      <c r="E68" s="8" t="s">
        <v>1152</v>
      </c>
      <c r="F68" s="9" t="s">
        <v>242</v>
      </c>
      <c r="G68" s="9">
        <v>1</v>
      </c>
      <c r="H68" s="6" t="s">
        <v>954</v>
      </c>
      <c r="I68" s="9" t="s">
        <v>275</v>
      </c>
      <c r="J68" s="9" t="s">
        <v>145</v>
      </c>
    </row>
    <row r="69" spans="1:10">
      <c r="A69" s="5" t="s">
        <v>358</v>
      </c>
      <c r="B69" s="6" t="s">
        <v>2528</v>
      </c>
      <c r="C69" s="7">
        <v>46244</v>
      </c>
      <c r="D69" s="9" t="s">
        <v>241</v>
      </c>
      <c r="E69" s="8" t="s">
        <v>29</v>
      </c>
      <c r="F69" s="9" t="s">
        <v>246</v>
      </c>
      <c r="G69" s="9">
        <v>1</v>
      </c>
      <c r="H69" s="6" t="s">
        <v>954</v>
      </c>
      <c r="I69" s="9" t="s">
        <v>275</v>
      </c>
      <c r="J69" s="9" t="s">
        <v>145</v>
      </c>
    </row>
    <row r="70" spans="1:10">
      <c r="A70" s="5" t="s">
        <v>359</v>
      </c>
      <c r="B70" s="6" t="s">
        <v>2529</v>
      </c>
      <c r="C70" s="7">
        <v>46244</v>
      </c>
      <c r="D70" s="9" t="s">
        <v>299</v>
      </c>
      <c r="E70" s="8" t="s">
        <v>376</v>
      </c>
      <c r="F70" s="9" t="s">
        <v>242</v>
      </c>
      <c r="G70" s="9">
        <v>1</v>
      </c>
      <c r="H70" s="6" t="s">
        <v>328</v>
      </c>
      <c r="I70" s="9" t="s">
        <v>258</v>
      </c>
      <c r="J70" s="9" t="s">
        <v>145</v>
      </c>
    </row>
    <row r="71" spans="1:10">
      <c r="A71" s="5" t="s">
        <v>361</v>
      </c>
      <c r="B71" s="6" t="s">
        <v>2529</v>
      </c>
      <c r="C71" s="7">
        <v>46244</v>
      </c>
      <c r="D71" s="9" t="s">
        <v>299</v>
      </c>
      <c r="E71" s="8" t="s">
        <v>376</v>
      </c>
      <c r="F71" s="9" t="s">
        <v>246</v>
      </c>
      <c r="G71" s="9">
        <v>0</v>
      </c>
      <c r="H71" s="6" t="s">
        <v>328</v>
      </c>
      <c r="I71" s="9" t="s">
        <v>258</v>
      </c>
      <c r="J71" s="9" t="s">
        <v>145</v>
      </c>
    </row>
    <row r="72" spans="1:10">
      <c r="A72" s="5" t="s">
        <v>364</v>
      </c>
      <c r="B72" s="6" t="s">
        <v>2530</v>
      </c>
      <c r="C72" s="7">
        <v>46245</v>
      </c>
      <c r="D72" s="9" t="s">
        <v>665</v>
      </c>
      <c r="E72" s="4" t="s">
        <v>666</v>
      </c>
      <c r="F72" s="9" t="s">
        <v>242</v>
      </c>
      <c r="G72" s="9">
        <v>1</v>
      </c>
      <c r="H72" s="6" t="s">
        <v>2531</v>
      </c>
      <c r="I72" s="9" t="s">
        <v>311</v>
      </c>
      <c r="J72" s="9" t="s">
        <v>145</v>
      </c>
    </row>
    <row r="73" spans="1:10">
      <c r="A73" s="5" t="s">
        <v>365</v>
      </c>
      <c r="B73" s="6" t="s">
        <v>2530</v>
      </c>
      <c r="C73" s="7">
        <v>46245</v>
      </c>
      <c r="D73" s="9" t="s">
        <v>270</v>
      </c>
      <c r="E73" s="8" t="s">
        <v>271</v>
      </c>
      <c r="F73" s="9" t="s">
        <v>242</v>
      </c>
      <c r="G73" s="9">
        <v>1</v>
      </c>
      <c r="H73" s="6" t="s">
        <v>2531</v>
      </c>
      <c r="I73" s="9" t="s">
        <v>311</v>
      </c>
      <c r="J73" s="9" t="s">
        <v>145</v>
      </c>
    </row>
    <row r="74" spans="1:10">
      <c r="A74" s="5" t="s">
        <v>368</v>
      </c>
      <c r="B74" s="6" t="s">
        <v>2530</v>
      </c>
      <c r="C74" s="7">
        <v>46245</v>
      </c>
      <c r="D74" s="9" t="s">
        <v>503</v>
      </c>
      <c r="E74" s="8" t="s">
        <v>1429</v>
      </c>
      <c r="F74" s="9" t="s">
        <v>242</v>
      </c>
      <c r="G74" s="9">
        <v>12</v>
      </c>
      <c r="H74" s="6" t="s">
        <v>2531</v>
      </c>
      <c r="I74" s="9" t="s">
        <v>311</v>
      </c>
      <c r="J74" s="9" t="s">
        <v>145</v>
      </c>
    </row>
    <row r="75" spans="1:10">
      <c r="A75" s="5" t="s">
        <v>369</v>
      </c>
      <c r="B75" s="6" t="s">
        <v>2532</v>
      </c>
      <c r="C75" s="7">
        <v>46245</v>
      </c>
      <c r="D75" s="9" t="s">
        <v>299</v>
      </c>
      <c r="E75" s="8" t="s">
        <v>21</v>
      </c>
      <c r="F75" s="9" t="s">
        <v>242</v>
      </c>
      <c r="G75" s="9">
        <v>1</v>
      </c>
      <c r="H75" s="6" t="s">
        <v>1891</v>
      </c>
      <c r="I75" s="9" t="s">
        <v>609</v>
      </c>
      <c r="J75" s="9" t="s">
        <v>145</v>
      </c>
    </row>
    <row r="76" spans="1:10">
      <c r="A76" s="5" t="s">
        <v>370</v>
      </c>
      <c r="B76" s="6" t="s">
        <v>2532</v>
      </c>
      <c r="C76" s="7">
        <v>46245</v>
      </c>
      <c r="D76" s="9" t="s">
        <v>299</v>
      </c>
      <c r="E76" s="8" t="s">
        <v>1334</v>
      </c>
      <c r="F76" s="9" t="s">
        <v>246</v>
      </c>
      <c r="G76" s="9">
        <v>1</v>
      </c>
      <c r="H76" s="6" t="s">
        <v>1891</v>
      </c>
      <c r="I76" s="9" t="s">
        <v>609</v>
      </c>
      <c r="J76" s="9" t="s">
        <v>145</v>
      </c>
    </row>
    <row r="77" spans="1:10">
      <c r="A77" s="5" t="s">
        <v>372</v>
      </c>
      <c r="B77" s="6" t="s">
        <v>2532</v>
      </c>
      <c r="C77" s="7">
        <v>46245</v>
      </c>
      <c r="D77" s="9" t="s">
        <v>261</v>
      </c>
      <c r="E77" s="8" t="s">
        <v>64</v>
      </c>
      <c r="F77" s="9" t="s">
        <v>242</v>
      </c>
      <c r="G77" s="9">
        <v>3</v>
      </c>
      <c r="H77" s="6" t="s">
        <v>1891</v>
      </c>
      <c r="I77" s="9" t="s">
        <v>609</v>
      </c>
      <c r="J77" s="9" t="s">
        <v>145</v>
      </c>
    </row>
    <row r="78" spans="1:10">
      <c r="A78" s="5" t="s">
        <v>373</v>
      </c>
      <c r="B78" s="6" t="s">
        <v>2532</v>
      </c>
      <c r="C78" s="7">
        <v>46245</v>
      </c>
      <c r="D78" s="9" t="s">
        <v>270</v>
      </c>
      <c r="E78" s="8" t="s">
        <v>271</v>
      </c>
      <c r="F78" s="9" t="s">
        <v>242</v>
      </c>
      <c r="G78" s="9">
        <v>3</v>
      </c>
      <c r="H78" s="6" t="s">
        <v>1891</v>
      </c>
      <c r="I78" s="9" t="s">
        <v>609</v>
      </c>
      <c r="J78" s="9" t="s">
        <v>145</v>
      </c>
    </row>
    <row r="79" spans="1:10">
      <c r="A79" s="5" t="s">
        <v>375</v>
      </c>
      <c r="B79" s="6" t="s">
        <v>2532</v>
      </c>
      <c r="C79" s="7">
        <v>46245</v>
      </c>
      <c r="D79" s="9" t="s">
        <v>503</v>
      </c>
      <c r="E79" s="8" t="s">
        <v>162</v>
      </c>
      <c r="F79" s="9" t="s">
        <v>242</v>
      </c>
      <c r="G79" s="9">
        <v>1</v>
      </c>
      <c r="H79" s="6" t="s">
        <v>1891</v>
      </c>
      <c r="I79" s="9" t="s">
        <v>609</v>
      </c>
      <c r="J79" s="9" t="s">
        <v>145</v>
      </c>
    </row>
    <row r="80" spans="1:10">
      <c r="A80" s="5" t="s">
        <v>377</v>
      </c>
      <c r="B80" s="6" t="s">
        <v>2533</v>
      </c>
      <c r="C80" s="7">
        <v>46245</v>
      </c>
      <c r="D80" s="9" t="s">
        <v>241</v>
      </c>
      <c r="E80" s="4" t="s">
        <v>1152</v>
      </c>
      <c r="F80" s="9" t="s">
        <v>242</v>
      </c>
      <c r="G80" s="9">
        <v>1</v>
      </c>
      <c r="H80" s="6" t="s">
        <v>243</v>
      </c>
      <c r="I80" s="9" t="s">
        <v>337</v>
      </c>
      <c r="J80" s="9" t="s">
        <v>145</v>
      </c>
    </row>
    <row r="81" spans="1:10">
      <c r="A81" s="5" t="s">
        <v>378</v>
      </c>
      <c r="B81" s="6" t="s">
        <v>2533</v>
      </c>
      <c r="C81" s="7">
        <v>46245</v>
      </c>
      <c r="D81" s="9" t="s">
        <v>241</v>
      </c>
      <c r="E81" s="8" t="s">
        <v>29</v>
      </c>
      <c r="F81" s="9" t="s">
        <v>246</v>
      </c>
      <c r="G81" s="9">
        <v>1</v>
      </c>
      <c r="H81" s="6" t="s">
        <v>243</v>
      </c>
      <c r="I81" s="9" t="s">
        <v>337</v>
      </c>
      <c r="J81" s="9" t="s">
        <v>145</v>
      </c>
    </row>
    <row r="82" spans="1:10">
      <c r="A82" s="5" t="s">
        <v>379</v>
      </c>
      <c r="B82" s="6" t="s">
        <v>2534</v>
      </c>
      <c r="C82" s="7">
        <v>46245</v>
      </c>
      <c r="D82" s="9" t="s">
        <v>241</v>
      </c>
      <c r="E82" s="8" t="s">
        <v>1152</v>
      </c>
      <c r="F82" s="9" t="s">
        <v>242</v>
      </c>
      <c r="G82" s="9">
        <v>1</v>
      </c>
      <c r="H82" s="6" t="s">
        <v>1417</v>
      </c>
      <c r="I82" s="9" t="s">
        <v>1546</v>
      </c>
      <c r="J82" s="9" t="s">
        <v>145</v>
      </c>
    </row>
    <row r="83" spans="1:10">
      <c r="A83" s="5" t="s">
        <v>381</v>
      </c>
      <c r="B83" s="6" t="s">
        <v>2534</v>
      </c>
      <c r="C83" s="7">
        <v>46245</v>
      </c>
      <c r="D83" s="9" t="s">
        <v>241</v>
      </c>
      <c r="E83" s="8" t="s">
        <v>29</v>
      </c>
      <c r="F83" s="9" t="s">
        <v>246</v>
      </c>
      <c r="G83" s="9">
        <v>1</v>
      </c>
      <c r="H83" s="6" t="s">
        <v>1417</v>
      </c>
      <c r="I83" s="9" t="s">
        <v>1546</v>
      </c>
      <c r="J83" s="9" t="s">
        <v>145</v>
      </c>
    </row>
    <row r="84" spans="1:10">
      <c r="A84" s="5" t="s">
        <v>382</v>
      </c>
      <c r="B84" s="6" t="s">
        <v>2534</v>
      </c>
      <c r="C84" s="7">
        <v>46245</v>
      </c>
      <c r="D84" s="9" t="s">
        <v>261</v>
      </c>
      <c r="E84" s="8" t="s">
        <v>62</v>
      </c>
      <c r="F84" s="9" t="s">
        <v>242</v>
      </c>
      <c r="G84" s="9">
        <v>1</v>
      </c>
      <c r="H84" s="6" t="s">
        <v>1417</v>
      </c>
      <c r="I84" s="9" t="s">
        <v>1546</v>
      </c>
      <c r="J84" s="9" t="s">
        <v>145</v>
      </c>
    </row>
    <row r="85" spans="1:10">
      <c r="A85" s="5" t="s">
        <v>384</v>
      </c>
      <c r="B85" s="6" t="s">
        <v>2535</v>
      </c>
      <c r="C85" s="7">
        <v>46245</v>
      </c>
      <c r="D85" s="9" t="s">
        <v>299</v>
      </c>
      <c r="E85" s="8" t="s">
        <v>20</v>
      </c>
      <c r="F85" s="9" t="s">
        <v>242</v>
      </c>
      <c r="G85" s="9">
        <v>1</v>
      </c>
      <c r="H85" s="6" t="s">
        <v>328</v>
      </c>
      <c r="I85" s="9" t="s">
        <v>1546</v>
      </c>
      <c r="J85" s="9" t="s">
        <v>145</v>
      </c>
    </row>
    <row r="86" spans="1:10">
      <c r="A86" s="5" t="s">
        <v>385</v>
      </c>
      <c r="B86" s="6" t="s">
        <v>2535</v>
      </c>
      <c r="C86" s="7">
        <v>46245</v>
      </c>
      <c r="D86" s="9" t="s">
        <v>299</v>
      </c>
      <c r="E86" s="8" t="s">
        <v>1334</v>
      </c>
      <c r="F86" s="9" t="s">
        <v>246</v>
      </c>
      <c r="G86" s="9">
        <v>1</v>
      </c>
      <c r="H86" s="6" t="s">
        <v>328</v>
      </c>
      <c r="I86" s="9" t="s">
        <v>1546</v>
      </c>
      <c r="J86" s="9" t="s">
        <v>145</v>
      </c>
    </row>
    <row r="87" spans="1:10">
      <c r="A87" s="5" t="s">
        <v>389</v>
      </c>
      <c r="B87" s="6" t="s">
        <v>2536</v>
      </c>
      <c r="C87" s="7">
        <v>46245</v>
      </c>
      <c r="D87" s="9" t="s">
        <v>241</v>
      </c>
      <c r="E87" s="8" t="s">
        <v>1152</v>
      </c>
      <c r="F87" s="9" t="s">
        <v>242</v>
      </c>
      <c r="G87" s="9">
        <v>1</v>
      </c>
      <c r="H87" s="6" t="s">
        <v>243</v>
      </c>
      <c r="I87" s="9" t="s">
        <v>337</v>
      </c>
      <c r="J87" s="9" t="s">
        <v>145</v>
      </c>
    </row>
    <row r="88" spans="1:10">
      <c r="A88" s="5" t="s">
        <v>390</v>
      </c>
      <c r="B88" s="6" t="s">
        <v>2536</v>
      </c>
      <c r="C88" s="7">
        <v>46245</v>
      </c>
      <c r="D88" s="9" t="s">
        <v>241</v>
      </c>
      <c r="E88" s="8" t="s">
        <v>27</v>
      </c>
      <c r="F88" s="9" t="s">
        <v>246</v>
      </c>
      <c r="G88" s="9">
        <v>1</v>
      </c>
      <c r="H88" s="6" t="s">
        <v>243</v>
      </c>
      <c r="I88" s="9" t="s">
        <v>337</v>
      </c>
      <c r="J88" s="9" t="s">
        <v>145</v>
      </c>
    </row>
    <row r="89" spans="1:10">
      <c r="A89" s="5" t="s">
        <v>391</v>
      </c>
      <c r="B89" s="6" t="s">
        <v>2537</v>
      </c>
      <c r="C89" s="7">
        <v>46245</v>
      </c>
      <c r="D89" s="9" t="s">
        <v>1</v>
      </c>
      <c r="E89" s="8" t="s">
        <v>16</v>
      </c>
      <c r="F89" s="9" t="s">
        <v>242</v>
      </c>
      <c r="G89" s="9">
        <v>1</v>
      </c>
      <c r="H89" s="6" t="s">
        <v>2538</v>
      </c>
      <c r="I89" s="9" t="s">
        <v>415</v>
      </c>
      <c r="J89" s="9" t="s">
        <v>145</v>
      </c>
    </row>
    <row r="90" spans="1:10">
      <c r="A90" s="5" t="s">
        <v>393</v>
      </c>
      <c r="B90" s="6" t="s">
        <v>2537</v>
      </c>
      <c r="C90" s="7">
        <v>46245</v>
      </c>
      <c r="D90" s="9" t="s">
        <v>1</v>
      </c>
      <c r="E90" s="8" t="s">
        <v>16</v>
      </c>
      <c r="F90" s="9" t="s">
        <v>246</v>
      </c>
      <c r="G90" s="9">
        <v>1</v>
      </c>
      <c r="H90" s="6" t="s">
        <v>2538</v>
      </c>
      <c r="I90" s="9" t="s">
        <v>415</v>
      </c>
      <c r="J90" s="9" t="s">
        <v>145</v>
      </c>
    </row>
    <row r="91" spans="1:10">
      <c r="A91" s="5" t="s">
        <v>394</v>
      </c>
      <c r="B91" s="6" t="s">
        <v>2537</v>
      </c>
      <c r="C91" s="7">
        <v>46245</v>
      </c>
      <c r="D91" s="9" t="s">
        <v>261</v>
      </c>
      <c r="E91" s="8" t="s">
        <v>64</v>
      </c>
      <c r="F91" s="9" t="s">
        <v>242</v>
      </c>
      <c r="G91" s="9">
        <v>1</v>
      </c>
      <c r="H91" s="6" t="s">
        <v>2538</v>
      </c>
      <c r="I91" s="9" t="s">
        <v>415</v>
      </c>
      <c r="J91" s="9" t="s">
        <v>145</v>
      </c>
    </row>
    <row r="92" spans="1:10">
      <c r="A92" s="5" t="s">
        <v>396</v>
      </c>
      <c r="B92" s="6" t="s">
        <v>2537</v>
      </c>
      <c r="C92" s="7">
        <v>46245</v>
      </c>
      <c r="D92" s="9" t="s">
        <v>270</v>
      </c>
      <c r="E92" s="8" t="s">
        <v>271</v>
      </c>
      <c r="F92" s="9" t="s">
        <v>242</v>
      </c>
      <c r="G92" s="9">
        <v>4</v>
      </c>
      <c r="H92" s="6" t="s">
        <v>2538</v>
      </c>
      <c r="I92" s="9" t="s">
        <v>415</v>
      </c>
      <c r="J92" s="9" t="s">
        <v>145</v>
      </c>
    </row>
    <row r="93" spans="1:10">
      <c r="A93" s="5" t="s">
        <v>398</v>
      </c>
      <c r="B93" s="6" t="s">
        <v>2537</v>
      </c>
      <c r="C93" s="7">
        <v>46245</v>
      </c>
      <c r="D93" s="9" t="s">
        <v>261</v>
      </c>
      <c r="E93" s="4" t="s">
        <v>65</v>
      </c>
      <c r="F93" s="9" t="s">
        <v>242</v>
      </c>
      <c r="G93" s="9">
        <v>1</v>
      </c>
      <c r="H93" s="6" t="s">
        <v>2538</v>
      </c>
      <c r="I93" s="9" t="s">
        <v>415</v>
      </c>
      <c r="J93" s="9" t="s">
        <v>145</v>
      </c>
    </row>
    <row r="94" spans="1:10">
      <c r="A94" s="5" t="s">
        <v>399</v>
      </c>
      <c r="B94" s="6" t="s">
        <v>2537</v>
      </c>
      <c r="C94" s="7">
        <v>46245</v>
      </c>
      <c r="D94" s="9" t="s">
        <v>503</v>
      </c>
      <c r="E94" s="8" t="s">
        <v>206</v>
      </c>
      <c r="F94" s="9" t="s">
        <v>242</v>
      </c>
      <c r="G94" s="9">
        <v>2</v>
      </c>
      <c r="H94" s="6" t="s">
        <v>2538</v>
      </c>
      <c r="I94" s="9" t="s">
        <v>415</v>
      </c>
      <c r="J94" s="9" t="s">
        <v>145</v>
      </c>
    </row>
    <row r="95" spans="1:10">
      <c r="A95" s="5" t="s">
        <v>401</v>
      </c>
      <c r="B95" s="6" t="s">
        <v>2539</v>
      </c>
      <c r="C95" s="7">
        <v>46246</v>
      </c>
      <c r="D95" s="9" t="s">
        <v>241</v>
      </c>
      <c r="E95" s="8" t="s">
        <v>1152</v>
      </c>
      <c r="F95" s="9" t="s">
        <v>242</v>
      </c>
      <c r="G95" s="9">
        <v>1</v>
      </c>
      <c r="H95" s="6" t="s">
        <v>243</v>
      </c>
      <c r="I95" s="9" t="s">
        <v>357</v>
      </c>
      <c r="J95" s="9" t="s">
        <v>145</v>
      </c>
    </row>
    <row r="96" spans="1:10">
      <c r="A96" s="5" t="s">
        <v>402</v>
      </c>
      <c r="B96" s="6" t="s">
        <v>2539</v>
      </c>
      <c r="C96" s="7">
        <v>46246</v>
      </c>
      <c r="D96" s="9" t="s">
        <v>241</v>
      </c>
      <c r="E96" s="8" t="s">
        <v>29</v>
      </c>
      <c r="F96" s="9" t="s">
        <v>246</v>
      </c>
      <c r="G96" s="9">
        <v>1</v>
      </c>
      <c r="H96" s="6" t="s">
        <v>243</v>
      </c>
      <c r="I96" s="9" t="s">
        <v>357</v>
      </c>
      <c r="J96" s="9" t="s">
        <v>145</v>
      </c>
    </row>
    <row r="97" spans="1:10">
      <c r="A97" s="5" t="s">
        <v>403</v>
      </c>
      <c r="B97" s="6" t="s">
        <v>2540</v>
      </c>
      <c r="C97" s="7">
        <v>46246</v>
      </c>
      <c r="D97" s="9" t="s">
        <v>241</v>
      </c>
      <c r="E97" s="8" t="s">
        <v>1152</v>
      </c>
      <c r="F97" s="9" t="s">
        <v>242</v>
      </c>
      <c r="G97" s="9">
        <v>1</v>
      </c>
      <c r="H97" s="6" t="s">
        <v>2541</v>
      </c>
      <c r="I97" s="9" t="s">
        <v>1546</v>
      </c>
      <c r="J97" s="9" t="s">
        <v>145</v>
      </c>
    </row>
    <row r="98" spans="1:10">
      <c r="A98" s="5" t="s">
        <v>405</v>
      </c>
      <c r="B98" s="6" t="s">
        <v>2540</v>
      </c>
      <c r="C98" s="7">
        <v>46246</v>
      </c>
      <c r="D98" s="9" t="s">
        <v>241</v>
      </c>
      <c r="E98" s="8" t="s">
        <v>29</v>
      </c>
      <c r="F98" s="9" t="s">
        <v>246</v>
      </c>
      <c r="G98" s="9">
        <v>1</v>
      </c>
      <c r="H98" s="6" t="s">
        <v>2541</v>
      </c>
      <c r="I98" s="9" t="s">
        <v>1546</v>
      </c>
      <c r="J98" s="9" t="s">
        <v>145</v>
      </c>
    </row>
    <row r="99" spans="1:10">
      <c r="A99" s="5" t="s">
        <v>406</v>
      </c>
      <c r="B99" s="6" t="s">
        <v>2540</v>
      </c>
      <c r="C99" s="7">
        <v>46246</v>
      </c>
      <c r="D99" s="9" t="s">
        <v>261</v>
      </c>
      <c r="E99" s="8" t="s">
        <v>62</v>
      </c>
      <c r="F99" s="9" t="s">
        <v>242</v>
      </c>
      <c r="G99" s="9">
        <v>7</v>
      </c>
      <c r="H99" s="6" t="s">
        <v>2541</v>
      </c>
      <c r="I99" s="9" t="s">
        <v>1546</v>
      </c>
      <c r="J99" s="9" t="s">
        <v>145</v>
      </c>
    </row>
    <row r="100" spans="1:10">
      <c r="A100" s="5" t="s">
        <v>409</v>
      </c>
      <c r="B100" s="6" t="s">
        <v>2540</v>
      </c>
      <c r="C100" s="7">
        <v>46246</v>
      </c>
      <c r="D100" s="9" t="s">
        <v>261</v>
      </c>
      <c r="E100" s="8" t="s">
        <v>281</v>
      </c>
      <c r="F100" s="9" t="s">
        <v>242</v>
      </c>
      <c r="G100" s="9">
        <v>5</v>
      </c>
      <c r="H100" s="6" t="s">
        <v>2541</v>
      </c>
      <c r="I100" s="9" t="s">
        <v>1546</v>
      </c>
      <c r="J100" s="9" t="s">
        <v>145</v>
      </c>
    </row>
    <row r="101" spans="1:10">
      <c r="A101" s="5" t="s">
        <v>410</v>
      </c>
      <c r="B101" s="6" t="s">
        <v>2542</v>
      </c>
      <c r="C101" s="7">
        <v>46246</v>
      </c>
      <c r="D101" s="9" t="s">
        <v>241</v>
      </c>
      <c r="E101" s="8" t="s">
        <v>1152</v>
      </c>
      <c r="F101" s="9" t="s">
        <v>242</v>
      </c>
      <c r="G101" s="9">
        <v>1</v>
      </c>
      <c r="H101" s="6" t="s">
        <v>243</v>
      </c>
      <c r="I101" s="9" t="s">
        <v>337</v>
      </c>
      <c r="J101" s="9" t="s">
        <v>145</v>
      </c>
    </row>
    <row r="102" spans="1:10">
      <c r="A102" s="5" t="s">
        <v>412</v>
      </c>
      <c r="B102" s="6" t="s">
        <v>2542</v>
      </c>
      <c r="C102" s="7">
        <v>46246</v>
      </c>
      <c r="D102" s="9" t="s">
        <v>241</v>
      </c>
      <c r="E102" s="8" t="s">
        <v>29</v>
      </c>
      <c r="F102" s="9" t="s">
        <v>246</v>
      </c>
      <c r="G102" s="9">
        <v>1</v>
      </c>
      <c r="H102" s="6" t="s">
        <v>243</v>
      </c>
      <c r="I102" s="9" t="s">
        <v>337</v>
      </c>
      <c r="J102" s="9" t="s">
        <v>145</v>
      </c>
    </row>
    <row r="103" spans="1:10">
      <c r="A103" s="5" t="s">
        <v>413</v>
      </c>
      <c r="B103" s="6" t="s">
        <v>2543</v>
      </c>
      <c r="C103" s="7">
        <v>46246</v>
      </c>
      <c r="D103" s="9" t="s">
        <v>241</v>
      </c>
      <c r="E103" s="8" t="s">
        <v>1152</v>
      </c>
      <c r="F103" s="9" t="s">
        <v>242</v>
      </c>
      <c r="G103" s="9">
        <v>1</v>
      </c>
      <c r="H103" s="6" t="s">
        <v>931</v>
      </c>
      <c r="I103" s="9" t="s">
        <v>605</v>
      </c>
      <c r="J103" s="9" t="s">
        <v>145</v>
      </c>
    </row>
    <row r="104" spans="1:10">
      <c r="A104" s="5" t="s">
        <v>416</v>
      </c>
      <c r="B104" s="6" t="s">
        <v>2543</v>
      </c>
      <c r="C104" s="7">
        <v>46246</v>
      </c>
      <c r="D104" s="9" t="s">
        <v>241</v>
      </c>
      <c r="E104" s="8" t="s">
        <v>29</v>
      </c>
      <c r="F104" s="9" t="s">
        <v>246</v>
      </c>
      <c r="G104" s="9">
        <v>1</v>
      </c>
      <c r="H104" s="6" t="s">
        <v>931</v>
      </c>
      <c r="I104" s="9" t="s">
        <v>605</v>
      </c>
      <c r="J104" s="9" t="s">
        <v>145</v>
      </c>
    </row>
    <row r="105" spans="1:10">
      <c r="A105" s="5" t="s">
        <v>417</v>
      </c>
      <c r="B105" s="6" t="s">
        <v>2543</v>
      </c>
      <c r="C105" s="7">
        <v>46246</v>
      </c>
      <c r="D105" s="9" t="s">
        <v>261</v>
      </c>
      <c r="E105" s="8" t="s">
        <v>62</v>
      </c>
      <c r="F105" s="9" t="s">
        <v>242</v>
      </c>
      <c r="G105" s="9">
        <v>2</v>
      </c>
      <c r="H105" s="6" t="s">
        <v>931</v>
      </c>
      <c r="I105" s="9" t="s">
        <v>605</v>
      </c>
      <c r="J105" s="9" t="s">
        <v>145</v>
      </c>
    </row>
    <row r="106" spans="1:10">
      <c r="A106" s="5" t="s">
        <v>420</v>
      </c>
      <c r="B106" s="6" t="s">
        <v>2544</v>
      </c>
      <c r="C106" s="7">
        <v>46246</v>
      </c>
      <c r="D106" s="9" t="s">
        <v>299</v>
      </c>
      <c r="E106" s="8" t="s">
        <v>21</v>
      </c>
      <c r="F106" s="9" t="s">
        <v>242</v>
      </c>
      <c r="G106" s="9">
        <v>1</v>
      </c>
      <c r="H106" s="6" t="s">
        <v>243</v>
      </c>
      <c r="I106" s="9" t="s">
        <v>1546</v>
      </c>
      <c r="J106" s="9" t="s">
        <v>145</v>
      </c>
    </row>
    <row r="107" spans="1:10">
      <c r="A107" s="5" t="s">
        <v>421</v>
      </c>
      <c r="B107" s="6" t="s">
        <v>2544</v>
      </c>
      <c r="C107" s="7">
        <v>46246</v>
      </c>
      <c r="D107" s="9" t="s">
        <v>299</v>
      </c>
      <c r="E107" s="8" t="s">
        <v>21</v>
      </c>
      <c r="F107" s="9" t="s">
        <v>246</v>
      </c>
      <c r="G107" s="9">
        <v>1</v>
      </c>
      <c r="H107" s="6" t="s">
        <v>243</v>
      </c>
      <c r="I107" s="9" t="s">
        <v>1546</v>
      </c>
      <c r="J107" s="9" t="s">
        <v>145</v>
      </c>
    </row>
    <row r="108" spans="1:10">
      <c r="A108" s="5" t="s">
        <v>424</v>
      </c>
      <c r="B108" s="6" t="s">
        <v>2545</v>
      </c>
      <c r="C108" s="7">
        <v>46247</v>
      </c>
      <c r="D108" s="9" t="s">
        <v>564</v>
      </c>
      <c r="E108" s="8" t="s">
        <v>920</v>
      </c>
      <c r="F108" s="9" t="s">
        <v>242</v>
      </c>
      <c r="G108" s="9">
        <v>1</v>
      </c>
      <c r="H108" s="6" t="s">
        <v>2546</v>
      </c>
      <c r="I108" s="9" t="s">
        <v>311</v>
      </c>
      <c r="J108" s="9" t="s">
        <v>145</v>
      </c>
    </row>
    <row r="109" spans="1:10">
      <c r="A109" s="5" t="s">
        <v>425</v>
      </c>
      <c r="B109" s="6" t="s">
        <v>2545</v>
      </c>
      <c r="C109" s="7">
        <v>46247</v>
      </c>
      <c r="D109" s="9" t="s">
        <v>564</v>
      </c>
      <c r="E109" s="4" t="s">
        <v>41</v>
      </c>
      <c r="F109" s="9" t="s">
        <v>246</v>
      </c>
      <c r="G109" s="9">
        <v>1</v>
      </c>
      <c r="H109" s="6" t="s">
        <v>2546</v>
      </c>
      <c r="I109" s="9" t="s">
        <v>311</v>
      </c>
      <c r="J109" s="9" t="s">
        <v>145</v>
      </c>
    </row>
    <row r="110" spans="1:10">
      <c r="A110" s="5" t="s">
        <v>427</v>
      </c>
      <c r="B110" s="6" t="s">
        <v>2545</v>
      </c>
      <c r="C110" s="7">
        <v>46247</v>
      </c>
      <c r="D110" s="9" t="s">
        <v>270</v>
      </c>
      <c r="E110" s="8" t="s">
        <v>271</v>
      </c>
      <c r="F110" s="9" t="s">
        <v>242</v>
      </c>
      <c r="G110" s="9">
        <v>1</v>
      </c>
      <c r="H110" s="6" t="s">
        <v>2546</v>
      </c>
      <c r="I110" s="9" t="s">
        <v>311</v>
      </c>
      <c r="J110" s="9" t="s">
        <v>145</v>
      </c>
    </row>
    <row r="111" spans="1:10" ht="15" customHeight="1">
      <c r="A111" s="5" t="s">
        <v>428</v>
      </c>
      <c r="B111" s="6" t="s">
        <v>2545</v>
      </c>
      <c r="C111" s="7">
        <v>46247</v>
      </c>
      <c r="D111" s="9" t="s">
        <v>503</v>
      </c>
      <c r="E111" s="8" t="s">
        <v>1429</v>
      </c>
      <c r="F111" s="9" t="s">
        <v>242</v>
      </c>
      <c r="G111" s="9">
        <v>15</v>
      </c>
      <c r="H111" s="6" t="s">
        <v>2546</v>
      </c>
      <c r="I111" s="9" t="s">
        <v>311</v>
      </c>
      <c r="J111" s="9" t="s">
        <v>145</v>
      </c>
    </row>
    <row r="112" spans="1:10">
      <c r="A112" s="5" t="s">
        <v>430</v>
      </c>
      <c r="B112" s="6" t="s">
        <v>2545</v>
      </c>
      <c r="C112" s="7">
        <v>46247</v>
      </c>
      <c r="D112" s="9" t="s">
        <v>261</v>
      </c>
      <c r="E112" s="4" t="s">
        <v>64</v>
      </c>
      <c r="F112" s="9" t="s">
        <v>242</v>
      </c>
      <c r="G112" s="9">
        <v>1</v>
      </c>
      <c r="H112" s="6" t="s">
        <v>2546</v>
      </c>
      <c r="I112" s="9" t="s">
        <v>311</v>
      </c>
      <c r="J112" s="9" t="s">
        <v>145</v>
      </c>
    </row>
    <row r="113" spans="1:10">
      <c r="A113" s="5" t="s">
        <v>431</v>
      </c>
      <c r="B113" s="6" t="s">
        <v>2547</v>
      </c>
      <c r="C113" s="7">
        <v>46247</v>
      </c>
      <c r="D113" s="9" t="s">
        <v>564</v>
      </c>
      <c r="E113" s="8" t="s">
        <v>920</v>
      </c>
      <c r="F113" s="9" t="s">
        <v>242</v>
      </c>
      <c r="G113" s="9">
        <v>1</v>
      </c>
      <c r="H113" s="6" t="s">
        <v>2531</v>
      </c>
      <c r="I113" s="9" t="s">
        <v>311</v>
      </c>
      <c r="J113" s="9" t="s">
        <v>145</v>
      </c>
    </row>
    <row r="114" spans="1:10">
      <c r="A114" s="5" t="s">
        <v>433</v>
      </c>
      <c r="B114" s="6" t="s">
        <v>2547</v>
      </c>
      <c r="C114" s="7">
        <v>46247</v>
      </c>
      <c r="D114" s="9" t="s">
        <v>564</v>
      </c>
      <c r="E114" s="8" t="s">
        <v>40</v>
      </c>
      <c r="F114" s="9" t="s">
        <v>246</v>
      </c>
      <c r="G114" s="9">
        <v>1</v>
      </c>
      <c r="H114" s="6" t="s">
        <v>2531</v>
      </c>
      <c r="I114" s="9" t="s">
        <v>311</v>
      </c>
      <c r="J114" s="9" t="s">
        <v>145</v>
      </c>
    </row>
    <row r="115" spans="1:10">
      <c r="A115" s="5" t="s">
        <v>434</v>
      </c>
      <c r="B115" s="6" t="s">
        <v>2547</v>
      </c>
      <c r="C115" s="7">
        <v>46247</v>
      </c>
      <c r="D115" s="9" t="s">
        <v>270</v>
      </c>
      <c r="E115" s="4" t="s">
        <v>271</v>
      </c>
      <c r="F115" s="9" t="s">
        <v>242</v>
      </c>
      <c r="G115" s="9">
        <v>1</v>
      </c>
      <c r="H115" s="6" t="s">
        <v>2531</v>
      </c>
      <c r="I115" s="9" t="s">
        <v>311</v>
      </c>
      <c r="J115" s="9" t="s">
        <v>145</v>
      </c>
    </row>
    <row r="116" spans="1:10">
      <c r="A116" s="5" t="s">
        <v>435</v>
      </c>
      <c r="B116" s="6" t="s">
        <v>2547</v>
      </c>
      <c r="C116" s="7">
        <v>46247</v>
      </c>
      <c r="D116" s="9" t="s">
        <v>503</v>
      </c>
      <c r="E116" s="8" t="s">
        <v>1429</v>
      </c>
      <c r="F116" s="9" t="s">
        <v>242</v>
      </c>
      <c r="G116" s="9">
        <v>16</v>
      </c>
      <c r="H116" s="6" t="s">
        <v>2531</v>
      </c>
      <c r="I116" s="9" t="s">
        <v>311</v>
      </c>
      <c r="J116" s="9" t="s">
        <v>145</v>
      </c>
    </row>
    <row r="117" spans="1:10">
      <c r="A117" s="5" t="s">
        <v>437</v>
      </c>
      <c r="B117" s="6" t="s">
        <v>2547</v>
      </c>
      <c r="C117" s="7">
        <v>46247</v>
      </c>
      <c r="D117" s="9" t="s">
        <v>503</v>
      </c>
      <c r="E117" s="8" t="s">
        <v>192</v>
      </c>
      <c r="F117" s="9" t="s">
        <v>242</v>
      </c>
      <c r="G117" s="9">
        <v>1</v>
      </c>
      <c r="H117" s="6" t="s">
        <v>2531</v>
      </c>
      <c r="I117" s="9" t="s">
        <v>311</v>
      </c>
      <c r="J117" s="9" t="s">
        <v>145</v>
      </c>
    </row>
    <row r="118" spans="1:10">
      <c r="A118" s="5" t="s">
        <v>438</v>
      </c>
      <c r="B118" s="6" t="s">
        <v>2548</v>
      </c>
      <c r="C118" s="7">
        <v>46247</v>
      </c>
      <c r="D118" s="9" t="s">
        <v>299</v>
      </c>
      <c r="E118" s="8" t="s">
        <v>21</v>
      </c>
      <c r="F118" s="9" t="s">
        <v>242</v>
      </c>
      <c r="G118" s="9">
        <v>1</v>
      </c>
      <c r="H118" s="6" t="s">
        <v>249</v>
      </c>
      <c r="I118" s="9" t="s">
        <v>258</v>
      </c>
      <c r="J118" s="9" t="s">
        <v>145</v>
      </c>
    </row>
    <row r="119" spans="1:10">
      <c r="A119" s="5" t="s">
        <v>439</v>
      </c>
      <c r="B119" s="6" t="s">
        <v>2548</v>
      </c>
      <c r="C119" s="7">
        <v>46247</v>
      </c>
      <c r="D119" s="9" t="s">
        <v>299</v>
      </c>
      <c r="E119" s="8" t="s">
        <v>21</v>
      </c>
      <c r="F119" s="9" t="s">
        <v>246</v>
      </c>
      <c r="G119" s="9">
        <v>1</v>
      </c>
      <c r="H119" s="6" t="s">
        <v>249</v>
      </c>
      <c r="I119" s="9" t="s">
        <v>258</v>
      </c>
      <c r="J119" s="9" t="s">
        <v>145</v>
      </c>
    </row>
    <row r="120" spans="1:10">
      <c r="A120" s="5" t="s">
        <v>441</v>
      </c>
      <c r="B120" s="6" t="s">
        <v>2549</v>
      </c>
      <c r="C120" s="7">
        <v>46247</v>
      </c>
      <c r="D120" s="9" t="s">
        <v>299</v>
      </c>
      <c r="E120" s="8" t="s">
        <v>20</v>
      </c>
      <c r="F120" s="9" t="s">
        <v>242</v>
      </c>
      <c r="G120" s="9">
        <v>1</v>
      </c>
      <c r="H120" s="6" t="s">
        <v>2550</v>
      </c>
      <c r="I120" s="9" t="s">
        <v>628</v>
      </c>
      <c r="J120" s="9" t="s">
        <v>145</v>
      </c>
    </row>
    <row r="121" spans="1:10">
      <c r="A121" s="5" t="s">
        <v>442</v>
      </c>
      <c r="B121" s="6" t="s">
        <v>2549</v>
      </c>
      <c r="C121" s="7">
        <v>46247</v>
      </c>
      <c r="D121" s="9" t="s">
        <v>299</v>
      </c>
      <c r="E121" s="4" t="s">
        <v>1551</v>
      </c>
      <c r="F121" s="9" t="s">
        <v>246</v>
      </c>
      <c r="G121" s="9">
        <v>1</v>
      </c>
      <c r="H121" s="6" t="s">
        <v>2550</v>
      </c>
      <c r="I121" s="9" t="s">
        <v>628</v>
      </c>
      <c r="J121" s="9" t="s">
        <v>145</v>
      </c>
    </row>
    <row r="122" spans="1:10">
      <c r="A122" s="5" t="s">
        <v>444</v>
      </c>
      <c r="B122" s="6" t="s">
        <v>2551</v>
      </c>
      <c r="C122" s="7">
        <v>46248</v>
      </c>
      <c r="D122" s="9" t="s">
        <v>241</v>
      </c>
      <c r="E122" s="8" t="s">
        <v>1152</v>
      </c>
      <c r="F122" s="9" t="s">
        <v>242</v>
      </c>
      <c r="G122" s="9">
        <v>1</v>
      </c>
      <c r="H122" s="6" t="s">
        <v>2552</v>
      </c>
      <c r="I122" s="9" t="s">
        <v>484</v>
      </c>
      <c r="J122" s="9" t="s">
        <v>145</v>
      </c>
    </row>
    <row r="123" spans="1:10">
      <c r="A123" s="5" t="s">
        <v>445</v>
      </c>
      <c r="B123" s="6" t="s">
        <v>2551</v>
      </c>
      <c r="C123" s="7">
        <v>46248</v>
      </c>
      <c r="D123" s="9" t="s">
        <v>241</v>
      </c>
      <c r="E123" s="8" t="s">
        <v>29</v>
      </c>
      <c r="F123" s="9" t="s">
        <v>246</v>
      </c>
      <c r="G123" s="9">
        <v>1</v>
      </c>
      <c r="H123" s="6" t="s">
        <v>2552</v>
      </c>
      <c r="I123" s="9" t="s">
        <v>484</v>
      </c>
      <c r="J123" s="9" t="s">
        <v>145</v>
      </c>
    </row>
    <row r="124" spans="1:10">
      <c r="A124" s="5" t="s">
        <v>446</v>
      </c>
      <c r="B124" s="6" t="s">
        <v>2553</v>
      </c>
      <c r="C124" s="7">
        <v>46248</v>
      </c>
      <c r="D124" s="9" t="s">
        <v>241</v>
      </c>
      <c r="E124" s="8" t="s">
        <v>1152</v>
      </c>
      <c r="F124" s="9" t="s">
        <v>242</v>
      </c>
      <c r="G124" s="9">
        <v>1</v>
      </c>
      <c r="H124" s="6" t="s">
        <v>243</v>
      </c>
      <c r="I124" s="9" t="s">
        <v>484</v>
      </c>
      <c r="J124" s="9" t="s">
        <v>145</v>
      </c>
    </row>
    <row r="125" spans="1:10">
      <c r="A125" s="5" t="s">
        <v>448</v>
      </c>
      <c r="B125" s="6" t="s">
        <v>2553</v>
      </c>
      <c r="C125" s="7">
        <v>46248</v>
      </c>
      <c r="D125" s="9" t="s">
        <v>241</v>
      </c>
      <c r="E125" s="8" t="s">
        <v>29</v>
      </c>
      <c r="F125" s="9" t="s">
        <v>246</v>
      </c>
      <c r="G125" s="9">
        <v>1</v>
      </c>
      <c r="H125" s="6" t="s">
        <v>243</v>
      </c>
      <c r="I125" s="9" t="s">
        <v>484</v>
      </c>
      <c r="J125" s="9" t="s">
        <v>145</v>
      </c>
    </row>
    <row r="126" spans="1:10">
      <c r="A126" s="5" t="s">
        <v>449</v>
      </c>
      <c r="B126" s="6" t="s">
        <v>2554</v>
      </c>
      <c r="C126" s="7">
        <v>46248</v>
      </c>
      <c r="D126" s="9" t="s">
        <v>241</v>
      </c>
      <c r="E126" s="8" t="s">
        <v>1152</v>
      </c>
      <c r="F126" s="9" t="s">
        <v>242</v>
      </c>
      <c r="G126" s="9">
        <v>1</v>
      </c>
      <c r="H126" s="6" t="s">
        <v>243</v>
      </c>
      <c r="I126" s="9" t="s">
        <v>415</v>
      </c>
      <c r="J126" s="9" t="s">
        <v>145</v>
      </c>
    </row>
    <row r="127" spans="1:10">
      <c r="A127" s="5" t="s">
        <v>450</v>
      </c>
      <c r="B127" s="6" t="s">
        <v>2554</v>
      </c>
      <c r="C127" s="7">
        <v>46248</v>
      </c>
      <c r="D127" s="9" t="s">
        <v>241</v>
      </c>
      <c r="E127" s="8" t="s">
        <v>27</v>
      </c>
      <c r="F127" s="9" t="s">
        <v>246</v>
      </c>
      <c r="G127" s="9">
        <v>1</v>
      </c>
      <c r="H127" s="6" t="s">
        <v>243</v>
      </c>
      <c r="I127" s="9" t="s">
        <v>415</v>
      </c>
      <c r="J127" s="9" t="s">
        <v>145</v>
      </c>
    </row>
    <row r="128" spans="1:10">
      <c r="A128" s="5" t="s">
        <v>451</v>
      </c>
      <c r="B128" s="6" t="s">
        <v>2555</v>
      </c>
      <c r="C128" s="7">
        <v>46248</v>
      </c>
      <c r="D128" s="9" t="s">
        <v>299</v>
      </c>
      <c r="E128" s="8" t="s">
        <v>376</v>
      </c>
      <c r="F128" s="9" t="s">
        <v>242</v>
      </c>
      <c r="G128" s="9">
        <v>1</v>
      </c>
      <c r="H128" s="6" t="s">
        <v>526</v>
      </c>
      <c r="I128" s="9" t="s">
        <v>253</v>
      </c>
      <c r="J128" s="9" t="s">
        <v>145</v>
      </c>
    </row>
    <row r="129" spans="1:10">
      <c r="A129" s="5" t="s">
        <v>453</v>
      </c>
      <c r="B129" s="6" t="s">
        <v>2555</v>
      </c>
      <c r="C129" s="7">
        <v>46248</v>
      </c>
      <c r="D129" s="9" t="s">
        <v>299</v>
      </c>
      <c r="E129" s="8" t="s">
        <v>376</v>
      </c>
      <c r="F129" s="9" t="s">
        <v>246</v>
      </c>
      <c r="G129" s="9">
        <v>1</v>
      </c>
      <c r="H129" s="6" t="s">
        <v>526</v>
      </c>
      <c r="I129" s="9" t="s">
        <v>253</v>
      </c>
      <c r="J129" s="9" t="s">
        <v>145</v>
      </c>
    </row>
    <row r="130" spans="1:10">
      <c r="A130" s="5" t="s">
        <v>454</v>
      </c>
      <c r="B130" s="6" t="s">
        <v>2555</v>
      </c>
      <c r="C130" s="7">
        <v>46248</v>
      </c>
      <c r="D130" s="9" t="s">
        <v>261</v>
      </c>
      <c r="E130" s="8" t="s">
        <v>753</v>
      </c>
      <c r="F130" s="9" t="s">
        <v>242</v>
      </c>
      <c r="G130" s="9">
        <v>1</v>
      </c>
      <c r="H130" s="6" t="s">
        <v>526</v>
      </c>
      <c r="I130" s="9" t="s">
        <v>253</v>
      </c>
      <c r="J130" s="9" t="s">
        <v>145</v>
      </c>
    </row>
    <row r="131" spans="1:10">
      <c r="A131" s="5" t="s">
        <v>456</v>
      </c>
      <c r="B131" s="6" t="s">
        <v>2555</v>
      </c>
      <c r="C131" s="7">
        <v>46248</v>
      </c>
      <c r="D131" s="9" t="s">
        <v>270</v>
      </c>
      <c r="E131" s="8" t="s">
        <v>68</v>
      </c>
      <c r="F131" s="9" t="s">
        <v>242</v>
      </c>
      <c r="G131" s="9">
        <v>1</v>
      </c>
      <c r="H131" s="6" t="s">
        <v>526</v>
      </c>
      <c r="I131" s="9" t="s">
        <v>253</v>
      </c>
      <c r="J131" s="9" t="s">
        <v>145</v>
      </c>
    </row>
    <row r="132" spans="1:10">
      <c r="A132" s="5" t="s">
        <v>457</v>
      </c>
      <c r="B132" s="6" t="s">
        <v>2556</v>
      </c>
      <c r="C132" s="7">
        <v>46248</v>
      </c>
      <c r="D132" s="9" t="s">
        <v>299</v>
      </c>
      <c r="E132" s="8" t="s">
        <v>20</v>
      </c>
      <c r="F132" s="9" t="s">
        <v>242</v>
      </c>
      <c r="G132" s="9">
        <v>1</v>
      </c>
      <c r="H132" s="6" t="s">
        <v>249</v>
      </c>
      <c r="I132" s="9" t="s">
        <v>258</v>
      </c>
      <c r="J132" s="9" t="s">
        <v>145</v>
      </c>
    </row>
    <row r="133" spans="1:10">
      <c r="A133" s="5" t="s">
        <v>458</v>
      </c>
      <c r="B133" s="6" t="s">
        <v>2556</v>
      </c>
      <c r="C133" s="7">
        <v>46248</v>
      </c>
      <c r="D133" s="9" t="s">
        <v>299</v>
      </c>
      <c r="E133" s="8" t="s">
        <v>20</v>
      </c>
      <c r="F133" s="9" t="s">
        <v>246</v>
      </c>
      <c r="G133" s="9">
        <v>1</v>
      </c>
      <c r="H133" s="6" t="s">
        <v>249</v>
      </c>
      <c r="I133" s="9" t="s">
        <v>258</v>
      </c>
      <c r="J133" s="9" t="s">
        <v>145</v>
      </c>
    </row>
    <row r="134" spans="1:10">
      <c r="A134" s="5" t="s">
        <v>460</v>
      </c>
      <c r="B134" s="6" t="s">
        <v>2557</v>
      </c>
      <c r="C134" s="7">
        <v>46249</v>
      </c>
      <c r="D134" s="9" t="s">
        <v>299</v>
      </c>
      <c r="E134" s="8" t="s">
        <v>1334</v>
      </c>
      <c r="F134" s="9" t="s">
        <v>242</v>
      </c>
      <c r="G134" s="9">
        <v>1</v>
      </c>
      <c r="H134" s="6" t="s">
        <v>243</v>
      </c>
      <c r="I134" s="9" t="s">
        <v>628</v>
      </c>
      <c r="J134" s="9" t="s">
        <v>145</v>
      </c>
    </row>
    <row r="135" spans="1:10">
      <c r="A135" s="5" t="s">
        <v>461</v>
      </c>
      <c r="B135" s="6" t="s">
        <v>2557</v>
      </c>
      <c r="C135" s="7">
        <v>46249</v>
      </c>
      <c r="D135" s="9" t="s">
        <v>299</v>
      </c>
      <c r="E135" s="4" t="s">
        <v>1334</v>
      </c>
      <c r="F135" s="9" t="s">
        <v>246</v>
      </c>
      <c r="G135" s="9">
        <v>1</v>
      </c>
      <c r="H135" s="6" t="s">
        <v>243</v>
      </c>
      <c r="I135" s="9" t="s">
        <v>628</v>
      </c>
      <c r="J135" s="9" t="s">
        <v>145</v>
      </c>
    </row>
    <row r="136" spans="1:10">
      <c r="A136" s="5" t="s">
        <v>463</v>
      </c>
      <c r="B136" s="6" t="s">
        <v>2558</v>
      </c>
      <c r="C136" s="7">
        <v>46250</v>
      </c>
      <c r="D136" s="9" t="s">
        <v>665</v>
      </c>
      <c r="E136" s="8" t="s">
        <v>666</v>
      </c>
      <c r="F136" s="9" t="s">
        <v>242</v>
      </c>
      <c r="G136" s="9">
        <v>1</v>
      </c>
      <c r="H136" s="6" t="s">
        <v>1920</v>
      </c>
      <c r="I136" s="9" t="s">
        <v>628</v>
      </c>
      <c r="J136" s="9" t="s">
        <v>145</v>
      </c>
    </row>
    <row r="137" spans="1:10">
      <c r="A137" s="5" t="s">
        <v>464</v>
      </c>
      <c r="B137" s="6" t="s">
        <v>2558</v>
      </c>
      <c r="C137" s="7">
        <v>46250</v>
      </c>
      <c r="D137" s="9" t="s">
        <v>261</v>
      </c>
      <c r="E137" s="8" t="s">
        <v>64</v>
      </c>
      <c r="F137" s="9" t="s">
        <v>242</v>
      </c>
      <c r="G137" s="9">
        <v>1</v>
      </c>
      <c r="H137" s="6" t="s">
        <v>1920</v>
      </c>
      <c r="I137" s="9" t="s">
        <v>628</v>
      </c>
      <c r="J137" s="9" t="s">
        <v>145</v>
      </c>
    </row>
    <row r="138" spans="1:10">
      <c r="A138" s="5" t="s">
        <v>466</v>
      </c>
      <c r="B138" s="6" t="s">
        <v>2558</v>
      </c>
      <c r="C138" s="7">
        <v>46250</v>
      </c>
      <c r="D138" s="9" t="s">
        <v>270</v>
      </c>
      <c r="E138" s="8" t="s">
        <v>271</v>
      </c>
      <c r="F138" s="9" t="s">
        <v>242</v>
      </c>
      <c r="G138" s="9">
        <v>1</v>
      </c>
      <c r="H138" s="6" t="s">
        <v>1920</v>
      </c>
      <c r="I138" s="9" t="s">
        <v>628</v>
      </c>
      <c r="J138" s="9" t="s">
        <v>145</v>
      </c>
    </row>
    <row r="139" spans="1:10">
      <c r="A139" s="5" t="s">
        <v>467</v>
      </c>
      <c r="B139" s="6" t="s">
        <v>2558</v>
      </c>
      <c r="C139" s="7">
        <v>46250</v>
      </c>
      <c r="D139" s="9" t="s">
        <v>503</v>
      </c>
      <c r="E139" s="8" t="s">
        <v>1429</v>
      </c>
      <c r="F139" s="9" t="s">
        <v>242</v>
      </c>
      <c r="G139" s="9">
        <v>10</v>
      </c>
      <c r="H139" s="6" t="s">
        <v>1920</v>
      </c>
      <c r="I139" s="9" t="s">
        <v>628</v>
      </c>
      <c r="J139" s="9" t="s">
        <v>145</v>
      </c>
    </row>
    <row r="140" spans="1:10">
      <c r="A140" s="5" t="s">
        <v>468</v>
      </c>
      <c r="B140" s="6" t="s">
        <v>2558</v>
      </c>
      <c r="C140" s="7">
        <v>46250</v>
      </c>
      <c r="D140" s="9" t="s">
        <v>503</v>
      </c>
      <c r="E140" s="8" t="s">
        <v>75</v>
      </c>
      <c r="F140" s="9" t="s">
        <v>242</v>
      </c>
      <c r="G140" s="9">
        <v>2</v>
      </c>
      <c r="H140" s="6" t="s">
        <v>1920</v>
      </c>
      <c r="I140" s="9" t="s">
        <v>628</v>
      </c>
      <c r="J140" s="9" t="s">
        <v>145</v>
      </c>
    </row>
    <row r="141" spans="1:10">
      <c r="A141" s="5" t="s">
        <v>471</v>
      </c>
      <c r="B141" s="6" t="s">
        <v>2559</v>
      </c>
      <c r="C141" s="7">
        <v>46252</v>
      </c>
      <c r="D141" s="9" t="s">
        <v>299</v>
      </c>
      <c r="E141" s="8" t="s">
        <v>376</v>
      </c>
      <c r="F141" s="9" t="s">
        <v>242</v>
      </c>
      <c r="G141" s="9">
        <v>1</v>
      </c>
      <c r="H141" s="6" t="s">
        <v>243</v>
      </c>
      <c r="I141" s="9" t="s">
        <v>244</v>
      </c>
      <c r="J141" s="9" t="s">
        <v>145</v>
      </c>
    </row>
    <row r="142" spans="1:10">
      <c r="A142" s="5" t="s">
        <v>472</v>
      </c>
      <c r="B142" s="6" t="s">
        <v>2559</v>
      </c>
      <c r="C142" s="7">
        <v>46252</v>
      </c>
      <c r="D142" s="9" t="s">
        <v>299</v>
      </c>
      <c r="E142" s="4" t="s">
        <v>376</v>
      </c>
      <c r="F142" s="9" t="s">
        <v>246</v>
      </c>
      <c r="G142" s="9">
        <v>1</v>
      </c>
      <c r="H142" s="6" t="s">
        <v>243</v>
      </c>
      <c r="I142" s="9" t="s">
        <v>244</v>
      </c>
      <c r="J142" s="9" t="s">
        <v>145</v>
      </c>
    </row>
    <row r="143" spans="1:10">
      <c r="A143" s="5" t="s">
        <v>475</v>
      </c>
      <c r="B143" s="6" t="s">
        <v>2560</v>
      </c>
      <c r="C143" s="7">
        <v>46252</v>
      </c>
      <c r="D143" s="9" t="s">
        <v>299</v>
      </c>
      <c r="E143" s="4" t="s">
        <v>376</v>
      </c>
      <c r="F143" s="9" t="s">
        <v>242</v>
      </c>
      <c r="G143" s="9">
        <v>1</v>
      </c>
      <c r="H143" s="6" t="s">
        <v>249</v>
      </c>
      <c r="I143" s="9" t="s">
        <v>1546</v>
      </c>
      <c r="J143" s="9" t="s">
        <v>145</v>
      </c>
    </row>
    <row r="144" spans="1:10">
      <c r="A144" s="5" t="s">
        <v>476</v>
      </c>
      <c r="B144" s="6" t="s">
        <v>2560</v>
      </c>
      <c r="C144" s="7">
        <v>46252</v>
      </c>
      <c r="D144" s="9" t="s">
        <v>299</v>
      </c>
      <c r="E144" s="8" t="s">
        <v>22</v>
      </c>
      <c r="F144" s="9" t="s">
        <v>246</v>
      </c>
      <c r="G144" s="9">
        <v>1</v>
      </c>
      <c r="H144" s="6" t="s">
        <v>249</v>
      </c>
      <c r="I144" s="9" t="s">
        <v>1546</v>
      </c>
      <c r="J144" s="9" t="s">
        <v>145</v>
      </c>
    </row>
    <row r="145" spans="1:10">
      <c r="A145" s="5" t="s">
        <v>477</v>
      </c>
      <c r="B145" s="6" t="s">
        <v>2558</v>
      </c>
      <c r="C145" s="7">
        <v>46252</v>
      </c>
      <c r="D145" s="9" t="s">
        <v>714</v>
      </c>
      <c r="E145" s="8" t="s">
        <v>715</v>
      </c>
      <c r="F145" s="9" t="s">
        <v>242</v>
      </c>
      <c r="G145" s="9">
        <v>1</v>
      </c>
      <c r="H145" s="6" t="s">
        <v>2561</v>
      </c>
      <c r="I145" s="9" t="s">
        <v>628</v>
      </c>
      <c r="J145" s="9" t="s">
        <v>145</v>
      </c>
    </row>
    <row r="146" spans="1:10">
      <c r="A146" s="5" t="s">
        <v>478</v>
      </c>
      <c r="B146" s="6" t="s">
        <v>2562</v>
      </c>
      <c r="C146" s="7">
        <v>46252</v>
      </c>
      <c r="D146" s="9" t="s">
        <v>299</v>
      </c>
      <c r="E146" s="8" t="s">
        <v>21</v>
      </c>
      <c r="F146" s="9" t="s">
        <v>242</v>
      </c>
      <c r="G146" s="9">
        <v>1</v>
      </c>
      <c r="H146" s="6" t="s">
        <v>249</v>
      </c>
      <c r="I146" s="9" t="s">
        <v>258</v>
      </c>
      <c r="J146" s="9" t="s">
        <v>145</v>
      </c>
    </row>
    <row r="147" spans="1:10">
      <c r="A147" s="5" t="s">
        <v>480</v>
      </c>
      <c r="B147" s="6" t="s">
        <v>2562</v>
      </c>
      <c r="C147" s="7">
        <v>46252</v>
      </c>
      <c r="D147" s="9" t="s">
        <v>299</v>
      </c>
      <c r="E147" s="4" t="s">
        <v>376</v>
      </c>
      <c r="F147" s="9" t="s">
        <v>246</v>
      </c>
      <c r="G147" s="9">
        <v>1</v>
      </c>
      <c r="H147" s="6" t="s">
        <v>249</v>
      </c>
      <c r="I147" s="9" t="s">
        <v>258</v>
      </c>
      <c r="J147" s="9" t="s">
        <v>145</v>
      </c>
    </row>
    <row r="148" spans="1:10">
      <c r="A148" s="5" t="s">
        <v>481</v>
      </c>
      <c r="B148" s="6" t="s">
        <v>2562</v>
      </c>
      <c r="C148" s="7">
        <v>46252</v>
      </c>
      <c r="D148" s="9" t="s">
        <v>299</v>
      </c>
      <c r="E148" s="8" t="s">
        <v>21</v>
      </c>
      <c r="F148" s="9" t="s">
        <v>242</v>
      </c>
      <c r="G148" s="9">
        <v>1</v>
      </c>
      <c r="H148" s="6" t="s">
        <v>249</v>
      </c>
      <c r="I148" s="9" t="s">
        <v>258</v>
      </c>
      <c r="J148" s="9" t="s">
        <v>145</v>
      </c>
    </row>
    <row r="149" spans="1:10">
      <c r="A149" s="5" t="s">
        <v>482</v>
      </c>
      <c r="B149" s="6" t="s">
        <v>2562</v>
      </c>
      <c r="C149" s="7">
        <v>46252</v>
      </c>
      <c r="D149" s="9" t="s">
        <v>299</v>
      </c>
      <c r="E149" s="8" t="s">
        <v>22</v>
      </c>
      <c r="F149" s="9" t="s">
        <v>246</v>
      </c>
      <c r="G149" s="9">
        <v>1</v>
      </c>
      <c r="H149" s="6" t="s">
        <v>249</v>
      </c>
      <c r="I149" s="9" t="s">
        <v>258</v>
      </c>
      <c r="J149" s="9" t="s">
        <v>145</v>
      </c>
    </row>
    <row r="150" spans="1:10">
      <c r="A150" s="5" t="s">
        <v>485</v>
      </c>
      <c r="B150" s="6" t="s">
        <v>2563</v>
      </c>
      <c r="C150" s="7">
        <v>46253</v>
      </c>
      <c r="D150" s="9" t="s">
        <v>241</v>
      </c>
      <c r="E150" s="8" t="s">
        <v>1152</v>
      </c>
      <c r="F150" s="9" t="s">
        <v>242</v>
      </c>
      <c r="G150" s="9">
        <v>1</v>
      </c>
      <c r="H150" s="6" t="s">
        <v>560</v>
      </c>
      <c r="I150" s="9" t="s">
        <v>363</v>
      </c>
      <c r="J150" s="9" t="s">
        <v>145</v>
      </c>
    </row>
    <row r="151" spans="1:10">
      <c r="A151" s="5" t="s">
        <v>486</v>
      </c>
      <c r="B151" s="6" t="s">
        <v>2563</v>
      </c>
      <c r="C151" s="7">
        <v>46253</v>
      </c>
      <c r="D151" s="9" t="s">
        <v>241</v>
      </c>
      <c r="E151" s="4" t="s">
        <v>29</v>
      </c>
      <c r="F151" s="9" t="s">
        <v>246</v>
      </c>
      <c r="G151" s="9">
        <v>1</v>
      </c>
      <c r="H151" s="6" t="s">
        <v>560</v>
      </c>
      <c r="I151" s="9" t="s">
        <v>363</v>
      </c>
      <c r="J151" s="9" t="s">
        <v>145</v>
      </c>
    </row>
    <row r="152" spans="1:10">
      <c r="A152" s="5" t="s">
        <v>488</v>
      </c>
      <c r="B152" s="6" t="s">
        <v>2563</v>
      </c>
      <c r="C152" s="7">
        <v>46253</v>
      </c>
      <c r="D152" s="9" t="s">
        <v>261</v>
      </c>
      <c r="E152" s="8" t="s">
        <v>62</v>
      </c>
      <c r="F152" s="9" t="s">
        <v>242</v>
      </c>
      <c r="G152" s="9">
        <v>4</v>
      </c>
      <c r="H152" s="6" t="s">
        <v>560</v>
      </c>
      <c r="I152" s="9" t="s">
        <v>363</v>
      </c>
      <c r="J152" s="9" t="s">
        <v>145</v>
      </c>
    </row>
    <row r="153" spans="1:10">
      <c r="A153" s="5" t="s">
        <v>489</v>
      </c>
      <c r="B153" s="6" t="s">
        <v>2564</v>
      </c>
      <c r="C153" s="7">
        <v>46253</v>
      </c>
      <c r="D153" s="9" t="s">
        <v>241</v>
      </c>
      <c r="E153" s="4" t="s">
        <v>1152</v>
      </c>
      <c r="F153" s="9" t="s">
        <v>242</v>
      </c>
      <c r="G153" s="9">
        <v>1</v>
      </c>
      <c r="H153" s="6" t="s">
        <v>243</v>
      </c>
      <c r="I153" s="9" t="s">
        <v>275</v>
      </c>
      <c r="J153" s="9" t="s">
        <v>145</v>
      </c>
    </row>
    <row r="154" spans="1:10">
      <c r="A154" s="5" t="s">
        <v>492</v>
      </c>
      <c r="B154" s="6" t="s">
        <v>2564</v>
      </c>
      <c r="C154" s="7">
        <v>46253</v>
      </c>
      <c r="D154" s="9" t="s">
        <v>241</v>
      </c>
      <c r="E154" s="8" t="s">
        <v>1152</v>
      </c>
      <c r="F154" s="9" t="s">
        <v>246</v>
      </c>
      <c r="G154" s="9">
        <v>1</v>
      </c>
      <c r="H154" s="6" t="s">
        <v>243</v>
      </c>
      <c r="I154" s="9" t="s">
        <v>275</v>
      </c>
      <c r="J154" s="9" t="s">
        <v>145</v>
      </c>
    </row>
    <row r="155" spans="1:10">
      <c r="A155" s="5" t="s">
        <v>493</v>
      </c>
      <c r="B155" s="6" t="s">
        <v>2565</v>
      </c>
      <c r="C155" s="7">
        <v>46254</v>
      </c>
      <c r="D155" s="9" t="s">
        <v>299</v>
      </c>
      <c r="E155" s="4" t="s">
        <v>22</v>
      </c>
      <c r="F155" s="9" t="s">
        <v>242</v>
      </c>
      <c r="G155" s="9">
        <v>1</v>
      </c>
      <c r="H155" s="6" t="s">
        <v>954</v>
      </c>
      <c r="I155" s="9" t="s">
        <v>357</v>
      </c>
      <c r="J155" s="9" t="s">
        <v>145</v>
      </c>
    </row>
    <row r="156" spans="1:10">
      <c r="A156" s="5" t="s">
        <v>495</v>
      </c>
      <c r="B156" s="6" t="s">
        <v>2565</v>
      </c>
      <c r="C156" s="7">
        <v>46254</v>
      </c>
      <c r="D156" s="9" t="s">
        <v>299</v>
      </c>
      <c r="E156" s="8" t="s">
        <v>22</v>
      </c>
      <c r="F156" s="9" t="s">
        <v>246</v>
      </c>
      <c r="G156" s="9">
        <v>1</v>
      </c>
      <c r="H156" s="6" t="s">
        <v>954</v>
      </c>
      <c r="I156" s="9" t="s">
        <v>357</v>
      </c>
      <c r="J156" s="9" t="s">
        <v>145</v>
      </c>
    </row>
    <row r="157" spans="1:10">
      <c r="A157" s="5" t="s">
        <v>496</v>
      </c>
      <c r="B157" s="6" t="s">
        <v>2566</v>
      </c>
      <c r="C157" s="7">
        <v>46254</v>
      </c>
      <c r="D157" s="9" t="s">
        <v>241</v>
      </c>
      <c r="E157" s="8" t="s">
        <v>1152</v>
      </c>
      <c r="F157" s="9" t="s">
        <v>586</v>
      </c>
      <c r="G157" s="9">
        <v>1</v>
      </c>
      <c r="H157" s="6" t="s">
        <v>587</v>
      </c>
      <c r="I157" s="9" t="s">
        <v>329</v>
      </c>
      <c r="J157" s="9" t="s">
        <v>145</v>
      </c>
    </row>
    <row r="158" spans="1:10">
      <c r="A158" s="5" t="s">
        <v>498</v>
      </c>
      <c r="B158" s="6" t="s">
        <v>2566</v>
      </c>
      <c r="C158" s="7">
        <v>46254</v>
      </c>
      <c r="D158" s="9" t="s">
        <v>261</v>
      </c>
      <c r="E158" s="4" t="s">
        <v>62</v>
      </c>
      <c r="F158" s="9" t="s">
        <v>586</v>
      </c>
      <c r="G158" s="9">
        <v>2</v>
      </c>
      <c r="H158" s="6" t="s">
        <v>587</v>
      </c>
      <c r="I158" s="9" t="s">
        <v>329</v>
      </c>
      <c r="J158" s="9" t="s">
        <v>145</v>
      </c>
    </row>
    <row r="159" spans="1:10">
      <c r="A159" s="5" t="s">
        <v>499</v>
      </c>
      <c r="B159" s="6" t="s">
        <v>2567</v>
      </c>
      <c r="C159" s="7">
        <v>46254</v>
      </c>
      <c r="D159" s="9" t="s">
        <v>241</v>
      </c>
      <c r="E159" s="8" t="s">
        <v>1152</v>
      </c>
      <c r="F159" s="9" t="s">
        <v>242</v>
      </c>
      <c r="G159" s="9">
        <v>1</v>
      </c>
      <c r="H159" s="6" t="s">
        <v>2318</v>
      </c>
      <c r="I159" s="9" t="s">
        <v>258</v>
      </c>
      <c r="J159" s="9" t="s">
        <v>145</v>
      </c>
    </row>
    <row r="160" spans="1:10">
      <c r="A160" s="5" t="s">
        <v>501</v>
      </c>
      <c r="B160" s="6" t="s">
        <v>2567</v>
      </c>
      <c r="C160" s="7">
        <v>46254</v>
      </c>
      <c r="D160" s="9" t="s">
        <v>241</v>
      </c>
      <c r="E160" s="4" t="s">
        <v>29</v>
      </c>
      <c r="F160" s="9" t="s">
        <v>246</v>
      </c>
      <c r="G160" s="9">
        <v>1</v>
      </c>
      <c r="H160" s="6" t="s">
        <v>2318</v>
      </c>
      <c r="I160" s="9" t="s">
        <v>258</v>
      </c>
      <c r="J160" s="9" t="s">
        <v>145</v>
      </c>
    </row>
    <row r="161" spans="1:10">
      <c r="A161" s="5" t="s">
        <v>502</v>
      </c>
      <c r="B161" s="6" t="s">
        <v>2567</v>
      </c>
      <c r="C161" s="7">
        <v>46254</v>
      </c>
      <c r="D161" s="9" t="s">
        <v>261</v>
      </c>
      <c r="E161" s="8" t="s">
        <v>281</v>
      </c>
      <c r="F161" s="9" t="s">
        <v>242</v>
      </c>
      <c r="G161" s="9">
        <v>2</v>
      </c>
      <c r="H161" s="6" t="s">
        <v>2318</v>
      </c>
      <c r="I161" s="9" t="s">
        <v>258</v>
      </c>
      <c r="J161" s="9" t="s">
        <v>145</v>
      </c>
    </row>
    <row r="162" spans="1:10">
      <c r="A162" s="5" t="s">
        <v>504</v>
      </c>
      <c r="B162" s="6" t="s">
        <v>2568</v>
      </c>
      <c r="C162" s="7">
        <v>46255</v>
      </c>
      <c r="D162" s="9" t="s">
        <v>299</v>
      </c>
      <c r="E162" s="4" t="s">
        <v>21</v>
      </c>
      <c r="F162" s="9" t="s">
        <v>242</v>
      </c>
      <c r="G162" s="9">
        <v>1</v>
      </c>
      <c r="H162" s="6" t="s">
        <v>518</v>
      </c>
      <c r="I162" s="9" t="s">
        <v>415</v>
      </c>
      <c r="J162" s="9" t="s">
        <v>145</v>
      </c>
    </row>
    <row r="163" spans="1:10">
      <c r="A163" s="5" t="s">
        <v>507</v>
      </c>
      <c r="B163" s="6" t="s">
        <v>2568</v>
      </c>
      <c r="C163" s="7">
        <v>46255</v>
      </c>
      <c r="D163" s="9" t="s">
        <v>299</v>
      </c>
      <c r="E163" s="8" t="s">
        <v>22</v>
      </c>
      <c r="F163" s="9" t="s">
        <v>246</v>
      </c>
      <c r="G163" s="9">
        <v>1</v>
      </c>
      <c r="H163" s="6" t="s">
        <v>518</v>
      </c>
      <c r="I163" s="9" t="s">
        <v>415</v>
      </c>
      <c r="J163" s="9" t="s">
        <v>145</v>
      </c>
    </row>
    <row r="164" spans="1:10">
      <c r="A164" s="5" t="s">
        <v>508</v>
      </c>
      <c r="B164" s="6" t="s">
        <v>2569</v>
      </c>
      <c r="C164" s="7">
        <v>46255</v>
      </c>
      <c r="D164" s="9" t="s">
        <v>241</v>
      </c>
      <c r="E164" s="8" t="s">
        <v>1152</v>
      </c>
      <c r="F164" s="9" t="s">
        <v>242</v>
      </c>
      <c r="G164" s="9">
        <v>1</v>
      </c>
      <c r="H164" s="6" t="s">
        <v>243</v>
      </c>
      <c r="I164" s="9" t="s">
        <v>415</v>
      </c>
      <c r="J164" s="9" t="s">
        <v>145</v>
      </c>
    </row>
    <row r="165" spans="1:10">
      <c r="A165" s="5" t="s">
        <v>510</v>
      </c>
      <c r="B165" s="6" t="s">
        <v>2569</v>
      </c>
      <c r="C165" s="7">
        <v>46255</v>
      </c>
      <c r="D165" s="9" t="s">
        <v>241</v>
      </c>
      <c r="E165" s="8" t="s">
        <v>29</v>
      </c>
      <c r="F165" s="9" t="s">
        <v>246</v>
      </c>
      <c r="G165" s="9">
        <v>1</v>
      </c>
      <c r="H165" s="6" t="s">
        <v>243</v>
      </c>
      <c r="I165" s="9" t="s">
        <v>415</v>
      </c>
      <c r="J165" s="9" t="s">
        <v>145</v>
      </c>
    </row>
    <row r="166" spans="1:10">
      <c r="A166" s="5" t="s">
        <v>511</v>
      </c>
      <c r="B166" s="6" t="s">
        <v>2570</v>
      </c>
      <c r="C166" s="7">
        <v>46257</v>
      </c>
      <c r="D166" s="9" t="s">
        <v>665</v>
      </c>
      <c r="E166" s="8" t="s">
        <v>22</v>
      </c>
      <c r="F166" s="9" t="s">
        <v>242</v>
      </c>
      <c r="G166" s="9">
        <v>1</v>
      </c>
      <c r="H166" s="6" t="s">
        <v>2323</v>
      </c>
      <c r="I166" s="9" t="s">
        <v>609</v>
      </c>
      <c r="J166" s="9" t="s">
        <v>145</v>
      </c>
    </row>
    <row r="167" spans="1:10">
      <c r="A167" s="5" t="s">
        <v>515</v>
      </c>
      <c r="B167" s="6" t="s">
        <v>2570</v>
      </c>
      <c r="C167" s="7">
        <v>46257</v>
      </c>
      <c r="D167" s="9" t="s">
        <v>261</v>
      </c>
      <c r="E167" s="8" t="s">
        <v>64</v>
      </c>
      <c r="F167" s="9" t="s">
        <v>242</v>
      </c>
      <c r="G167" s="9">
        <v>1</v>
      </c>
      <c r="H167" s="6" t="s">
        <v>2323</v>
      </c>
      <c r="I167" s="9" t="s">
        <v>609</v>
      </c>
      <c r="J167" s="9" t="s">
        <v>145</v>
      </c>
    </row>
    <row r="168" spans="1:10">
      <c r="A168" s="5" t="s">
        <v>516</v>
      </c>
      <c r="B168" s="6" t="s">
        <v>2570</v>
      </c>
      <c r="C168" s="7">
        <v>46257</v>
      </c>
      <c r="D168" s="9" t="s">
        <v>270</v>
      </c>
      <c r="E168" s="8" t="s">
        <v>271</v>
      </c>
      <c r="F168" s="9" t="s">
        <v>242</v>
      </c>
      <c r="G168" s="9">
        <v>1</v>
      </c>
      <c r="H168" s="6" t="s">
        <v>2323</v>
      </c>
      <c r="I168" s="9" t="s">
        <v>609</v>
      </c>
      <c r="J168" s="9" t="s">
        <v>145</v>
      </c>
    </row>
    <row r="169" spans="1:10">
      <c r="A169" s="5" t="s">
        <v>519</v>
      </c>
      <c r="B169" s="6" t="s">
        <v>2570</v>
      </c>
      <c r="C169" s="7">
        <v>46257</v>
      </c>
      <c r="D169" s="9" t="s">
        <v>503</v>
      </c>
      <c r="E169" s="8" t="s">
        <v>1429</v>
      </c>
      <c r="F169" s="9" t="s">
        <v>242</v>
      </c>
      <c r="G169" s="9">
        <v>12</v>
      </c>
      <c r="H169" s="6" t="s">
        <v>2323</v>
      </c>
      <c r="I169" s="9" t="s">
        <v>609</v>
      </c>
      <c r="J169" s="9" t="s">
        <v>145</v>
      </c>
    </row>
    <row r="170" spans="1:10">
      <c r="A170" s="5" t="s">
        <v>520</v>
      </c>
      <c r="B170" s="6" t="s">
        <v>2570</v>
      </c>
      <c r="C170" s="7">
        <v>46257</v>
      </c>
      <c r="D170" s="9" t="s">
        <v>503</v>
      </c>
      <c r="E170" s="4" t="s">
        <v>75</v>
      </c>
      <c r="F170" s="9" t="s">
        <v>242</v>
      </c>
      <c r="G170" s="9">
        <v>2</v>
      </c>
      <c r="H170" s="6" t="s">
        <v>2323</v>
      </c>
      <c r="I170" s="9" t="s">
        <v>609</v>
      </c>
      <c r="J170" s="9" t="s">
        <v>145</v>
      </c>
    </row>
    <row r="171" spans="1:10">
      <c r="A171" s="5" t="s">
        <v>521</v>
      </c>
      <c r="B171" s="6" t="s">
        <v>2571</v>
      </c>
      <c r="C171" s="7">
        <v>46258</v>
      </c>
      <c r="D171" s="9" t="s">
        <v>299</v>
      </c>
      <c r="E171" s="8" t="s">
        <v>21</v>
      </c>
      <c r="F171" s="9" t="s">
        <v>242</v>
      </c>
      <c r="G171" s="9">
        <v>1</v>
      </c>
      <c r="H171" s="6" t="s">
        <v>2572</v>
      </c>
      <c r="I171" s="9" t="s">
        <v>918</v>
      </c>
      <c r="J171" s="9" t="s">
        <v>145</v>
      </c>
    </row>
    <row r="172" spans="1:10">
      <c r="A172" s="5" t="s">
        <v>523</v>
      </c>
      <c r="B172" s="6" t="s">
        <v>2571</v>
      </c>
      <c r="C172" s="7">
        <v>46258</v>
      </c>
      <c r="D172" s="9" t="s">
        <v>299</v>
      </c>
      <c r="E172" s="8" t="s">
        <v>21</v>
      </c>
      <c r="F172" s="9" t="s">
        <v>246</v>
      </c>
      <c r="G172" s="9">
        <v>1</v>
      </c>
      <c r="H172" s="6" t="s">
        <v>2572</v>
      </c>
      <c r="I172" s="9" t="s">
        <v>918</v>
      </c>
      <c r="J172" s="9" t="s">
        <v>145</v>
      </c>
    </row>
    <row r="173" spans="1:10">
      <c r="A173" s="5" t="s">
        <v>524</v>
      </c>
      <c r="B173" s="6" t="s">
        <v>2573</v>
      </c>
      <c r="C173" s="7">
        <v>46258</v>
      </c>
      <c r="D173" s="9" t="s">
        <v>299</v>
      </c>
      <c r="E173" s="8" t="s">
        <v>21</v>
      </c>
      <c r="F173" s="9" t="s">
        <v>242</v>
      </c>
      <c r="G173" s="9">
        <v>1</v>
      </c>
      <c r="H173" s="6" t="s">
        <v>2572</v>
      </c>
      <c r="I173" s="9" t="s">
        <v>918</v>
      </c>
      <c r="J173" s="9" t="s">
        <v>145</v>
      </c>
    </row>
    <row r="174" spans="1:10">
      <c r="A174" s="5" t="s">
        <v>527</v>
      </c>
      <c r="B174" s="6" t="s">
        <v>2573</v>
      </c>
      <c r="C174" s="7">
        <v>46258</v>
      </c>
      <c r="D174" s="9" t="s">
        <v>299</v>
      </c>
      <c r="E174" s="4" t="s">
        <v>21</v>
      </c>
      <c r="F174" s="9" t="s">
        <v>246</v>
      </c>
      <c r="G174" s="9">
        <v>1</v>
      </c>
      <c r="H174" s="6" t="s">
        <v>2572</v>
      </c>
      <c r="I174" s="9" t="s">
        <v>918</v>
      </c>
      <c r="J174" s="9" t="s">
        <v>145</v>
      </c>
    </row>
    <row r="175" spans="1:10">
      <c r="A175" s="5" t="s">
        <v>528</v>
      </c>
      <c r="B175" s="6" t="s">
        <v>2574</v>
      </c>
      <c r="C175" s="7">
        <v>46258</v>
      </c>
      <c r="D175" s="9" t="s">
        <v>299</v>
      </c>
      <c r="E175" s="8" t="s">
        <v>21</v>
      </c>
      <c r="F175" s="9" t="s">
        <v>242</v>
      </c>
      <c r="G175" s="9">
        <v>1</v>
      </c>
      <c r="H175" s="6" t="s">
        <v>526</v>
      </c>
      <c r="I175" s="9" t="s">
        <v>918</v>
      </c>
      <c r="J175" s="9" t="s">
        <v>145</v>
      </c>
    </row>
    <row r="176" spans="1:10">
      <c r="A176" s="5" t="s">
        <v>529</v>
      </c>
      <c r="B176" s="6" t="s">
        <v>2574</v>
      </c>
      <c r="C176" s="7">
        <v>46258</v>
      </c>
      <c r="D176" s="9" t="s">
        <v>299</v>
      </c>
      <c r="E176" s="8" t="s">
        <v>21</v>
      </c>
      <c r="F176" s="9" t="s">
        <v>246</v>
      </c>
      <c r="G176" s="9">
        <v>1</v>
      </c>
      <c r="H176" s="6" t="s">
        <v>526</v>
      </c>
      <c r="I176" s="9" t="s">
        <v>918</v>
      </c>
      <c r="J176" s="9" t="s">
        <v>145</v>
      </c>
    </row>
    <row r="177" spans="1:10">
      <c r="A177" s="5" t="s">
        <v>533</v>
      </c>
      <c r="B177" s="6" t="s">
        <v>2575</v>
      </c>
      <c r="C177" s="7">
        <v>46258</v>
      </c>
      <c r="D177" s="9" t="s">
        <v>665</v>
      </c>
      <c r="E177" s="8" t="s">
        <v>666</v>
      </c>
      <c r="F177" s="9" t="s">
        <v>242</v>
      </c>
      <c r="G177" s="9">
        <v>2</v>
      </c>
      <c r="H177" s="6" t="s">
        <v>2576</v>
      </c>
      <c r="I177" s="9" t="s">
        <v>918</v>
      </c>
      <c r="J177" s="9" t="s">
        <v>145</v>
      </c>
    </row>
    <row r="178" spans="1:10">
      <c r="A178" s="5" t="s">
        <v>534</v>
      </c>
      <c r="B178" s="6" t="s">
        <v>2575</v>
      </c>
      <c r="C178" s="7">
        <v>46258</v>
      </c>
      <c r="D178" s="9" t="s">
        <v>665</v>
      </c>
      <c r="E178" s="8" t="s">
        <v>666</v>
      </c>
      <c r="F178" s="9" t="s">
        <v>246</v>
      </c>
      <c r="G178" s="9">
        <v>1</v>
      </c>
      <c r="H178" s="6" t="s">
        <v>2576</v>
      </c>
      <c r="I178" s="9" t="s">
        <v>918</v>
      </c>
      <c r="J178" s="9" t="s">
        <v>145</v>
      </c>
    </row>
    <row r="179" spans="1:10">
      <c r="A179" s="5" t="s">
        <v>537</v>
      </c>
      <c r="B179" s="6" t="s">
        <v>2575</v>
      </c>
      <c r="C179" s="7">
        <v>46258</v>
      </c>
      <c r="D179" s="9" t="s">
        <v>261</v>
      </c>
      <c r="E179" s="8" t="s">
        <v>64</v>
      </c>
      <c r="F179" s="9" t="s">
        <v>242</v>
      </c>
      <c r="G179" s="9">
        <v>1</v>
      </c>
      <c r="H179" s="6" t="s">
        <v>2576</v>
      </c>
      <c r="I179" s="9" t="s">
        <v>918</v>
      </c>
      <c r="J179" s="9" t="s">
        <v>145</v>
      </c>
    </row>
    <row r="180" spans="1:10">
      <c r="A180" s="5" t="s">
        <v>538</v>
      </c>
      <c r="B180" s="6" t="s">
        <v>2575</v>
      </c>
      <c r="C180" s="7">
        <v>46258</v>
      </c>
      <c r="D180" s="9" t="s">
        <v>270</v>
      </c>
      <c r="E180" s="8" t="s">
        <v>271</v>
      </c>
      <c r="F180" s="9" t="s">
        <v>242</v>
      </c>
      <c r="G180" s="9">
        <v>1</v>
      </c>
      <c r="H180" s="6" t="s">
        <v>2576</v>
      </c>
      <c r="I180" s="9" t="s">
        <v>918</v>
      </c>
      <c r="J180" s="9" t="s">
        <v>145</v>
      </c>
    </row>
    <row r="181" spans="1:10">
      <c r="A181" s="5" t="s">
        <v>539</v>
      </c>
      <c r="B181" s="6" t="s">
        <v>2575</v>
      </c>
      <c r="C181" s="7">
        <v>46258</v>
      </c>
      <c r="D181" s="9" t="s">
        <v>503</v>
      </c>
      <c r="E181" s="4" t="s">
        <v>1429</v>
      </c>
      <c r="F181" s="9" t="s">
        <v>242</v>
      </c>
      <c r="G181" s="9">
        <v>8</v>
      </c>
      <c r="H181" s="6" t="s">
        <v>2576</v>
      </c>
      <c r="I181" s="9" t="s">
        <v>918</v>
      </c>
      <c r="J181" s="9" t="s">
        <v>145</v>
      </c>
    </row>
    <row r="182" spans="1:10">
      <c r="A182" s="5" t="s">
        <v>541</v>
      </c>
      <c r="B182" s="6" t="s">
        <v>2577</v>
      </c>
      <c r="C182" s="7">
        <v>46258</v>
      </c>
      <c r="D182" s="9" t="s">
        <v>241</v>
      </c>
      <c r="E182" s="8" t="s">
        <v>1152</v>
      </c>
      <c r="F182" s="9" t="s">
        <v>242</v>
      </c>
      <c r="G182" s="9">
        <v>1</v>
      </c>
      <c r="H182" s="6" t="s">
        <v>931</v>
      </c>
      <c r="I182" s="9" t="s">
        <v>275</v>
      </c>
      <c r="J182" s="9" t="s">
        <v>145</v>
      </c>
    </row>
    <row r="183" spans="1:10">
      <c r="A183" s="5" t="s">
        <v>542</v>
      </c>
      <c r="B183" s="6" t="s">
        <v>2577</v>
      </c>
      <c r="C183" s="7">
        <v>46258</v>
      </c>
      <c r="D183" s="9" t="s">
        <v>241</v>
      </c>
      <c r="E183" s="4" t="s">
        <v>29</v>
      </c>
      <c r="F183" s="9" t="s">
        <v>246</v>
      </c>
      <c r="G183" s="9">
        <v>1</v>
      </c>
      <c r="H183" s="6" t="s">
        <v>931</v>
      </c>
      <c r="I183" s="9" t="s">
        <v>275</v>
      </c>
      <c r="J183" s="9" t="s">
        <v>145</v>
      </c>
    </row>
    <row r="184" spans="1:10">
      <c r="A184" s="5" t="s">
        <v>543</v>
      </c>
      <c r="B184" s="6" t="s">
        <v>2578</v>
      </c>
      <c r="C184" s="7">
        <v>46258</v>
      </c>
      <c r="D184" s="9" t="s">
        <v>241</v>
      </c>
      <c r="E184" s="8" t="s">
        <v>1152</v>
      </c>
      <c r="F184" s="9" t="s">
        <v>242</v>
      </c>
      <c r="G184" s="9">
        <v>1</v>
      </c>
      <c r="H184" s="6" t="s">
        <v>1653</v>
      </c>
      <c r="I184" s="9" t="s">
        <v>266</v>
      </c>
      <c r="J184" s="9" t="s">
        <v>145</v>
      </c>
    </row>
    <row r="185" spans="1:10">
      <c r="A185" s="5" t="s">
        <v>544</v>
      </c>
      <c r="B185" s="6" t="s">
        <v>2578</v>
      </c>
      <c r="C185" s="7">
        <v>46258</v>
      </c>
      <c r="D185" s="9" t="s">
        <v>241</v>
      </c>
      <c r="E185" s="8" t="s">
        <v>29</v>
      </c>
      <c r="F185" s="9" t="s">
        <v>246</v>
      </c>
      <c r="G185" s="9">
        <v>1</v>
      </c>
      <c r="H185" s="6" t="s">
        <v>1653</v>
      </c>
      <c r="I185" s="9" t="s">
        <v>266</v>
      </c>
      <c r="J185" s="9" t="s">
        <v>145</v>
      </c>
    </row>
    <row r="186" spans="1:10">
      <c r="A186" s="5" t="s">
        <v>545</v>
      </c>
      <c r="B186" s="6" t="s">
        <v>2578</v>
      </c>
      <c r="C186" s="7">
        <v>46258</v>
      </c>
      <c r="D186" s="9" t="s">
        <v>261</v>
      </c>
      <c r="E186" s="8" t="s">
        <v>281</v>
      </c>
      <c r="F186" s="9" t="s">
        <v>242</v>
      </c>
      <c r="G186" s="9">
        <v>4</v>
      </c>
      <c r="H186" s="6" t="s">
        <v>1653</v>
      </c>
      <c r="I186" s="9" t="s">
        <v>266</v>
      </c>
      <c r="J186" s="9" t="s">
        <v>145</v>
      </c>
    </row>
    <row r="187" spans="1:10">
      <c r="A187" s="5" t="s">
        <v>546</v>
      </c>
      <c r="B187" s="6" t="s">
        <v>2579</v>
      </c>
      <c r="C187" s="7">
        <v>46258</v>
      </c>
      <c r="D187" s="9" t="s">
        <v>241</v>
      </c>
      <c r="E187" s="8" t="s">
        <v>1152</v>
      </c>
      <c r="F187" s="9" t="s">
        <v>242</v>
      </c>
      <c r="G187" s="9">
        <v>1</v>
      </c>
      <c r="H187" s="6" t="s">
        <v>931</v>
      </c>
      <c r="I187" s="9" t="s">
        <v>388</v>
      </c>
      <c r="J187" s="9" t="s">
        <v>145</v>
      </c>
    </row>
    <row r="188" spans="1:10">
      <c r="A188" s="5" t="s">
        <v>549</v>
      </c>
      <c r="B188" s="6" t="s">
        <v>2579</v>
      </c>
      <c r="C188" s="7">
        <v>46258</v>
      </c>
      <c r="D188" s="9" t="s">
        <v>241</v>
      </c>
      <c r="E188" s="8" t="s">
        <v>29</v>
      </c>
      <c r="F188" s="9" t="s">
        <v>246</v>
      </c>
      <c r="G188" s="9">
        <v>1</v>
      </c>
      <c r="H188" s="6" t="s">
        <v>931</v>
      </c>
      <c r="I188" s="9" t="s">
        <v>388</v>
      </c>
      <c r="J188" s="9" t="s">
        <v>145</v>
      </c>
    </row>
    <row r="189" spans="1:10">
      <c r="A189" s="5" t="s">
        <v>550</v>
      </c>
      <c r="B189" s="6" t="s">
        <v>2579</v>
      </c>
      <c r="C189" s="7">
        <v>46258</v>
      </c>
      <c r="D189" s="9" t="s">
        <v>261</v>
      </c>
      <c r="E189" s="8" t="s">
        <v>281</v>
      </c>
      <c r="F189" s="9" t="s">
        <v>242</v>
      </c>
      <c r="G189" s="9">
        <v>3</v>
      </c>
      <c r="H189" s="6" t="s">
        <v>931</v>
      </c>
      <c r="I189" s="9" t="s">
        <v>388</v>
      </c>
      <c r="J189" s="9" t="s">
        <v>145</v>
      </c>
    </row>
    <row r="190" spans="1:10">
      <c r="A190" s="5" t="s">
        <v>551</v>
      </c>
      <c r="B190" s="6" t="s">
        <v>2580</v>
      </c>
      <c r="C190" s="7">
        <v>46258</v>
      </c>
      <c r="D190" s="9" t="s">
        <v>241</v>
      </c>
      <c r="E190" s="8" t="s">
        <v>1152</v>
      </c>
      <c r="F190" s="9" t="s">
        <v>242</v>
      </c>
      <c r="G190" s="9">
        <v>1</v>
      </c>
      <c r="H190" s="6" t="s">
        <v>243</v>
      </c>
      <c r="I190" s="9" t="s">
        <v>616</v>
      </c>
      <c r="J190" s="9" t="s">
        <v>145</v>
      </c>
    </row>
    <row r="191" spans="1:10">
      <c r="A191" s="5" t="s">
        <v>553</v>
      </c>
      <c r="B191" s="6" t="s">
        <v>2580</v>
      </c>
      <c r="C191" s="7">
        <v>46258</v>
      </c>
      <c r="D191" s="9" t="s">
        <v>241</v>
      </c>
      <c r="E191" s="8" t="s">
        <v>29</v>
      </c>
      <c r="F191" s="9" t="s">
        <v>246</v>
      </c>
      <c r="G191" s="9">
        <v>1</v>
      </c>
      <c r="H191" s="6" t="s">
        <v>243</v>
      </c>
      <c r="I191" s="9" t="s">
        <v>616</v>
      </c>
      <c r="J191" s="9" t="s">
        <v>145</v>
      </c>
    </row>
    <row r="192" spans="1:10">
      <c r="A192" s="5" t="s">
        <v>554</v>
      </c>
      <c r="B192" s="6" t="s">
        <v>2581</v>
      </c>
      <c r="C192" s="7">
        <v>46258</v>
      </c>
      <c r="D192" s="9" t="s">
        <v>241</v>
      </c>
      <c r="E192" s="4" t="s">
        <v>1152</v>
      </c>
      <c r="F192" s="9" t="s">
        <v>242</v>
      </c>
      <c r="G192" s="9">
        <v>1</v>
      </c>
      <c r="H192" s="6" t="s">
        <v>2582</v>
      </c>
      <c r="I192" s="9" t="s">
        <v>289</v>
      </c>
      <c r="J192" s="9" t="s">
        <v>145</v>
      </c>
    </row>
    <row r="193" spans="1:10">
      <c r="A193" s="5" t="s">
        <v>555</v>
      </c>
      <c r="B193" s="6" t="s">
        <v>2581</v>
      </c>
      <c r="C193" s="7">
        <v>46258</v>
      </c>
      <c r="D193" s="9" t="s">
        <v>241</v>
      </c>
      <c r="E193" s="8" t="s">
        <v>29</v>
      </c>
      <c r="F193" s="9" t="s">
        <v>246</v>
      </c>
      <c r="G193" s="9">
        <v>1</v>
      </c>
      <c r="H193" s="6" t="s">
        <v>2582</v>
      </c>
      <c r="I193" s="9" t="s">
        <v>289</v>
      </c>
      <c r="J193" s="9" t="s">
        <v>145</v>
      </c>
    </row>
    <row r="194" spans="1:10">
      <c r="A194" s="5" t="s">
        <v>557</v>
      </c>
      <c r="B194" s="6" t="s">
        <v>2581</v>
      </c>
      <c r="C194" s="7">
        <v>46258</v>
      </c>
      <c r="D194" s="9" t="s">
        <v>261</v>
      </c>
      <c r="E194" s="8" t="s">
        <v>62</v>
      </c>
      <c r="F194" s="9" t="s">
        <v>242</v>
      </c>
      <c r="G194" s="9">
        <v>2</v>
      </c>
      <c r="H194" s="6" t="s">
        <v>2582</v>
      </c>
      <c r="I194" s="9" t="s">
        <v>289</v>
      </c>
      <c r="J194" s="9" t="s">
        <v>145</v>
      </c>
    </row>
    <row r="195" spans="1:10">
      <c r="A195" s="5" t="s">
        <v>558</v>
      </c>
      <c r="B195" s="6" t="s">
        <v>2581</v>
      </c>
      <c r="C195" s="7">
        <v>46258</v>
      </c>
      <c r="D195" s="9" t="s">
        <v>261</v>
      </c>
      <c r="E195" s="8" t="s">
        <v>281</v>
      </c>
      <c r="F195" s="9" t="s">
        <v>242</v>
      </c>
      <c r="G195" s="9">
        <v>2</v>
      </c>
      <c r="H195" s="6" t="s">
        <v>2582</v>
      </c>
      <c r="I195" s="9" t="s">
        <v>289</v>
      </c>
      <c r="J195" s="9" t="s">
        <v>145</v>
      </c>
    </row>
    <row r="196" spans="1:10">
      <c r="A196" s="5" t="s">
        <v>561</v>
      </c>
      <c r="B196" s="6" t="s">
        <v>2583</v>
      </c>
      <c r="C196" s="7">
        <v>46258</v>
      </c>
      <c r="D196" s="9" t="s">
        <v>299</v>
      </c>
      <c r="E196" s="8" t="s">
        <v>21</v>
      </c>
      <c r="F196" s="9" t="s">
        <v>242</v>
      </c>
      <c r="G196" s="9">
        <v>1</v>
      </c>
      <c r="H196" s="6" t="s">
        <v>615</v>
      </c>
      <c r="I196" s="9" t="s">
        <v>484</v>
      </c>
      <c r="J196" s="9" t="s">
        <v>145</v>
      </c>
    </row>
    <row r="197" spans="1:10">
      <c r="A197" s="5" t="s">
        <v>562</v>
      </c>
      <c r="B197" s="6" t="s">
        <v>2583</v>
      </c>
      <c r="C197" s="7">
        <v>46258</v>
      </c>
      <c r="D197" s="9" t="s">
        <v>299</v>
      </c>
      <c r="E197" s="8" t="s">
        <v>376</v>
      </c>
      <c r="F197" s="9" t="s">
        <v>246</v>
      </c>
      <c r="G197" s="9">
        <v>1</v>
      </c>
      <c r="H197" s="6" t="s">
        <v>615</v>
      </c>
      <c r="I197" s="9" t="s">
        <v>484</v>
      </c>
      <c r="J197" s="9" t="s">
        <v>145</v>
      </c>
    </row>
    <row r="198" spans="1:10">
      <c r="A198" s="5" t="s">
        <v>567</v>
      </c>
      <c r="B198" s="6" t="s">
        <v>2584</v>
      </c>
      <c r="C198" s="7">
        <v>46259</v>
      </c>
      <c r="D198" s="9" t="s">
        <v>665</v>
      </c>
      <c r="E198" s="4" t="s">
        <v>666</v>
      </c>
      <c r="F198" s="9" t="s">
        <v>242</v>
      </c>
      <c r="G198" s="9">
        <v>1</v>
      </c>
      <c r="H198" s="6" t="s">
        <v>2585</v>
      </c>
      <c r="I198" s="9" t="s">
        <v>337</v>
      </c>
      <c r="J198" s="9" t="s">
        <v>145</v>
      </c>
    </row>
    <row r="199" spans="1:10">
      <c r="A199" s="5" t="s">
        <v>568</v>
      </c>
      <c r="B199" s="6" t="s">
        <v>2584</v>
      </c>
      <c r="C199" s="7">
        <v>46259</v>
      </c>
      <c r="D199" s="9" t="s">
        <v>665</v>
      </c>
      <c r="E199" s="8" t="s">
        <v>149</v>
      </c>
      <c r="F199" s="9" t="s">
        <v>246</v>
      </c>
      <c r="G199" s="9">
        <v>1</v>
      </c>
      <c r="H199" s="6" t="s">
        <v>2585</v>
      </c>
      <c r="I199" s="9" t="s">
        <v>337</v>
      </c>
      <c r="J199" s="9" t="s">
        <v>145</v>
      </c>
    </row>
    <row r="200" spans="1:10">
      <c r="A200" s="5" t="s">
        <v>569</v>
      </c>
      <c r="B200" s="6" t="s">
        <v>2584</v>
      </c>
      <c r="C200" s="7">
        <v>46259</v>
      </c>
      <c r="D200" s="9" t="s">
        <v>270</v>
      </c>
      <c r="E200" s="8" t="s">
        <v>271</v>
      </c>
      <c r="F200" s="9" t="s">
        <v>242</v>
      </c>
      <c r="G200" s="9">
        <v>1</v>
      </c>
      <c r="H200" s="6" t="s">
        <v>2585</v>
      </c>
      <c r="I200" s="9" t="s">
        <v>337</v>
      </c>
      <c r="J200" s="9" t="s">
        <v>145</v>
      </c>
    </row>
    <row r="201" spans="1:10">
      <c r="A201" s="5" t="s">
        <v>570</v>
      </c>
      <c r="B201" s="6" t="s">
        <v>2586</v>
      </c>
      <c r="C201" s="7">
        <v>46259</v>
      </c>
      <c r="D201" s="9" t="s">
        <v>299</v>
      </c>
      <c r="E201" s="8" t="s">
        <v>24</v>
      </c>
      <c r="F201" s="9" t="s">
        <v>242</v>
      </c>
      <c r="G201" s="9">
        <v>1</v>
      </c>
      <c r="H201" s="6" t="s">
        <v>1891</v>
      </c>
      <c r="I201" s="9" t="s">
        <v>337</v>
      </c>
      <c r="J201" s="9" t="s">
        <v>145</v>
      </c>
    </row>
    <row r="202" spans="1:10">
      <c r="A202" s="5" t="s">
        <v>571</v>
      </c>
      <c r="B202" s="6" t="s">
        <v>2586</v>
      </c>
      <c r="C202" s="7">
        <v>46259</v>
      </c>
      <c r="D202" s="9" t="s">
        <v>299</v>
      </c>
      <c r="E202" s="8" t="s">
        <v>1334</v>
      </c>
      <c r="F202" s="9" t="s">
        <v>246</v>
      </c>
      <c r="G202" s="9">
        <v>1</v>
      </c>
      <c r="H202" s="6" t="s">
        <v>1891</v>
      </c>
      <c r="I202" s="9" t="s">
        <v>337</v>
      </c>
      <c r="J202" s="9" t="s">
        <v>145</v>
      </c>
    </row>
    <row r="203" spans="1:10">
      <c r="A203" s="5" t="s">
        <v>573</v>
      </c>
      <c r="B203" s="6" t="s">
        <v>2586</v>
      </c>
      <c r="C203" s="7">
        <v>46259</v>
      </c>
      <c r="D203" s="9" t="s">
        <v>270</v>
      </c>
      <c r="E203" s="4" t="s">
        <v>271</v>
      </c>
      <c r="F203" s="9" t="s">
        <v>242</v>
      </c>
      <c r="G203" s="9">
        <v>4</v>
      </c>
      <c r="H203" s="6" t="s">
        <v>1891</v>
      </c>
      <c r="I203" s="9" t="s">
        <v>337</v>
      </c>
      <c r="J203" s="9" t="s">
        <v>145</v>
      </c>
    </row>
    <row r="204" spans="1:10">
      <c r="A204" s="5" t="s">
        <v>574</v>
      </c>
      <c r="B204" s="6" t="s">
        <v>2587</v>
      </c>
      <c r="C204" s="7">
        <v>46259</v>
      </c>
      <c r="D204" s="9" t="s">
        <v>299</v>
      </c>
      <c r="E204" s="8" t="s">
        <v>22</v>
      </c>
      <c r="F204" s="9" t="s">
        <v>242</v>
      </c>
      <c r="G204" s="9">
        <v>1</v>
      </c>
      <c r="H204" s="6" t="s">
        <v>423</v>
      </c>
      <c r="I204" s="9" t="s">
        <v>357</v>
      </c>
      <c r="J204" s="9" t="s">
        <v>145</v>
      </c>
    </row>
    <row r="205" spans="1:10">
      <c r="A205" s="5" t="s">
        <v>575</v>
      </c>
      <c r="B205" s="6" t="s">
        <v>2587</v>
      </c>
      <c r="C205" s="7">
        <v>46259</v>
      </c>
      <c r="D205" s="9" t="s">
        <v>299</v>
      </c>
      <c r="E205" s="8" t="s">
        <v>376</v>
      </c>
      <c r="F205" s="9" t="s">
        <v>246</v>
      </c>
      <c r="G205" s="9">
        <v>1</v>
      </c>
      <c r="H205" s="6" t="s">
        <v>423</v>
      </c>
      <c r="I205" s="9" t="s">
        <v>357</v>
      </c>
      <c r="J205" s="9" t="s">
        <v>145</v>
      </c>
    </row>
    <row r="206" spans="1:10">
      <c r="A206" s="5" t="s">
        <v>576</v>
      </c>
      <c r="B206" s="6" t="s">
        <v>2588</v>
      </c>
      <c r="C206" s="7">
        <v>46224</v>
      </c>
      <c r="D206" s="9" t="s">
        <v>1</v>
      </c>
      <c r="E206" s="8" t="s">
        <v>16</v>
      </c>
      <c r="F206" s="9" t="s">
        <v>242</v>
      </c>
      <c r="G206" s="9">
        <v>1</v>
      </c>
      <c r="H206" s="6" t="s">
        <v>2589</v>
      </c>
      <c r="I206" s="9" t="s">
        <v>258</v>
      </c>
      <c r="J206" s="9" t="s">
        <v>145</v>
      </c>
    </row>
    <row r="207" spans="1:10">
      <c r="A207" s="5" t="s">
        <v>577</v>
      </c>
      <c r="B207" s="6" t="s">
        <v>2588</v>
      </c>
      <c r="C207" s="7">
        <v>46224</v>
      </c>
      <c r="D207" s="9" t="s">
        <v>1</v>
      </c>
      <c r="E207" s="8" t="s">
        <v>657</v>
      </c>
      <c r="F207" s="9" t="s">
        <v>246</v>
      </c>
      <c r="G207" s="9">
        <v>1</v>
      </c>
      <c r="H207" s="6" t="s">
        <v>2589</v>
      </c>
      <c r="I207" s="9" t="s">
        <v>258</v>
      </c>
      <c r="J207" s="9" t="s">
        <v>145</v>
      </c>
    </row>
    <row r="208" spans="1:10">
      <c r="A208" s="5" t="s">
        <v>580</v>
      </c>
      <c r="B208" s="6" t="s">
        <v>2588</v>
      </c>
      <c r="C208" s="7">
        <v>46224</v>
      </c>
      <c r="D208" s="9" t="s">
        <v>270</v>
      </c>
      <c r="E208" s="8" t="s">
        <v>271</v>
      </c>
      <c r="F208" s="9" t="s">
        <v>242</v>
      </c>
      <c r="G208" s="9">
        <v>5</v>
      </c>
      <c r="H208" s="6" t="s">
        <v>2589</v>
      </c>
      <c r="I208" s="9" t="s">
        <v>258</v>
      </c>
      <c r="J208" s="9" t="s">
        <v>145</v>
      </c>
    </row>
    <row r="209" spans="1:10">
      <c r="A209" s="5" t="s">
        <v>581</v>
      </c>
      <c r="B209" s="6" t="s">
        <v>2590</v>
      </c>
      <c r="C209" s="7">
        <v>46260</v>
      </c>
      <c r="D209" s="9" t="s">
        <v>241</v>
      </c>
      <c r="E209" s="8" t="s">
        <v>1152</v>
      </c>
      <c r="F209" s="9" t="s">
        <v>242</v>
      </c>
      <c r="G209" s="9">
        <v>1</v>
      </c>
      <c r="H209" s="6" t="s">
        <v>243</v>
      </c>
      <c r="I209" s="9" t="s">
        <v>514</v>
      </c>
      <c r="J209" s="9" t="s">
        <v>145</v>
      </c>
    </row>
    <row r="210" spans="1:10">
      <c r="A210" s="5" t="s">
        <v>583</v>
      </c>
      <c r="B210" s="6" t="s">
        <v>2590</v>
      </c>
      <c r="C210" s="7">
        <v>46260</v>
      </c>
      <c r="D210" s="9" t="s">
        <v>241</v>
      </c>
      <c r="E210" s="8" t="s">
        <v>29</v>
      </c>
      <c r="F210" s="9" t="s">
        <v>246</v>
      </c>
      <c r="G210" s="9">
        <v>1</v>
      </c>
      <c r="H210" s="6" t="s">
        <v>243</v>
      </c>
      <c r="I210" s="9" t="s">
        <v>514</v>
      </c>
      <c r="J210" s="9" t="s">
        <v>145</v>
      </c>
    </row>
    <row r="211" spans="1:10">
      <c r="A211" s="5" t="s">
        <v>584</v>
      </c>
      <c r="B211" s="6" t="s">
        <v>2591</v>
      </c>
      <c r="C211" s="7">
        <v>46260</v>
      </c>
      <c r="D211" s="9" t="s">
        <v>299</v>
      </c>
      <c r="E211" s="8" t="s">
        <v>22</v>
      </c>
      <c r="F211" s="9" t="s">
        <v>242</v>
      </c>
      <c r="G211" s="9">
        <v>1</v>
      </c>
      <c r="H211" s="6" t="s">
        <v>243</v>
      </c>
      <c r="I211" s="9" t="s">
        <v>1546</v>
      </c>
      <c r="J211" s="9" t="s">
        <v>145</v>
      </c>
    </row>
    <row r="212" spans="1:10">
      <c r="A212" s="5" t="s">
        <v>588</v>
      </c>
      <c r="B212" s="6" t="s">
        <v>2591</v>
      </c>
      <c r="C212" s="7">
        <v>46260</v>
      </c>
      <c r="D212" s="9" t="s">
        <v>299</v>
      </c>
      <c r="E212" s="8" t="s">
        <v>22</v>
      </c>
      <c r="F212" s="9" t="s">
        <v>246</v>
      </c>
      <c r="G212" s="9">
        <v>1</v>
      </c>
      <c r="H212" s="6" t="s">
        <v>243</v>
      </c>
      <c r="I212" s="9" t="s">
        <v>1546</v>
      </c>
      <c r="J212" s="9" t="s">
        <v>145</v>
      </c>
    </row>
    <row r="213" spans="1:10">
      <c r="A213" s="5" t="s">
        <v>591</v>
      </c>
      <c r="B213" s="6" t="s">
        <v>2592</v>
      </c>
      <c r="C213" s="7">
        <v>46260</v>
      </c>
      <c r="D213" s="9" t="s">
        <v>299</v>
      </c>
      <c r="E213" s="8" t="s">
        <v>376</v>
      </c>
      <c r="F213" s="9" t="s">
        <v>242</v>
      </c>
      <c r="G213" s="9">
        <v>1</v>
      </c>
      <c r="H213" s="6" t="s">
        <v>2582</v>
      </c>
      <c r="I213" s="9" t="s">
        <v>1546</v>
      </c>
      <c r="J213" s="9" t="s">
        <v>145</v>
      </c>
    </row>
    <row r="214" spans="1:10">
      <c r="A214" s="5" t="s">
        <v>592</v>
      </c>
      <c r="B214" s="6" t="s">
        <v>2592</v>
      </c>
      <c r="C214" s="7">
        <v>46260</v>
      </c>
      <c r="D214" s="9" t="s">
        <v>299</v>
      </c>
      <c r="E214" s="8" t="s">
        <v>376</v>
      </c>
      <c r="F214" s="9" t="s">
        <v>246</v>
      </c>
      <c r="G214" s="9">
        <v>1</v>
      </c>
      <c r="H214" s="6" t="s">
        <v>2582</v>
      </c>
      <c r="I214" s="9" t="s">
        <v>1546</v>
      </c>
      <c r="J214" s="9" t="s">
        <v>145</v>
      </c>
    </row>
    <row r="215" spans="1:10">
      <c r="A215" s="5" t="s">
        <v>593</v>
      </c>
      <c r="B215" s="6" t="s">
        <v>2593</v>
      </c>
      <c r="C215" s="7">
        <v>46260</v>
      </c>
      <c r="D215" s="9" t="s">
        <v>241</v>
      </c>
      <c r="E215" s="8" t="s">
        <v>1152</v>
      </c>
      <c r="F215" s="9" t="s">
        <v>586</v>
      </c>
      <c r="G215" s="9">
        <v>1</v>
      </c>
      <c r="H215" s="6" t="s">
        <v>587</v>
      </c>
      <c r="I215" s="9" t="s">
        <v>415</v>
      </c>
      <c r="J215" s="9" t="s">
        <v>145</v>
      </c>
    </row>
    <row r="216" spans="1:10">
      <c r="A216" s="5" t="s">
        <v>595</v>
      </c>
      <c r="B216" s="6" t="s">
        <v>2593</v>
      </c>
      <c r="C216" s="7">
        <v>46260</v>
      </c>
      <c r="D216" s="9" t="s">
        <v>261</v>
      </c>
      <c r="E216" s="8" t="s">
        <v>62</v>
      </c>
      <c r="F216" s="9" t="s">
        <v>586</v>
      </c>
      <c r="G216" s="9">
        <v>2</v>
      </c>
      <c r="H216" s="6" t="s">
        <v>587</v>
      </c>
      <c r="I216" s="9" t="s">
        <v>415</v>
      </c>
      <c r="J216" s="9" t="s">
        <v>145</v>
      </c>
    </row>
    <row r="217" spans="1:10">
      <c r="A217" s="5" t="s">
        <v>596</v>
      </c>
      <c r="B217" s="6" t="s">
        <v>2594</v>
      </c>
      <c r="C217" s="7">
        <v>46261</v>
      </c>
      <c r="D217" s="9" t="s">
        <v>241</v>
      </c>
      <c r="E217" s="8" t="s">
        <v>1152</v>
      </c>
      <c r="F217" s="9" t="s">
        <v>242</v>
      </c>
      <c r="G217" s="9">
        <v>1</v>
      </c>
      <c r="H217" s="6" t="s">
        <v>243</v>
      </c>
      <c r="I217" s="9" t="s">
        <v>253</v>
      </c>
      <c r="J217" s="9" t="s">
        <v>145</v>
      </c>
    </row>
    <row r="218" spans="1:10">
      <c r="A218" s="5" t="s">
        <v>599</v>
      </c>
      <c r="B218" s="6" t="s">
        <v>2594</v>
      </c>
      <c r="C218" s="7">
        <v>46261</v>
      </c>
      <c r="D218" s="9" t="s">
        <v>241</v>
      </c>
      <c r="E218" s="8" t="s">
        <v>29</v>
      </c>
      <c r="F218" s="9" t="s">
        <v>246</v>
      </c>
      <c r="G218" s="9">
        <v>1</v>
      </c>
      <c r="H218" s="6" t="s">
        <v>243</v>
      </c>
      <c r="I218" s="9" t="s">
        <v>253</v>
      </c>
      <c r="J218" s="9" t="s">
        <v>145</v>
      </c>
    </row>
    <row r="219" spans="1:10">
      <c r="A219" s="5" t="s">
        <v>600</v>
      </c>
      <c r="B219" s="6" t="s">
        <v>2594</v>
      </c>
      <c r="C219" s="7">
        <v>46261</v>
      </c>
      <c r="D219" s="9" t="s">
        <v>261</v>
      </c>
      <c r="E219" s="8" t="s">
        <v>62</v>
      </c>
      <c r="F219" s="9" t="s">
        <v>242</v>
      </c>
      <c r="G219" s="9">
        <v>1</v>
      </c>
      <c r="H219" s="6" t="s">
        <v>243</v>
      </c>
      <c r="I219" s="9" t="s">
        <v>253</v>
      </c>
      <c r="J219" s="9" t="s">
        <v>145</v>
      </c>
    </row>
    <row r="220" spans="1:10">
      <c r="A220" s="5" t="s">
        <v>602</v>
      </c>
      <c r="B220" s="6" t="s">
        <v>2595</v>
      </c>
      <c r="C220" s="7">
        <v>46261</v>
      </c>
      <c r="D220" s="9" t="s">
        <v>241</v>
      </c>
      <c r="E220" s="8" t="s">
        <v>21</v>
      </c>
      <c r="F220" s="9" t="s">
        <v>242</v>
      </c>
      <c r="G220" s="9">
        <v>1</v>
      </c>
      <c r="H220" s="6" t="s">
        <v>328</v>
      </c>
      <c r="I220" s="9" t="s">
        <v>311</v>
      </c>
      <c r="J220" s="9" t="s">
        <v>145</v>
      </c>
    </row>
    <row r="221" spans="1:10">
      <c r="A221" s="5" t="s">
        <v>603</v>
      </c>
      <c r="B221" s="6" t="s">
        <v>2595</v>
      </c>
      <c r="C221" s="7">
        <v>46261</v>
      </c>
      <c r="D221" s="9" t="s">
        <v>241</v>
      </c>
      <c r="E221" s="8" t="s">
        <v>29</v>
      </c>
      <c r="F221" s="9" t="s">
        <v>246</v>
      </c>
      <c r="G221" s="9">
        <v>1</v>
      </c>
      <c r="H221" s="6" t="s">
        <v>328</v>
      </c>
      <c r="I221" s="9" t="s">
        <v>311</v>
      </c>
      <c r="J221" s="9" t="s">
        <v>145</v>
      </c>
    </row>
    <row r="222" spans="1:10">
      <c r="A222" s="5" t="s">
        <v>606</v>
      </c>
      <c r="B222" s="6" t="s">
        <v>2596</v>
      </c>
      <c r="C222" s="7">
        <v>46261</v>
      </c>
      <c r="D222" s="9" t="s">
        <v>241</v>
      </c>
      <c r="E222" s="8" t="s">
        <v>1152</v>
      </c>
      <c r="F222" s="9" t="s">
        <v>242</v>
      </c>
      <c r="G222" s="9">
        <v>1</v>
      </c>
      <c r="H222" s="6" t="s">
        <v>954</v>
      </c>
      <c r="I222" s="9" t="s">
        <v>609</v>
      </c>
      <c r="J222" s="9" t="s">
        <v>145</v>
      </c>
    </row>
    <row r="223" spans="1:10">
      <c r="A223" s="5" t="s">
        <v>607</v>
      </c>
      <c r="B223" s="6" t="s">
        <v>2596</v>
      </c>
      <c r="C223" s="7">
        <v>46261</v>
      </c>
      <c r="D223" s="9" t="s">
        <v>241</v>
      </c>
      <c r="E223" s="8" t="s">
        <v>29</v>
      </c>
      <c r="F223" s="9" t="s">
        <v>246</v>
      </c>
      <c r="G223" s="9">
        <v>1</v>
      </c>
      <c r="H223" s="6" t="s">
        <v>954</v>
      </c>
      <c r="I223" s="9" t="s">
        <v>609</v>
      </c>
      <c r="J223" s="9" t="s">
        <v>145</v>
      </c>
    </row>
    <row r="224" spans="1:10">
      <c r="A224" s="5" t="s">
        <v>610</v>
      </c>
      <c r="B224" s="6" t="s">
        <v>2597</v>
      </c>
      <c r="C224" s="7">
        <v>46261</v>
      </c>
      <c r="D224" s="9" t="s">
        <v>241</v>
      </c>
      <c r="E224" s="4" t="s">
        <v>1152</v>
      </c>
      <c r="F224" s="9" t="s">
        <v>242</v>
      </c>
      <c r="G224" s="9">
        <v>1</v>
      </c>
      <c r="H224" s="6" t="s">
        <v>243</v>
      </c>
      <c r="I224" s="9" t="s">
        <v>289</v>
      </c>
      <c r="J224" s="9" t="s">
        <v>145</v>
      </c>
    </row>
    <row r="225" spans="1:10">
      <c r="A225" s="5" t="s">
        <v>611</v>
      </c>
      <c r="B225" s="6" t="s">
        <v>2597</v>
      </c>
      <c r="C225" s="7">
        <v>46261</v>
      </c>
      <c r="D225" s="9" t="s">
        <v>241</v>
      </c>
      <c r="E225" s="8" t="s">
        <v>29</v>
      </c>
      <c r="F225" s="9" t="s">
        <v>246</v>
      </c>
      <c r="G225" s="9">
        <v>1</v>
      </c>
      <c r="H225" s="6" t="s">
        <v>243</v>
      </c>
      <c r="I225" s="9" t="s">
        <v>289</v>
      </c>
      <c r="J225" s="9" t="s">
        <v>145</v>
      </c>
    </row>
    <row r="226" spans="1:10">
      <c r="A226" s="5" t="s">
        <v>612</v>
      </c>
      <c r="B226" s="6" t="s">
        <v>2597</v>
      </c>
      <c r="C226" s="7">
        <v>46261</v>
      </c>
      <c r="D226" s="9" t="s">
        <v>261</v>
      </c>
      <c r="E226" s="8" t="s">
        <v>281</v>
      </c>
      <c r="F226" s="9" t="s">
        <v>242</v>
      </c>
      <c r="G226" s="9">
        <v>3</v>
      </c>
      <c r="H226" s="6" t="s">
        <v>243</v>
      </c>
      <c r="I226" s="9" t="s">
        <v>289</v>
      </c>
      <c r="J226" s="9" t="s">
        <v>145</v>
      </c>
    </row>
    <row r="227" spans="1:10">
      <c r="A227" s="5" t="s">
        <v>613</v>
      </c>
      <c r="B227" s="6" t="s">
        <v>2598</v>
      </c>
      <c r="C227" s="7">
        <v>46261</v>
      </c>
      <c r="D227" s="9" t="s">
        <v>241</v>
      </c>
      <c r="E227" s="8" t="s">
        <v>1152</v>
      </c>
      <c r="F227" s="9" t="s">
        <v>242</v>
      </c>
      <c r="G227" s="9">
        <v>1</v>
      </c>
      <c r="H227" s="6" t="s">
        <v>243</v>
      </c>
      <c r="I227" s="9" t="s">
        <v>337</v>
      </c>
      <c r="J227" s="9" t="s">
        <v>145</v>
      </c>
    </row>
    <row r="228" spans="1:10">
      <c r="A228" s="5" t="s">
        <v>617</v>
      </c>
      <c r="B228" s="6" t="s">
        <v>2598</v>
      </c>
      <c r="C228" s="7">
        <v>46261</v>
      </c>
      <c r="D228" s="9" t="s">
        <v>241</v>
      </c>
      <c r="E228" s="4" t="s">
        <v>29</v>
      </c>
      <c r="F228" s="9" t="s">
        <v>246</v>
      </c>
      <c r="G228" s="9">
        <v>1</v>
      </c>
      <c r="H228" s="6" t="s">
        <v>243</v>
      </c>
      <c r="I228" s="9" t="s">
        <v>337</v>
      </c>
      <c r="J228" s="9" t="s">
        <v>145</v>
      </c>
    </row>
    <row r="229" spans="1:10">
      <c r="A229" s="5" t="s">
        <v>618</v>
      </c>
      <c r="B229" s="6" t="s">
        <v>2598</v>
      </c>
      <c r="C229" s="7">
        <v>46261</v>
      </c>
      <c r="D229" s="9" t="s">
        <v>261</v>
      </c>
      <c r="E229" s="8" t="s">
        <v>281</v>
      </c>
      <c r="F229" s="9" t="s">
        <v>242</v>
      </c>
      <c r="G229" s="9">
        <v>1</v>
      </c>
      <c r="H229" s="6" t="s">
        <v>243</v>
      </c>
      <c r="I229" s="9" t="s">
        <v>337</v>
      </c>
      <c r="J229" s="9" t="s">
        <v>145</v>
      </c>
    </row>
    <row r="230" spans="1:10">
      <c r="A230" s="5" t="s">
        <v>620</v>
      </c>
      <c r="B230" s="6" t="s">
        <v>2599</v>
      </c>
      <c r="C230" s="7">
        <v>46260</v>
      </c>
      <c r="D230" s="9" t="s">
        <v>241</v>
      </c>
      <c r="E230" s="4" t="s">
        <v>1152</v>
      </c>
      <c r="F230" s="9" t="s">
        <v>242</v>
      </c>
      <c r="G230" s="9">
        <v>1</v>
      </c>
      <c r="H230" s="6" t="s">
        <v>243</v>
      </c>
      <c r="I230" s="9" t="s">
        <v>918</v>
      </c>
      <c r="J230" s="9" t="s">
        <v>145</v>
      </c>
    </row>
    <row r="231" spans="1:10">
      <c r="A231" s="5" t="s">
        <v>621</v>
      </c>
      <c r="B231" s="6" t="s">
        <v>2599</v>
      </c>
      <c r="C231" s="7">
        <v>46260</v>
      </c>
      <c r="D231" s="9" t="s">
        <v>241</v>
      </c>
      <c r="E231" s="8" t="s">
        <v>29</v>
      </c>
      <c r="F231" s="9" t="s">
        <v>246</v>
      </c>
      <c r="G231" s="9">
        <v>1</v>
      </c>
      <c r="H231" s="6" t="s">
        <v>243</v>
      </c>
      <c r="I231" s="9" t="s">
        <v>918</v>
      </c>
      <c r="J231" s="9" t="s">
        <v>145</v>
      </c>
    </row>
    <row r="232" spans="1:10">
      <c r="A232" s="5" t="s">
        <v>624</v>
      </c>
      <c r="B232" s="6" t="s">
        <v>2600</v>
      </c>
      <c r="C232" s="7">
        <v>46261</v>
      </c>
      <c r="D232" s="9" t="s">
        <v>241</v>
      </c>
      <c r="E232" s="4" t="s">
        <v>1152</v>
      </c>
      <c r="F232" s="9" t="s">
        <v>242</v>
      </c>
      <c r="G232" s="9">
        <v>1</v>
      </c>
      <c r="H232" s="6" t="s">
        <v>243</v>
      </c>
      <c r="I232" s="9" t="s">
        <v>918</v>
      </c>
      <c r="J232" s="9" t="s">
        <v>145</v>
      </c>
    </row>
    <row r="233" spans="1:10">
      <c r="A233" s="5" t="s">
        <v>625</v>
      </c>
      <c r="B233" s="6" t="s">
        <v>2600</v>
      </c>
      <c r="C233" s="7">
        <v>46261</v>
      </c>
      <c r="D233" s="9" t="s">
        <v>241</v>
      </c>
      <c r="E233" s="8" t="s">
        <v>29</v>
      </c>
      <c r="F233" s="9" t="s">
        <v>246</v>
      </c>
      <c r="G233" s="9">
        <v>1</v>
      </c>
      <c r="H233" s="6" t="s">
        <v>243</v>
      </c>
      <c r="I233" s="9" t="s">
        <v>918</v>
      </c>
      <c r="J233" s="9" t="s">
        <v>145</v>
      </c>
    </row>
    <row r="234" spans="1:10">
      <c r="A234" s="5" t="s">
        <v>626</v>
      </c>
      <c r="B234" s="6" t="s">
        <v>2601</v>
      </c>
      <c r="C234" s="7">
        <v>46261</v>
      </c>
      <c r="D234" s="9" t="s">
        <v>241</v>
      </c>
      <c r="E234" s="8" t="s">
        <v>1152</v>
      </c>
      <c r="F234" s="9" t="s">
        <v>242</v>
      </c>
      <c r="G234" s="9">
        <v>1</v>
      </c>
      <c r="H234" s="6" t="s">
        <v>328</v>
      </c>
      <c r="I234" s="9" t="s">
        <v>289</v>
      </c>
      <c r="J234" s="9" t="s">
        <v>145</v>
      </c>
    </row>
    <row r="235" spans="1:10">
      <c r="A235" s="5" t="s">
        <v>629</v>
      </c>
      <c r="B235" s="6" t="s">
        <v>2601</v>
      </c>
      <c r="C235" s="7">
        <v>46261</v>
      </c>
      <c r="D235" s="9" t="s">
        <v>241</v>
      </c>
      <c r="E235" s="8" t="s">
        <v>29</v>
      </c>
      <c r="F235" s="9" t="s">
        <v>246</v>
      </c>
      <c r="G235" s="9">
        <v>1</v>
      </c>
      <c r="H235" s="6" t="s">
        <v>328</v>
      </c>
      <c r="I235" s="9" t="s">
        <v>289</v>
      </c>
      <c r="J235" s="9" t="s">
        <v>145</v>
      </c>
    </row>
    <row r="236" spans="1:10">
      <c r="A236" s="5" t="s">
        <v>630</v>
      </c>
      <c r="B236" s="6" t="s">
        <v>2602</v>
      </c>
      <c r="C236" s="7">
        <v>46234</v>
      </c>
      <c r="D236" s="9" t="s">
        <v>261</v>
      </c>
      <c r="E236" s="4" t="s">
        <v>62</v>
      </c>
      <c r="F236" s="9" t="s">
        <v>242</v>
      </c>
      <c r="G236" s="9">
        <v>2</v>
      </c>
      <c r="H236" s="6" t="s">
        <v>2192</v>
      </c>
      <c r="I236" s="9" t="s">
        <v>484</v>
      </c>
      <c r="J236" s="9" t="s">
        <v>145</v>
      </c>
    </row>
    <row r="237" spans="1:10">
      <c r="A237" s="5" t="s">
        <v>631</v>
      </c>
      <c r="B237" s="6" t="s">
        <v>2603</v>
      </c>
      <c r="C237" s="7">
        <v>46234</v>
      </c>
      <c r="D237" s="9" t="s">
        <v>261</v>
      </c>
      <c r="E237" s="8" t="s">
        <v>65</v>
      </c>
      <c r="F237" s="9" t="s">
        <v>242</v>
      </c>
      <c r="G237" s="9">
        <v>1</v>
      </c>
      <c r="H237" s="6" t="s">
        <v>1688</v>
      </c>
      <c r="I237" s="9" t="s">
        <v>415</v>
      </c>
      <c r="J237" s="9" t="s">
        <v>145</v>
      </c>
    </row>
    <row r="238" spans="1:10">
      <c r="A238" s="5" t="s">
        <v>634</v>
      </c>
      <c r="B238" s="6" t="s">
        <v>2603</v>
      </c>
      <c r="C238" s="7">
        <v>46234</v>
      </c>
      <c r="D238" s="9" t="s">
        <v>270</v>
      </c>
      <c r="E238" s="8" t="s">
        <v>271</v>
      </c>
      <c r="F238" s="9" t="s">
        <v>242</v>
      </c>
      <c r="G238" s="9">
        <v>3</v>
      </c>
      <c r="H238" s="6" t="s">
        <v>1688</v>
      </c>
      <c r="I238" s="9" t="s">
        <v>415</v>
      </c>
      <c r="J238" s="9" t="s">
        <v>145</v>
      </c>
    </row>
    <row r="239" spans="1:10">
      <c r="A239" s="5" t="s">
        <v>635</v>
      </c>
      <c r="B239" s="6" t="s">
        <v>2603</v>
      </c>
      <c r="C239" s="7">
        <v>46234</v>
      </c>
      <c r="D239" s="9" t="s">
        <v>503</v>
      </c>
      <c r="E239" s="8" t="s">
        <v>74</v>
      </c>
      <c r="F239" s="9" t="s">
        <v>242</v>
      </c>
      <c r="G239" s="9">
        <v>1</v>
      </c>
      <c r="H239" s="6" t="s">
        <v>1688</v>
      </c>
      <c r="I239" s="9" t="s">
        <v>415</v>
      </c>
      <c r="J239" s="9" t="s">
        <v>145</v>
      </c>
    </row>
    <row r="240" spans="1:10">
      <c r="A240" s="5" t="s">
        <v>637</v>
      </c>
      <c r="B240" s="6" t="s">
        <v>2603</v>
      </c>
      <c r="C240" s="7">
        <v>46234</v>
      </c>
      <c r="D240" s="9" t="s">
        <v>503</v>
      </c>
      <c r="E240" s="8" t="s">
        <v>76</v>
      </c>
      <c r="F240" s="9" t="s">
        <v>242</v>
      </c>
      <c r="G240" s="9">
        <v>2</v>
      </c>
      <c r="H240" s="6" t="s">
        <v>1688</v>
      </c>
      <c r="I240" s="9" t="s">
        <v>415</v>
      </c>
      <c r="J240" s="9" t="s">
        <v>145</v>
      </c>
    </row>
    <row r="241" spans="1:10">
      <c r="A241" s="5" t="s">
        <v>638</v>
      </c>
      <c r="B241" s="6" t="s">
        <v>2603</v>
      </c>
      <c r="C241" s="7">
        <v>46234</v>
      </c>
      <c r="D241" s="9" t="s">
        <v>503</v>
      </c>
      <c r="E241" s="4" t="s">
        <v>78</v>
      </c>
      <c r="F241" s="9" t="s">
        <v>242</v>
      </c>
      <c r="G241" s="9">
        <v>2</v>
      </c>
      <c r="H241" s="6" t="s">
        <v>1688</v>
      </c>
      <c r="I241" s="9" t="s">
        <v>415</v>
      </c>
      <c r="J241" s="9" t="s">
        <v>145</v>
      </c>
    </row>
    <row r="242" spans="1:10">
      <c r="A242" s="5" t="s">
        <v>640</v>
      </c>
      <c r="B242" s="6" t="s">
        <v>2604</v>
      </c>
      <c r="C242" s="7">
        <v>46234</v>
      </c>
      <c r="D242" s="9" t="s">
        <v>261</v>
      </c>
      <c r="E242" s="4" t="s">
        <v>62</v>
      </c>
      <c r="F242" s="9" t="s">
        <v>242</v>
      </c>
      <c r="G242" s="9">
        <v>2</v>
      </c>
      <c r="H242" s="6" t="s">
        <v>2605</v>
      </c>
      <c r="I242" s="9" t="s">
        <v>484</v>
      </c>
      <c r="J242" s="9" t="s">
        <v>145</v>
      </c>
    </row>
    <row r="243" spans="1:10">
      <c r="A243" s="5" t="s">
        <v>641</v>
      </c>
      <c r="B243" s="6" t="s">
        <v>2606</v>
      </c>
      <c r="C243" s="7">
        <v>46235</v>
      </c>
      <c r="D243" s="9" t="s">
        <v>500</v>
      </c>
      <c r="E243" s="8" t="s">
        <v>4</v>
      </c>
      <c r="F243" s="9" t="s">
        <v>242</v>
      </c>
      <c r="G243" s="9">
        <v>1</v>
      </c>
      <c r="H243" s="6" t="s">
        <v>2377</v>
      </c>
      <c r="I243" s="9" t="s">
        <v>258</v>
      </c>
      <c r="J243" s="9" t="s">
        <v>145</v>
      </c>
    </row>
    <row r="244" spans="1:10">
      <c r="A244" s="5" t="s">
        <v>642</v>
      </c>
      <c r="B244" s="6" t="s">
        <v>2606</v>
      </c>
      <c r="C244" s="7">
        <v>46235</v>
      </c>
      <c r="D244" s="9" t="s">
        <v>261</v>
      </c>
      <c r="E244" s="8" t="s">
        <v>125</v>
      </c>
      <c r="F244" s="9" t="s">
        <v>242</v>
      </c>
      <c r="G244" s="9">
        <v>1</v>
      </c>
      <c r="H244" s="6" t="s">
        <v>2377</v>
      </c>
      <c r="I244" s="9" t="s">
        <v>258</v>
      </c>
      <c r="J244" s="9" t="s">
        <v>145</v>
      </c>
    </row>
    <row r="245" spans="1:10">
      <c r="A245" s="5" t="s">
        <v>644</v>
      </c>
      <c r="B245" s="6" t="s">
        <v>2606</v>
      </c>
      <c r="C245" s="7">
        <v>46235</v>
      </c>
      <c r="D245" s="9" t="s">
        <v>261</v>
      </c>
      <c r="E245" s="4" t="s">
        <v>64</v>
      </c>
      <c r="F245" s="9" t="s">
        <v>242</v>
      </c>
      <c r="G245" s="9">
        <v>4</v>
      </c>
      <c r="H245" s="6" t="s">
        <v>2377</v>
      </c>
      <c r="I245" s="9" t="s">
        <v>258</v>
      </c>
      <c r="J245" s="9" t="s">
        <v>145</v>
      </c>
    </row>
    <row r="246" spans="1:10">
      <c r="A246" s="5" t="s">
        <v>645</v>
      </c>
      <c r="B246" s="6" t="s">
        <v>2606</v>
      </c>
      <c r="C246" s="7">
        <v>46235</v>
      </c>
      <c r="D246" s="9" t="s">
        <v>270</v>
      </c>
      <c r="E246" s="8" t="s">
        <v>271</v>
      </c>
      <c r="F246" s="9" t="s">
        <v>242</v>
      </c>
      <c r="G246" s="9">
        <v>6</v>
      </c>
      <c r="H246" s="6" t="s">
        <v>2377</v>
      </c>
      <c r="I246" s="9" t="s">
        <v>258</v>
      </c>
      <c r="J246" s="9" t="s">
        <v>145</v>
      </c>
    </row>
    <row r="247" spans="1:10">
      <c r="A247" s="5" t="s">
        <v>647</v>
      </c>
      <c r="B247" s="6" t="s">
        <v>2607</v>
      </c>
      <c r="C247" s="7">
        <v>46235</v>
      </c>
      <c r="D247" s="9" t="s">
        <v>261</v>
      </c>
      <c r="E247" s="8" t="s">
        <v>65</v>
      </c>
      <c r="F247" s="9" t="s">
        <v>242</v>
      </c>
      <c r="G247" s="9">
        <v>1</v>
      </c>
      <c r="H247" s="6" t="s">
        <v>2608</v>
      </c>
      <c r="I247" s="9" t="s">
        <v>258</v>
      </c>
      <c r="J247" s="9" t="s">
        <v>145</v>
      </c>
    </row>
    <row r="248" spans="1:10">
      <c r="A248" s="5" t="s">
        <v>648</v>
      </c>
      <c r="B248" s="6" t="s">
        <v>2607</v>
      </c>
      <c r="C248" s="7">
        <v>46235</v>
      </c>
      <c r="D248" s="9" t="s">
        <v>270</v>
      </c>
      <c r="E248" s="8" t="s">
        <v>271</v>
      </c>
      <c r="F248" s="9" t="s">
        <v>242</v>
      </c>
      <c r="G248" s="9">
        <v>2</v>
      </c>
      <c r="H248" s="6" t="s">
        <v>2608</v>
      </c>
      <c r="I248" s="9" t="s">
        <v>258</v>
      </c>
      <c r="J248" s="9" t="s">
        <v>145</v>
      </c>
    </row>
    <row r="249" spans="1:10">
      <c r="A249" s="5" t="s">
        <v>651</v>
      </c>
      <c r="B249" s="6" t="s">
        <v>2609</v>
      </c>
      <c r="C249" s="7">
        <v>46237</v>
      </c>
      <c r="D249" s="9" t="s">
        <v>261</v>
      </c>
      <c r="E249" s="8" t="s">
        <v>62</v>
      </c>
      <c r="F249" s="9" t="s">
        <v>242</v>
      </c>
      <c r="G249" s="9">
        <v>2</v>
      </c>
      <c r="H249" s="6" t="s">
        <v>2192</v>
      </c>
      <c r="I249" s="9" t="s">
        <v>484</v>
      </c>
      <c r="J249" s="9" t="s">
        <v>145</v>
      </c>
    </row>
    <row r="250" spans="1:10">
      <c r="A250" s="5" t="s">
        <v>652</v>
      </c>
      <c r="B250" s="6" t="s">
        <v>2610</v>
      </c>
      <c r="C250" s="7">
        <v>46237</v>
      </c>
      <c r="D250" s="9" t="s">
        <v>500</v>
      </c>
      <c r="E250" s="4" t="s">
        <v>50</v>
      </c>
      <c r="F250" s="9" t="s">
        <v>242</v>
      </c>
      <c r="G250" s="9">
        <v>1</v>
      </c>
      <c r="H250" s="6" t="s">
        <v>693</v>
      </c>
      <c r="I250" s="9" t="s">
        <v>253</v>
      </c>
      <c r="J250" s="9" t="s">
        <v>145</v>
      </c>
    </row>
    <row r="251" spans="1:10">
      <c r="A251" s="5" t="s">
        <v>654</v>
      </c>
      <c r="B251" s="6" t="s">
        <v>2610</v>
      </c>
      <c r="C251" s="7">
        <v>46237</v>
      </c>
      <c r="D251" s="9" t="s">
        <v>261</v>
      </c>
      <c r="E251" s="8" t="s">
        <v>64</v>
      </c>
      <c r="F251" s="9" t="s">
        <v>242</v>
      </c>
      <c r="G251" s="9">
        <v>2</v>
      </c>
      <c r="H251" s="6" t="s">
        <v>693</v>
      </c>
      <c r="I251" s="9" t="s">
        <v>253</v>
      </c>
      <c r="J251" s="9" t="s">
        <v>145</v>
      </c>
    </row>
    <row r="252" spans="1:10">
      <c r="A252" s="5" t="s">
        <v>655</v>
      </c>
      <c r="B252" s="6" t="s">
        <v>2610</v>
      </c>
      <c r="C252" s="7">
        <v>46237</v>
      </c>
      <c r="D252" s="9" t="s">
        <v>270</v>
      </c>
      <c r="E252" s="8" t="s">
        <v>271</v>
      </c>
      <c r="F252" s="9" t="s">
        <v>242</v>
      </c>
      <c r="G252" s="9">
        <v>2</v>
      </c>
      <c r="H252" s="6" t="s">
        <v>693</v>
      </c>
      <c r="I252" s="9" t="s">
        <v>253</v>
      </c>
      <c r="J252" s="9" t="s">
        <v>145</v>
      </c>
    </row>
    <row r="253" spans="1:10">
      <c r="A253" s="5" t="s">
        <v>658</v>
      </c>
      <c r="B253" s="6" t="s">
        <v>2611</v>
      </c>
      <c r="C253" s="7">
        <v>46237</v>
      </c>
      <c r="D253" s="9" t="s">
        <v>500</v>
      </c>
      <c r="E253" s="8" t="s">
        <v>54</v>
      </c>
      <c r="F253" s="9" t="s">
        <v>242</v>
      </c>
      <c r="G253" s="9">
        <v>1</v>
      </c>
      <c r="H253" s="6" t="s">
        <v>759</v>
      </c>
      <c r="I253" s="9" t="s">
        <v>253</v>
      </c>
      <c r="J253" s="9" t="s">
        <v>145</v>
      </c>
    </row>
    <row r="254" spans="1:10">
      <c r="A254" s="5" t="s">
        <v>660</v>
      </c>
      <c r="B254" s="6" t="s">
        <v>2611</v>
      </c>
      <c r="C254" s="7">
        <v>46237</v>
      </c>
      <c r="D254" s="9" t="s">
        <v>261</v>
      </c>
      <c r="E254" s="8" t="s">
        <v>62</v>
      </c>
      <c r="F254" s="9" t="s">
        <v>242</v>
      </c>
      <c r="G254" s="9">
        <v>1</v>
      </c>
      <c r="H254" s="6" t="s">
        <v>759</v>
      </c>
      <c r="I254" s="9" t="s">
        <v>253</v>
      </c>
      <c r="J254" s="9" t="s">
        <v>145</v>
      </c>
    </row>
    <row r="255" spans="1:10">
      <c r="A255" s="5" t="s">
        <v>661</v>
      </c>
      <c r="B255" s="6" t="s">
        <v>2611</v>
      </c>
      <c r="C255" s="7">
        <v>46237</v>
      </c>
      <c r="D255" s="9" t="s">
        <v>503</v>
      </c>
      <c r="E255" s="8" t="s">
        <v>206</v>
      </c>
      <c r="F255" s="9" t="s">
        <v>242</v>
      </c>
      <c r="G255" s="9">
        <v>1</v>
      </c>
      <c r="H255" s="6" t="s">
        <v>759</v>
      </c>
      <c r="I255" s="9" t="s">
        <v>253</v>
      </c>
      <c r="J255" s="9" t="s">
        <v>145</v>
      </c>
    </row>
    <row r="256" spans="1:10">
      <c r="A256" s="5" t="s">
        <v>662</v>
      </c>
      <c r="B256" s="6" t="s">
        <v>2612</v>
      </c>
      <c r="C256" s="7">
        <v>46237</v>
      </c>
      <c r="D256" s="9" t="s">
        <v>500</v>
      </c>
      <c r="E256" s="8" t="s">
        <v>3</v>
      </c>
      <c r="F256" s="9" t="s">
        <v>242</v>
      </c>
      <c r="G256" s="9">
        <v>1</v>
      </c>
      <c r="H256" s="6" t="s">
        <v>1306</v>
      </c>
      <c r="I256" s="9" t="s">
        <v>976</v>
      </c>
      <c r="J256" s="9" t="s">
        <v>145</v>
      </c>
    </row>
    <row r="257" spans="1:10">
      <c r="A257" s="5" t="s">
        <v>664</v>
      </c>
      <c r="B257" s="6" t="s">
        <v>2612</v>
      </c>
      <c r="C257" s="7">
        <v>46237</v>
      </c>
      <c r="D257" s="9" t="s">
        <v>261</v>
      </c>
      <c r="E257" s="8" t="s">
        <v>64</v>
      </c>
      <c r="F257" s="9" t="s">
        <v>242</v>
      </c>
      <c r="G257" s="9">
        <v>3</v>
      </c>
      <c r="H257" s="6" t="s">
        <v>1306</v>
      </c>
      <c r="I257" s="9" t="s">
        <v>976</v>
      </c>
      <c r="J257" s="9" t="s">
        <v>145</v>
      </c>
    </row>
    <row r="258" spans="1:10">
      <c r="A258" s="5" t="s">
        <v>668</v>
      </c>
      <c r="B258" s="6" t="s">
        <v>2612</v>
      </c>
      <c r="C258" s="7">
        <v>46237</v>
      </c>
      <c r="D258" s="9" t="s">
        <v>270</v>
      </c>
      <c r="E258" s="8" t="s">
        <v>271</v>
      </c>
      <c r="F258" s="9" t="s">
        <v>242</v>
      </c>
      <c r="G258" s="9">
        <v>3</v>
      </c>
      <c r="H258" s="6" t="s">
        <v>1306</v>
      </c>
      <c r="I258" s="9" t="s">
        <v>976</v>
      </c>
      <c r="J258" s="9" t="s">
        <v>145</v>
      </c>
    </row>
    <row r="259" spans="1:10">
      <c r="A259" s="5" t="s">
        <v>669</v>
      </c>
      <c r="B259" s="6" t="s">
        <v>2613</v>
      </c>
      <c r="C259" s="7">
        <v>46238</v>
      </c>
      <c r="D259" s="9" t="s">
        <v>261</v>
      </c>
      <c r="E259" s="8" t="s">
        <v>64</v>
      </c>
      <c r="F259" s="9" t="s">
        <v>242</v>
      </c>
      <c r="G259" s="9">
        <v>2</v>
      </c>
      <c r="H259" s="6" t="s">
        <v>2614</v>
      </c>
      <c r="I259" s="9" t="s">
        <v>628</v>
      </c>
      <c r="J259" s="9" t="s">
        <v>145</v>
      </c>
    </row>
    <row r="260" spans="1:10">
      <c r="A260" s="5" t="s">
        <v>670</v>
      </c>
      <c r="B260" s="6" t="s">
        <v>2613</v>
      </c>
      <c r="C260" s="7">
        <v>46238</v>
      </c>
      <c r="D260" s="9" t="s">
        <v>270</v>
      </c>
      <c r="E260" s="8" t="s">
        <v>271</v>
      </c>
      <c r="F260" s="9" t="s">
        <v>242</v>
      </c>
      <c r="G260" s="9">
        <v>2</v>
      </c>
      <c r="H260" s="6" t="s">
        <v>2614</v>
      </c>
      <c r="I260" s="9" t="s">
        <v>628</v>
      </c>
      <c r="J260" s="9" t="s">
        <v>145</v>
      </c>
    </row>
    <row r="261" spans="1:10">
      <c r="A261" s="5" t="s">
        <v>674</v>
      </c>
      <c r="B261" s="6" t="s">
        <v>2615</v>
      </c>
      <c r="C261" s="7">
        <v>46238</v>
      </c>
      <c r="D261" s="9" t="s">
        <v>261</v>
      </c>
      <c r="E261" s="8" t="s">
        <v>64</v>
      </c>
      <c r="F261" s="9" t="s">
        <v>242</v>
      </c>
      <c r="G261" s="9">
        <v>2</v>
      </c>
      <c r="H261" s="6" t="s">
        <v>2614</v>
      </c>
      <c r="I261" s="9" t="s">
        <v>628</v>
      </c>
      <c r="J261" s="9" t="s">
        <v>145</v>
      </c>
    </row>
    <row r="262" spans="1:10">
      <c r="A262" s="5" t="s">
        <v>675</v>
      </c>
      <c r="B262" s="6" t="s">
        <v>2615</v>
      </c>
      <c r="C262" s="7">
        <v>46238</v>
      </c>
      <c r="D262" s="9" t="s">
        <v>270</v>
      </c>
      <c r="E262" s="8" t="s">
        <v>271</v>
      </c>
      <c r="F262" s="9" t="s">
        <v>242</v>
      </c>
      <c r="G262" s="9">
        <v>2</v>
      </c>
      <c r="H262" s="6" t="s">
        <v>2614</v>
      </c>
      <c r="I262" s="9" t="s">
        <v>628</v>
      </c>
      <c r="J262" s="9" t="s">
        <v>145</v>
      </c>
    </row>
    <row r="263" spans="1:10">
      <c r="A263" s="5" t="s">
        <v>676</v>
      </c>
      <c r="B263" s="6" t="s">
        <v>2616</v>
      </c>
      <c r="C263" s="7">
        <v>46239</v>
      </c>
      <c r="D263" s="9" t="s">
        <v>261</v>
      </c>
      <c r="E263" s="8" t="s">
        <v>62</v>
      </c>
      <c r="F263" s="9" t="s">
        <v>242</v>
      </c>
      <c r="G263" s="9">
        <v>2</v>
      </c>
      <c r="H263" s="6" t="s">
        <v>2192</v>
      </c>
      <c r="I263" s="9" t="s">
        <v>1280</v>
      </c>
      <c r="J263" s="9" t="s">
        <v>145</v>
      </c>
    </row>
    <row r="264" spans="1:10">
      <c r="A264" s="5" t="s">
        <v>677</v>
      </c>
      <c r="B264" s="6" t="s">
        <v>2617</v>
      </c>
      <c r="C264" s="7">
        <v>46239</v>
      </c>
      <c r="D264" s="9" t="s">
        <v>500</v>
      </c>
      <c r="E264" s="8" t="s">
        <v>54</v>
      </c>
      <c r="F264" s="9" t="s">
        <v>242</v>
      </c>
      <c r="G264" s="9">
        <v>1</v>
      </c>
      <c r="H264" s="6" t="s">
        <v>759</v>
      </c>
      <c r="I264" s="9" t="s">
        <v>616</v>
      </c>
      <c r="J264" s="9" t="s">
        <v>145</v>
      </c>
    </row>
    <row r="265" spans="1:10">
      <c r="A265" s="5" t="s">
        <v>678</v>
      </c>
      <c r="B265" s="6" t="s">
        <v>2617</v>
      </c>
      <c r="C265" s="7">
        <v>46239</v>
      </c>
      <c r="D265" s="9" t="s">
        <v>261</v>
      </c>
      <c r="E265" s="8" t="s">
        <v>62</v>
      </c>
      <c r="F265" s="9" t="s">
        <v>242</v>
      </c>
      <c r="G265" s="9">
        <v>1</v>
      </c>
      <c r="H265" s="6" t="s">
        <v>759</v>
      </c>
      <c r="I265" s="9" t="s">
        <v>616</v>
      </c>
      <c r="J265" s="9" t="s">
        <v>145</v>
      </c>
    </row>
    <row r="266" spans="1:10">
      <c r="A266" s="5" t="s">
        <v>679</v>
      </c>
      <c r="B266" s="6" t="s">
        <v>2618</v>
      </c>
      <c r="C266" s="7">
        <v>46239</v>
      </c>
      <c r="D266" s="9" t="s">
        <v>500</v>
      </c>
      <c r="E266" s="8" t="s">
        <v>4</v>
      </c>
      <c r="F266" s="9" t="s">
        <v>242</v>
      </c>
      <c r="G266" s="9">
        <v>1</v>
      </c>
      <c r="H266" s="6" t="s">
        <v>2619</v>
      </c>
      <c r="I266" s="9" t="s">
        <v>284</v>
      </c>
      <c r="J266" s="9" t="s">
        <v>145</v>
      </c>
    </row>
    <row r="267" spans="1:10">
      <c r="A267" s="5" t="s">
        <v>680</v>
      </c>
      <c r="B267" s="6" t="s">
        <v>2618</v>
      </c>
      <c r="C267" s="7">
        <v>46239</v>
      </c>
      <c r="D267" s="9" t="s">
        <v>261</v>
      </c>
      <c r="E267" s="4" t="s">
        <v>64</v>
      </c>
      <c r="F267" s="9" t="s">
        <v>242</v>
      </c>
      <c r="G267" s="9">
        <v>2</v>
      </c>
      <c r="H267" s="6" t="s">
        <v>2619</v>
      </c>
      <c r="I267" s="9" t="s">
        <v>284</v>
      </c>
      <c r="J267" s="9" t="s">
        <v>145</v>
      </c>
    </row>
    <row r="268" spans="1:10">
      <c r="A268" s="5" t="s">
        <v>682</v>
      </c>
      <c r="B268" s="6" t="s">
        <v>2618</v>
      </c>
      <c r="C268" s="7">
        <v>46239</v>
      </c>
      <c r="D268" s="9" t="s">
        <v>270</v>
      </c>
      <c r="E268" s="8" t="s">
        <v>271</v>
      </c>
      <c r="F268" s="9" t="s">
        <v>242</v>
      </c>
      <c r="G268" s="9">
        <v>2</v>
      </c>
      <c r="H268" s="6" t="s">
        <v>2619</v>
      </c>
      <c r="I268" s="9" t="s">
        <v>284</v>
      </c>
      <c r="J268" s="9" t="s">
        <v>145</v>
      </c>
    </row>
    <row r="269" spans="1:10">
      <c r="A269" s="5" t="s">
        <v>683</v>
      </c>
      <c r="B269" s="6" t="s">
        <v>2618</v>
      </c>
      <c r="C269" s="7">
        <v>46239</v>
      </c>
      <c r="D269" s="9" t="s">
        <v>503</v>
      </c>
      <c r="E269" s="8" t="s">
        <v>162</v>
      </c>
      <c r="F269" s="9" t="s">
        <v>242</v>
      </c>
      <c r="G269" s="9">
        <v>1</v>
      </c>
      <c r="H269" s="6" t="s">
        <v>2619</v>
      </c>
      <c r="I269" s="9" t="s">
        <v>284</v>
      </c>
      <c r="J269" s="9" t="s">
        <v>145</v>
      </c>
    </row>
    <row r="270" spans="1:10">
      <c r="A270" s="5" t="s">
        <v>684</v>
      </c>
      <c r="B270" s="6" t="s">
        <v>2620</v>
      </c>
      <c r="C270" s="7">
        <v>46239</v>
      </c>
      <c r="D270" s="9" t="s">
        <v>500</v>
      </c>
      <c r="E270" s="8" t="s">
        <v>54</v>
      </c>
      <c r="F270" s="9" t="s">
        <v>242</v>
      </c>
      <c r="G270" s="9">
        <v>1</v>
      </c>
      <c r="H270" s="6" t="s">
        <v>759</v>
      </c>
      <c r="I270" s="9" t="s">
        <v>616</v>
      </c>
      <c r="J270" s="9" t="s">
        <v>145</v>
      </c>
    </row>
    <row r="271" spans="1:10">
      <c r="A271" s="5" t="s">
        <v>685</v>
      </c>
      <c r="B271" s="6" t="s">
        <v>2620</v>
      </c>
      <c r="C271" s="7">
        <v>46239</v>
      </c>
      <c r="D271" s="9" t="s">
        <v>261</v>
      </c>
      <c r="E271" s="8" t="s">
        <v>62</v>
      </c>
      <c r="F271" s="9" t="s">
        <v>242</v>
      </c>
      <c r="G271" s="9">
        <v>1</v>
      </c>
      <c r="H271" s="6" t="s">
        <v>759</v>
      </c>
      <c r="I271" s="9" t="s">
        <v>616</v>
      </c>
      <c r="J271" s="9" t="s">
        <v>145</v>
      </c>
    </row>
    <row r="272" spans="1:10">
      <c r="A272" s="5" t="s">
        <v>686</v>
      </c>
      <c r="B272" s="6" t="s">
        <v>2621</v>
      </c>
      <c r="C272" s="7">
        <v>46239</v>
      </c>
      <c r="D272" s="9" t="s">
        <v>261</v>
      </c>
      <c r="E272" s="8" t="s">
        <v>62</v>
      </c>
      <c r="F272" s="9" t="s">
        <v>242</v>
      </c>
      <c r="G272" s="9">
        <v>2</v>
      </c>
      <c r="H272" s="6" t="s">
        <v>2192</v>
      </c>
      <c r="I272" s="9" t="s">
        <v>514</v>
      </c>
      <c r="J272" s="9" t="s">
        <v>145</v>
      </c>
    </row>
    <row r="273" spans="1:10">
      <c r="A273" s="5" t="s">
        <v>689</v>
      </c>
      <c r="B273" s="6" t="s">
        <v>2622</v>
      </c>
      <c r="C273" s="7">
        <v>46240</v>
      </c>
      <c r="D273" s="9" t="s">
        <v>500</v>
      </c>
      <c r="E273" s="8" t="s">
        <v>52</v>
      </c>
      <c r="F273" s="9" t="s">
        <v>242</v>
      </c>
      <c r="G273" s="9">
        <v>1</v>
      </c>
      <c r="H273" s="6" t="s">
        <v>693</v>
      </c>
      <c r="I273" s="9" t="s">
        <v>388</v>
      </c>
      <c r="J273" s="9" t="s">
        <v>145</v>
      </c>
    </row>
    <row r="274" spans="1:10">
      <c r="A274" s="5" t="s">
        <v>690</v>
      </c>
      <c r="B274" s="6" t="s">
        <v>2622</v>
      </c>
      <c r="C274" s="7">
        <v>46240</v>
      </c>
      <c r="D274" s="9" t="s">
        <v>261</v>
      </c>
      <c r="E274" s="8" t="s">
        <v>62</v>
      </c>
      <c r="F274" s="9" t="s">
        <v>242</v>
      </c>
      <c r="G274" s="9">
        <v>4</v>
      </c>
      <c r="H274" s="6" t="s">
        <v>693</v>
      </c>
      <c r="I274" s="9" t="s">
        <v>388</v>
      </c>
      <c r="J274" s="9" t="s">
        <v>145</v>
      </c>
    </row>
    <row r="275" spans="1:10">
      <c r="A275" s="5" t="s">
        <v>691</v>
      </c>
      <c r="B275" s="6" t="s">
        <v>2623</v>
      </c>
      <c r="C275" s="7">
        <v>46240</v>
      </c>
      <c r="D275" s="9" t="s">
        <v>500</v>
      </c>
      <c r="E275" s="8" t="s">
        <v>3</v>
      </c>
      <c r="F275" s="9" t="s">
        <v>242</v>
      </c>
      <c r="G275" s="9">
        <v>1</v>
      </c>
      <c r="H275" s="6" t="s">
        <v>2624</v>
      </c>
      <c r="I275" s="9" t="s">
        <v>329</v>
      </c>
      <c r="J275" s="9" t="s">
        <v>145</v>
      </c>
    </row>
    <row r="276" spans="1:10">
      <c r="A276" s="5" t="s">
        <v>694</v>
      </c>
      <c r="B276" s="6" t="s">
        <v>2623</v>
      </c>
      <c r="C276" s="7">
        <v>46240</v>
      </c>
      <c r="D276" s="9" t="s">
        <v>261</v>
      </c>
      <c r="E276" s="8" t="s">
        <v>64</v>
      </c>
      <c r="F276" s="9" t="s">
        <v>242</v>
      </c>
      <c r="G276" s="9">
        <v>4</v>
      </c>
      <c r="H276" s="6" t="s">
        <v>2624</v>
      </c>
      <c r="I276" s="9" t="s">
        <v>329</v>
      </c>
      <c r="J276" s="9" t="s">
        <v>145</v>
      </c>
    </row>
    <row r="277" spans="1:10">
      <c r="A277" s="5" t="s">
        <v>698</v>
      </c>
      <c r="B277" s="6" t="s">
        <v>2623</v>
      </c>
      <c r="C277" s="7">
        <v>46240</v>
      </c>
      <c r="D277" s="9" t="s">
        <v>270</v>
      </c>
      <c r="E277" s="8" t="s">
        <v>271</v>
      </c>
      <c r="F277" s="9" t="s">
        <v>242</v>
      </c>
      <c r="G277" s="9">
        <v>4</v>
      </c>
      <c r="H277" s="6" t="s">
        <v>2624</v>
      </c>
      <c r="I277" s="9" t="s">
        <v>329</v>
      </c>
      <c r="J277" s="9" t="s">
        <v>145</v>
      </c>
    </row>
    <row r="278" spans="1:10">
      <c r="A278" s="5" t="s">
        <v>699</v>
      </c>
      <c r="B278" s="6" t="s">
        <v>2625</v>
      </c>
      <c r="C278" s="7">
        <v>46241</v>
      </c>
      <c r="D278" s="9" t="s">
        <v>500</v>
      </c>
      <c r="E278" s="8" t="s">
        <v>46</v>
      </c>
      <c r="F278" s="9" t="s">
        <v>242</v>
      </c>
      <c r="G278" s="9">
        <v>2</v>
      </c>
      <c r="H278" s="6" t="s">
        <v>1236</v>
      </c>
      <c r="I278" s="9" t="s">
        <v>266</v>
      </c>
      <c r="J278" s="9" t="s">
        <v>145</v>
      </c>
    </row>
    <row r="279" spans="1:10">
      <c r="A279" s="5" t="s">
        <v>701</v>
      </c>
      <c r="B279" s="6" t="s">
        <v>2625</v>
      </c>
      <c r="C279" s="7">
        <v>46241</v>
      </c>
      <c r="D279" s="9" t="s">
        <v>500</v>
      </c>
      <c r="E279" s="8" t="s">
        <v>4</v>
      </c>
      <c r="F279" s="9" t="s">
        <v>242</v>
      </c>
      <c r="G279" s="9">
        <v>3</v>
      </c>
      <c r="H279" s="6" t="s">
        <v>1236</v>
      </c>
      <c r="I279" s="9" t="s">
        <v>266</v>
      </c>
      <c r="J279" s="9" t="s">
        <v>145</v>
      </c>
    </row>
    <row r="280" spans="1:10">
      <c r="A280" s="5" t="s">
        <v>703</v>
      </c>
      <c r="B280" s="6" t="s">
        <v>2625</v>
      </c>
      <c r="C280" s="7">
        <v>46241</v>
      </c>
      <c r="D280" s="9" t="s">
        <v>261</v>
      </c>
      <c r="E280" s="8" t="s">
        <v>64</v>
      </c>
      <c r="F280" s="9" t="s">
        <v>242</v>
      </c>
      <c r="G280" s="9">
        <v>15</v>
      </c>
      <c r="H280" s="6" t="s">
        <v>1236</v>
      </c>
      <c r="I280" s="9" t="s">
        <v>266</v>
      </c>
      <c r="J280" s="9" t="s">
        <v>145</v>
      </c>
    </row>
    <row r="281" spans="1:10">
      <c r="A281" s="5" t="s">
        <v>704</v>
      </c>
      <c r="B281" s="6" t="s">
        <v>2625</v>
      </c>
      <c r="C281" s="7">
        <v>46241</v>
      </c>
      <c r="D281" s="9" t="s">
        <v>270</v>
      </c>
      <c r="E281" s="8" t="s">
        <v>271</v>
      </c>
      <c r="F281" s="9" t="s">
        <v>242</v>
      </c>
      <c r="G281" s="9">
        <v>15</v>
      </c>
      <c r="H281" s="6" t="s">
        <v>1236</v>
      </c>
      <c r="I281" s="9" t="s">
        <v>266</v>
      </c>
      <c r="J281" s="9" t="s">
        <v>145</v>
      </c>
    </row>
    <row r="282" spans="1:10">
      <c r="A282" s="5" t="s">
        <v>705</v>
      </c>
      <c r="B282" s="6" t="s">
        <v>2625</v>
      </c>
      <c r="C282" s="7">
        <v>46241</v>
      </c>
      <c r="D282" s="9" t="s">
        <v>270</v>
      </c>
      <c r="E282" s="8" t="s">
        <v>68</v>
      </c>
      <c r="F282" s="9" t="s">
        <v>242</v>
      </c>
      <c r="G282" s="9">
        <v>2</v>
      </c>
      <c r="H282" s="6" t="s">
        <v>1236</v>
      </c>
      <c r="I282" s="9" t="s">
        <v>266</v>
      </c>
      <c r="J282" s="9" t="s">
        <v>145</v>
      </c>
    </row>
    <row r="283" spans="1:10">
      <c r="A283" s="5" t="s">
        <v>706</v>
      </c>
      <c r="B283" s="6" t="s">
        <v>2626</v>
      </c>
      <c r="C283" s="7">
        <v>46241</v>
      </c>
      <c r="D283" s="9" t="s">
        <v>500</v>
      </c>
      <c r="E283" s="8" t="s">
        <v>4</v>
      </c>
      <c r="F283" s="9" t="s">
        <v>242</v>
      </c>
      <c r="G283" s="9">
        <v>1</v>
      </c>
      <c r="H283" s="6" t="s">
        <v>866</v>
      </c>
      <c r="I283" s="9" t="s">
        <v>266</v>
      </c>
      <c r="J283" s="9" t="s">
        <v>145</v>
      </c>
    </row>
    <row r="284" spans="1:10">
      <c r="A284" s="5" t="s">
        <v>708</v>
      </c>
      <c r="B284" s="6" t="s">
        <v>2626</v>
      </c>
      <c r="C284" s="7">
        <v>46241</v>
      </c>
      <c r="D284" s="9" t="s">
        <v>270</v>
      </c>
      <c r="E284" s="8" t="s">
        <v>271</v>
      </c>
      <c r="F284" s="9" t="s">
        <v>242</v>
      </c>
      <c r="G284" s="9">
        <v>3</v>
      </c>
      <c r="H284" s="6" t="s">
        <v>866</v>
      </c>
      <c r="I284" s="9" t="s">
        <v>266</v>
      </c>
      <c r="J284" s="9" t="s">
        <v>145</v>
      </c>
    </row>
    <row r="285" spans="1:10">
      <c r="A285" s="5" t="s">
        <v>709</v>
      </c>
      <c r="B285" s="6" t="s">
        <v>2627</v>
      </c>
      <c r="C285" s="7">
        <v>46241</v>
      </c>
      <c r="D285" s="9" t="s">
        <v>500</v>
      </c>
      <c r="E285" s="4" t="s">
        <v>50</v>
      </c>
      <c r="F285" s="9" t="s">
        <v>242</v>
      </c>
      <c r="G285" s="9">
        <v>1</v>
      </c>
      <c r="H285" s="6" t="s">
        <v>2628</v>
      </c>
      <c r="I285" s="9" t="s">
        <v>266</v>
      </c>
      <c r="J285" s="9" t="s">
        <v>145</v>
      </c>
    </row>
    <row r="286" spans="1:10">
      <c r="A286" s="5" t="s">
        <v>713</v>
      </c>
      <c r="B286" s="6" t="s">
        <v>2629</v>
      </c>
      <c r="C286" s="7">
        <v>46241</v>
      </c>
      <c r="D286" s="9" t="s">
        <v>500</v>
      </c>
      <c r="E286" s="4" t="s">
        <v>50</v>
      </c>
      <c r="F286" s="9" t="s">
        <v>242</v>
      </c>
      <c r="G286" s="9">
        <v>1</v>
      </c>
      <c r="H286" s="6" t="s">
        <v>693</v>
      </c>
      <c r="I286" s="9" t="s">
        <v>266</v>
      </c>
      <c r="J286" s="9" t="s">
        <v>145</v>
      </c>
    </row>
    <row r="287" spans="1:10">
      <c r="A287" s="5" t="s">
        <v>716</v>
      </c>
      <c r="B287" s="6" t="s">
        <v>2629</v>
      </c>
      <c r="C287" s="7">
        <v>46241</v>
      </c>
      <c r="D287" s="9" t="s">
        <v>261</v>
      </c>
      <c r="E287" s="8" t="s">
        <v>64</v>
      </c>
      <c r="F287" s="9" t="s">
        <v>242</v>
      </c>
      <c r="G287" s="9">
        <v>2</v>
      </c>
      <c r="H287" s="6" t="s">
        <v>693</v>
      </c>
      <c r="I287" s="9" t="s">
        <v>266</v>
      </c>
      <c r="J287" s="9" t="s">
        <v>145</v>
      </c>
    </row>
    <row r="288" spans="1:10">
      <c r="A288" s="5" t="s">
        <v>718</v>
      </c>
      <c r="B288" s="6" t="s">
        <v>2629</v>
      </c>
      <c r="C288" s="7">
        <v>46241</v>
      </c>
      <c r="D288" s="9" t="s">
        <v>270</v>
      </c>
      <c r="E288" s="8" t="s">
        <v>271</v>
      </c>
      <c r="F288" s="9" t="s">
        <v>242</v>
      </c>
      <c r="G288" s="9">
        <v>2</v>
      </c>
      <c r="H288" s="6" t="s">
        <v>693</v>
      </c>
      <c r="I288" s="9" t="s">
        <v>266</v>
      </c>
      <c r="J288" s="9" t="s">
        <v>145</v>
      </c>
    </row>
    <row r="289" spans="1:10">
      <c r="A289" s="5" t="s">
        <v>719</v>
      </c>
      <c r="B289" s="6" t="s">
        <v>2630</v>
      </c>
      <c r="C289" s="7">
        <v>46241</v>
      </c>
      <c r="D289" s="9" t="s">
        <v>500</v>
      </c>
      <c r="E289" s="8" t="s">
        <v>51</v>
      </c>
      <c r="F289" s="9" t="s">
        <v>242</v>
      </c>
      <c r="G289" s="9">
        <v>1</v>
      </c>
      <c r="H289" s="6" t="s">
        <v>693</v>
      </c>
      <c r="I289" s="9" t="s">
        <v>266</v>
      </c>
      <c r="J289" s="9" t="s">
        <v>145</v>
      </c>
    </row>
    <row r="290" spans="1:10">
      <c r="A290" s="5" t="s">
        <v>720</v>
      </c>
      <c r="B290" s="6" t="s">
        <v>2630</v>
      </c>
      <c r="C290" s="7">
        <v>46241</v>
      </c>
      <c r="D290" s="9" t="s">
        <v>261</v>
      </c>
      <c r="E290" s="8" t="s">
        <v>64</v>
      </c>
      <c r="F290" s="9" t="s">
        <v>242</v>
      </c>
      <c r="G290" s="9">
        <v>2</v>
      </c>
      <c r="H290" s="6" t="s">
        <v>693</v>
      </c>
      <c r="I290" s="9" t="s">
        <v>266</v>
      </c>
      <c r="J290" s="9" t="s">
        <v>145</v>
      </c>
    </row>
    <row r="291" spans="1:10">
      <c r="A291" s="5" t="s">
        <v>723</v>
      </c>
      <c r="B291" s="6" t="s">
        <v>2630</v>
      </c>
      <c r="C291" s="7">
        <v>46241</v>
      </c>
      <c r="D291" s="9" t="s">
        <v>270</v>
      </c>
      <c r="E291" s="4" t="s">
        <v>271</v>
      </c>
      <c r="F291" s="9" t="s">
        <v>242</v>
      </c>
      <c r="G291" s="9">
        <v>2</v>
      </c>
      <c r="H291" s="6" t="s">
        <v>693</v>
      </c>
      <c r="I291" s="9" t="s">
        <v>266</v>
      </c>
      <c r="J291" s="9" t="s">
        <v>145</v>
      </c>
    </row>
    <row r="292" spans="1:10">
      <c r="A292" s="5" t="s">
        <v>725</v>
      </c>
      <c r="B292" s="6" t="s">
        <v>2631</v>
      </c>
      <c r="C292" s="7">
        <v>46241</v>
      </c>
      <c r="D292" s="9" t="s">
        <v>500</v>
      </c>
      <c r="E292" s="8" t="s">
        <v>53</v>
      </c>
      <c r="F292" s="9" t="s">
        <v>242</v>
      </c>
      <c r="G292" s="9">
        <v>1</v>
      </c>
      <c r="H292" s="6" t="s">
        <v>693</v>
      </c>
      <c r="I292" s="9" t="s">
        <v>266</v>
      </c>
      <c r="J292" s="9" t="s">
        <v>145</v>
      </c>
    </row>
    <row r="293" spans="1:10">
      <c r="A293" s="5" t="s">
        <v>727</v>
      </c>
      <c r="B293" s="6" t="s">
        <v>2631</v>
      </c>
      <c r="C293" s="7">
        <v>46241</v>
      </c>
      <c r="D293" s="9" t="s">
        <v>261</v>
      </c>
      <c r="E293" s="8" t="s">
        <v>64</v>
      </c>
      <c r="F293" s="9" t="s">
        <v>242</v>
      </c>
      <c r="G293" s="9">
        <v>1</v>
      </c>
      <c r="H293" s="6" t="s">
        <v>693</v>
      </c>
      <c r="I293" s="9" t="s">
        <v>266</v>
      </c>
      <c r="J293" s="9" t="s">
        <v>145</v>
      </c>
    </row>
    <row r="294" spans="1:10">
      <c r="A294" s="5" t="s">
        <v>728</v>
      </c>
      <c r="B294" s="6" t="s">
        <v>2631</v>
      </c>
      <c r="C294" s="7">
        <v>46241</v>
      </c>
      <c r="D294" s="9" t="s">
        <v>270</v>
      </c>
      <c r="E294" s="4" t="s">
        <v>271</v>
      </c>
      <c r="F294" s="9" t="s">
        <v>242</v>
      </c>
      <c r="G294" s="9">
        <v>1</v>
      </c>
      <c r="H294" s="6" t="s">
        <v>693</v>
      </c>
      <c r="I294" s="9" t="s">
        <v>266</v>
      </c>
      <c r="J294" s="9" t="s">
        <v>145</v>
      </c>
    </row>
    <row r="295" spans="1:10">
      <c r="A295" s="5" t="s">
        <v>730</v>
      </c>
      <c r="B295" s="6" t="s">
        <v>2632</v>
      </c>
      <c r="C295" s="7">
        <v>46241</v>
      </c>
      <c r="D295" s="9" t="s">
        <v>696</v>
      </c>
      <c r="E295" s="8" t="s">
        <v>88</v>
      </c>
      <c r="F295" s="9" t="s">
        <v>242</v>
      </c>
      <c r="G295" s="9">
        <v>40</v>
      </c>
      <c r="H295" s="6" t="s">
        <v>2633</v>
      </c>
      <c r="I295" s="9" t="s">
        <v>514</v>
      </c>
      <c r="J295" s="9" t="s">
        <v>145</v>
      </c>
    </row>
    <row r="296" spans="1:10">
      <c r="A296" s="5" t="s">
        <v>733</v>
      </c>
      <c r="B296" s="6" t="s">
        <v>2632</v>
      </c>
      <c r="C296" s="7">
        <v>46241</v>
      </c>
      <c r="D296" s="9" t="s">
        <v>261</v>
      </c>
      <c r="E296" s="8" t="s">
        <v>62</v>
      </c>
      <c r="F296" s="9" t="s">
        <v>242</v>
      </c>
      <c r="G296" s="9">
        <v>4</v>
      </c>
      <c r="H296" s="6" t="s">
        <v>2633</v>
      </c>
      <c r="I296" s="9" t="s">
        <v>514</v>
      </c>
      <c r="J296" s="9" t="s">
        <v>145</v>
      </c>
    </row>
    <row r="297" spans="1:10">
      <c r="A297" s="5" t="s">
        <v>736</v>
      </c>
      <c r="B297" s="6" t="s">
        <v>2634</v>
      </c>
      <c r="C297" s="7">
        <v>46244</v>
      </c>
      <c r="D297" s="9" t="s">
        <v>500</v>
      </c>
      <c r="E297" s="8" t="s">
        <v>53</v>
      </c>
      <c r="F297" s="9" t="s">
        <v>242</v>
      </c>
      <c r="G297" s="9">
        <v>1</v>
      </c>
      <c r="H297" s="6" t="s">
        <v>693</v>
      </c>
      <c r="I297" s="9" t="s">
        <v>258</v>
      </c>
      <c r="J297" s="9" t="s">
        <v>145</v>
      </c>
    </row>
    <row r="298" spans="1:10">
      <c r="A298" s="5" t="s">
        <v>738</v>
      </c>
      <c r="B298" s="6" t="s">
        <v>2634</v>
      </c>
      <c r="C298" s="7">
        <v>46244</v>
      </c>
      <c r="D298" s="9" t="s">
        <v>261</v>
      </c>
      <c r="E298" s="8" t="s">
        <v>62</v>
      </c>
      <c r="F298" s="9" t="s">
        <v>242</v>
      </c>
      <c r="G298" s="9">
        <v>3</v>
      </c>
      <c r="H298" s="6" t="s">
        <v>693</v>
      </c>
      <c r="I298" s="9" t="s">
        <v>258</v>
      </c>
      <c r="J298" s="9" t="s">
        <v>145</v>
      </c>
    </row>
    <row r="299" spans="1:10">
      <c r="A299" s="5" t="s">
        <v>740</v>
      </c>
      <c r="B299" s="6" t="s">
        <v>2634</v>
      </c>
      <c r="C299" s="7">
        <v>46244</v>
      </c>
      <c r="D299" s="9" t="s">
        <v>270</v>
      </c>
      <c r="E299" s="8" t="s">
        <v>271</v>
      </c>
      <c r="F299" s="9" t="s">
        <v>242</v>
      </c>
      <c r="G299" s="9">
        <v>1</v>
      </c>
      <c r="H299" s="6" t="s">
        <v>693</v>
      </c>
      <c r="I299" s="9" t="s">
        <v>258</v>
      </c>
      <c r="J299" s="9" t="s">
        <v>145</v>
      </c>
    </row>
    <row r="300" spans="1:10">
      <c r="A300" s="5" t="s">
        <v>743</v>
      </c>
      <c r="B300" s="6" t="s">
        <v>2635</v>
      </c>
      <c r="C300" s="7">
        <v>46244</v>
      </c>
      <c r="D300" s="9" t="s">
        <v>500</v>
      </c>
      <c r="E300" s="8" t="s">
        <v>53</v>
      </c>
      <c r="F300" s="9" t="s">
        <v>242</v>
      </c>
      <c r="G300" s="9">
        <v>1</v>
      </c>
      <c r="H300" s="6" t="s">
        <v>2636</v>
      </c>
      <c r="I300" s="9" t="s">
        <v>258</v>
      </c>
      <c r="J300" s="9" t="s">
        <v>145</v>
      </c>
    </row>
    <row r="301" spans="1:10">
      <c r="A301" s="5" t="s">
        <v>744</v>
      </c>
      <c r="B301" s="6" t="s">
        <v>2635</v>
      </c>
      <c r="C301" s="7">
        <v>46244</v>
      </c>
      <c r="D301" s="9" t="s">
        <v>270</v>
      </c>
      <c r="E301" s="8" t="s">
        <v>271</v>
      </c>
      <c r="F301" s="9" t="s">
        <v>242</v>
      </c>
      <c r="G301" s="9">
        <v>1</v>
      </c>
      <c r="H301" s="6" t="s">
        <v>2636</v>
      </c>
      <c r="I301" s="9" t="s">
        <v>258</v>
      </c>
      <c r="J301" s="9" t="s">
        <v>145</v>
      </c>
    </row>
    <row r="302" spans="1:10">
      <c r="A302" s="5" t="s">
        <v>745</v>
      </c>
      <c r="B302" s="6" t="s">
        <v>2637</v>
      </c>
      <c r="C302" s="7">
        <v>46244</v>
      </c>
      <c r="D302" s="9" t="s">
        <v>500</v>
      </c>
      <c r="E302" s="8" t="s">
        <v>52</v>
      </c>
      <c r="F302" s="9" t="s">
        <v>242</v>
      </c>
      <c r="G302" s="9">
        <v>1</v>
      </c>
      <c r="H302" s="6" t="s">
        <v>2638</v>
      </c>
      <c r="I302" s="9" t="s">
        <v>258</v>
      </c>
      <c r="J302" s="9" t="s">
        <v>145</v>
      </c>
    </row>
    <row r="303" spans="1:10">
      <c r="A303" s="5" t="s">
        <v>746</v>
      </c>
      <c r="B303" s="6" t="s">
        <v>2637</v>
      </c>
      <c r="C303" s="7">
        <v>46244</v>
      </c>
      <c r="D303" s="9" t="s">
        <v>500</v>
      </c>
      <c r="E303" s="8" t="s">
        <v>4</v>
      </c>
      <c r="F303" s="9" t="s">
        <v>242</v>
      </c>
      <c r="G303" s="9">
        <v>1</v>
      </c>
      <c r="H303" s="6" t="s">
        <v>2638</v>
      </c>
      <c r="I303" s="9" t="s">
        <v>258</v>
      </c>
      <c r="J303" s="9" t="s">
        <v>145</v>
      </c>
    </row>
    <row r="304" spans="1:10">
      <c r="A304" s="5" t="s">
        <v>747</v>
      </c>
      <c r="B304" s="6" t="s">
        <v>2637</v>
      </c>
      <c r="C304" s="7">
        <v>46244</v>
      </c>
      <c r="D304" s="9" t="s">
        <v>270</v>
      </c>
      <c r="E304" s="4" t="s">
        <v>271</v>
      </c>
      <c r="F304" s="9" t="s">
        <v>242</v>
      </c>
      <c r="G304" s="9">
        <v>2</v>
      </c>
      <c r="H304" s="6" t="s">
        <v>2638</v>
      </c>
      <c r="I304" s="9" t="s">
        <v>258</v>
      </c>
      <c r="J304" s="9" t="s">
        <v>145</v>
      </c>
    </row>
    <row r="305" spans="1:10">
      <c r="A305" s="5" t="s">
        <v>750</v>
      </c>
      <c r="B305" s="6" t="s">
        <v>2639</v>
      </c>
      <c r="C305" s="7">
        <v>46244</v>
      </c>
      <c r="D305" s="9" t="s">
        <v>500</v>
      </c>
      <c r="E305" s="8" t="s">
        <v>53</v>
      </c>
      <c r="F305" s="9" t="s">
        <v>242</v>
      </c>
      <c r="G305" s="9">
        <v>1</v>
      </c>
      <c r="H305" s="6" t="s">
        <v>693</v>
      </c>
      <c r="I305" s="9" t="s">
        <v>258</v>
      </c>
      <c r="J305" s="9" t="s">
        <v>145</v>
      </c>
    </row>
    <row r="306" spans="1:10">
      <c r="A306" s="5" t="s">
        <v>751</v>
      </c>
      <c r="B306" s="6" t="s">
        <v>2639</v>
      </c>
      <c r="C306" s="7">
        <v>46244</v>
      </c>
      <c r="D306" s="9" t="s">
        <v>270</v>
      </c>
      <c r="E306" s="4" t="s">
        <v>271</v>
      </c>
      <c r="F306" s="9" t="s">
        <v>242</v>
      </c>
      <c r="G306" s="9">
        <v>1</v>
      </c>
      <c r="H306" s="6" t="s">
        <v>693</v>
      </c>
      <c r="I306" s="9" t="s">
        <v>258</v>
      </c>
      <c r="J306" s="9" t="s">
        <v>145</v>
      </c>
    </row>
    <row r="307" spans="1:10">
      <c r="A307" s="5" t="s">
        <v>752</v>
      </c>
      <c r="B307" s="6" t="s">
        <v>2640</v>
      </c>
      <c r="C307" s="7">
        <v>46244</v>
      </c>
      <c r="D307" s="9" t="s">
        <v>500</v>
      </c>
      <c r="E307" s="8" t="s">
        <v>4</v>
      </c>
      <c r="F307" s="9" t="s">
        <v>242</v>
      </c>
      <c r="G307" s="9">
        <v>1</v>
      </c>
      <c r="H307" s="6" t="s">
        <v>2394</v>
      </c>
      <c r="I307" s="9" t="s">
        <v>415</v>
      </c>
      <c r="J307" s="9" t="s">
        <v>145</v>
      </c>
    </row>
    <row r="308" spans="1:10">
      <c r="A308" s="5" t="s">
        <v>754</v>
      </c>
      <c r="B308" s="6" t="s">
        <v>2640</v>
      </c>
      <c r="C308" s="7">
        <v>46244</v>
      </c>
      <c r="D308" s="9" t="s">
        <v>261</v>
      </c>
      <c r="E308" s="8" t="s">
        <v>65</v>
      </c>
      <c r="F308" s="9" t="s">
        <v>242</v>
      </c>
      <c r="G308" s="9">
        <v>2</v>
      </c>
      <c r="H308" s="6" t="s">
        <v>2394</v>
      </c>
      <c r="I308" s="9" t="s">
        <v>415</v>
      </c>
      <c r="J308" s="9" t="s">
        <v>145</v>
      </c>
    </row>
    <row r="309" spans="1:10">
      <c r="A309" s="5" t="s">
        <v>757</v>
      </c>
      <c r="B309" s="6" t="s">
        <v>2640</v>
      </c>
      <c r="C309" s="7">
        <v>46244</v>
      </c>
      <c r="D309" s="9" t="s">
        <v>270</v>
      </c>
      <c r="E309" s="8" t="s">
        <v>271</v>
      </c>
      <c r="F309" s="9" t="s">
        <v>242</v>
      </c>
      <c r="G309" s="9">
        <v>6</v>
      </c>
      <c r="H309" s="6" t="s">
        <v>2394</v>
      </c>
      <c r="I309" s="9" t="s">
        <v>415</v>
      </c>
      <c r="J309" s="9" t="s">
        <v>145</v>
      </c>
    </row>
    <row r="310" spans="1:10">
      <c r="A310" s="5" t="s">
        <v>760</v>
      </c>
      <c r="B310" s="6" t="s">
        <v>2641</v>
      </c>
      <c r="C310" s="7">
        <v>46245</v>
      </c>
      <c r="D310" s="9" t="s">
        <v>500</v>
      </c>
      <c r="E310" s="8" t="s">
        <v>4</v>
      </c>
      <c r="F310" s="9" t="s">
        <v>242</v>
      </c>
      <c r="G310" s="9">
        <v>1</v>
      </c>
      <c r="H310" s="6" t="s">
        <v>2642</v>
      </c>
      <c r="I310" s="9" t="s">
        <v>415</v>
      </c>
      <c r="J310" s="9" t="s">
        <v>145</v>
      </c>
    </row>
    <row r="311" spans="1:10">
      <c r="A311" s="5" t="s">
        <v>761</v>
      </c>
      <c r="B311" s="6" t="s">
        <v>2641</v>
      </c>
      <c r="C311" s="7">
        <v>46245</v>
      </c>
      <c r="D311" s="9" t="s">
        <v>500</v>
      </c>
      <c r="E311" s="8" t="s">
        <v>48</v>
      </c>
      <c r="F311" s="9" t="s">
        <v>242</v>
      </c>
      <c r="G311" s="9">
        <v>1</v>
      </c>
      <c r="H311" s="6" t="s">
        <v>2642</v>
      </c>
      <c r="I311" s="9" t="s">
        <v>415</v>
      </c>
      <c r="J311" s="9" t="s">
        <v>145</v>
      </c>
    </row>
    <row r="312" spans="1:10">
      <c r="A312" s="5" t="s">
        <v>763</v>
      </c>
      <c r="B312" s="6" t="s">
        <v>2641</v>
      </c>
      <c r="C312" s="7">
        <v>46245</v>
      </c>
      <c r="D312" s="9" t="s">
        <v>270</v>
      </c>
      <c r="E312" s="8" t="s">
        <v>271</v>
      </c>
      <c r="F312" s="9" t="s">
        <v>242</v>
      </c>
      <c r="G312" s="9">
        <v>6</v>
      </c>
      <c r="H312" s="6" t="s">
        <v>2642</v>
      </c>
      <c r="I312" s="9" t="s">
        <v>415</v>
      </c>
      <c r="J312" s="9" t="s">
        <v>145</v>
      </c>
    </row>
    <row r="313" spans="1:10">
      <c r="A313" s="5" t="s">
        <v>764</v>
      </c>
      <c r="B313" s="6" t="s">
        <v>2643</v>
      </c>
      <c r="C313" s="7">
        <v>46245</v>
      </c>
      <c r="D313" s="9" t="s">
        <v>500</v>
      </c>
      <c r="E313" s="8" t="s">
        <v>52</v>
      </c>
      <c r="F313" s="9" t="s">
        <v>242</v>
      </c>
      <c r="G313" s="9">
        <v>1</v>
      </c>
      <c r="H313" s="6" t="s">
        <v>693</v>
      </c>
      <c r="I313" s="9" t="s">
        <v>628</v>
      </c>
      <c r="J313" s="9" t="s">
        <v>145</v>
      </c>
    </row>
    <row r="314" spans="1:10">
      <c r="A314" s="5" t="s">
        <v>765</v>
      </c>
      <c r="B314" s="6" t="s">
        <v>2643</v>
      </c>
      <c r="C314" s="7">
        <v>46245</v>
      </c>
      <c r="D314" s="9" t="s">
        <v>261</v>
      </c>
      <c r="E314" s="8" t="s">
        <v>64</v>
      </c>
      <c r="F314" s="9" t="s">
        <v>242</v>
      </c>
      <c r="G314" s="9">
        <v>2</v>
      </c>
      <c r="H314" s="6" t="s">
        <v>693</v>
      </c>
      <c r="I314" s="9" t="s">
        <v>628</v>
      </c>
      <c r="J314" s="9" t="s">
        <v>145</v>
      </c>
    </row>
    <row r="315" spans="1:10">
      <c r="A315" s="5" t="s">
        <v>767</v>
      </c>
      <c r="B315" s="6" t="s">
        <v>2643</v>
      </c>
      <c r="C315" s="7">
        <v>46245</v>
      </c>
      <c r="D315" s="9" t="s">
        <v>270</v>
      </c>
      <c r="E315" s="8" t="s">
        <v>271</v>
      </c>
      <c r="F315" s="9" t="s">
        <v>242</v>
      </c>
      <c r="G315" s="9">
        <v>2</v>
      </c>
      <c r="H315" s="6" t="s">
        <v>693</v>
      </c>
      <c r="I315" s="9" t="s">
        <v>628</v>
      </c>
      <c r="J315" s="9" t="s">
        <v>145</v>
      </c>
    </row>
    <row r="316" spans="1:10">
      <c r="A316" s="5" t="s">
        <v>768</v>
      </c>
      <c r="B316" s="6" t="s">
        <v>2644</v>
      </c>
      <c r="C316" s="7">
        <v>46245</v>
      </c>
      <c r="D316" s="9" t="s">
        <v>500</v>
      </c>
      <c r="E316" s="4" t="s">
        <v>4</v>
      </c>
      <c r="F316" s="9" t="s">
        <v>242</v>
      </c>
      <c r="G316" s="9">
        <v>1</v>
      </c>
      <c r="H316" s="6" t="s">
        <v>866</v>
      </c>
      <c r="I316" s="9" t="s">
        <v>609</v>
      </c>
      <c r="J316" s="9" t="s">
        <v>145</v>
      </c>
    </row>
    <row r="317" spans="1:10">
      <c r="A317" s="5" t="s">
        <v>769</v>
      </c>
      <c r="B317" s="6" t="s">
        <v>2644</v>
      </c>
      <c r="C317" s="7">
        <v>46245</v>
      </c>
      <c r="D317" s="9" t="s">
        <v>261</v>
      </c>
      <c r="E317" s="8" t="s">
        <v>64</v>
      </c>
      <c r="F317" s="9" t="s">
        <v>242</v>
      </c>
      <c r="G317" s="9">
        <v>3</v>
      </c>
      <c r="H317" s="6" t="s">
        <v>866</v>
      </c>
      <c r="I317" s="9" t="s">
        <v>609</v>
      </c>
      <c r="J317" s="9" t="s">
        <v>145</v>
      </c>
    </row>
    <row r="318" spans="1:10">
      <c r="A318" s="5" t="s">
        <v>772</v>
      </c>
      <c r="B318" s="6" t="s">
        <v>2644</v>
      </c>
      <c r="C318" s="7">
        <v>46245</v>
      </c>
      <c r="D318" s="9" t="s">
        <v>270</v>
      </c>
      <c r="E318" s="8" t="s">
        <v>271</v>
      </c>
      <c r="F318" s="9" t="s">
        <v>242</v>
      </c>
      <c r="G318" s="9">
        <v>3</v>
      </c>
      <c r="H318" s="6" t="s">
        <v>866</v>
      </c>
      <c r="I318" s="9" t="s">
        <v>609</v>
      </c>
      <c r="J318" s="9" t="s">
        <v>145</v>
      </c>
    </row>
    <row r="319" spans="1:10">
      <c r="A319" s="5" t="s">
        <v>773</v>
      </c>
      <c r="B319" s="6" t="s">
        <v>2645</v>
      </c>
      <c r="C319" s="7">
        <v>46245</v>
      </c>
      <c r="D319" s="9" t="s">
        <v>500</v>
      </c>
      <c r="E319" s="8" t="s">
        <v>54</v>
      </c>
      <c r="F319" s="9" t="s">
        <v>242</v>
      </c>
      <c r="G319" s="9">
        <v>1</v>
      </c>
      <c r="H319" s="6" t="s">
        <v>1304</v>
      </c>
      <c r="I319" s="9" t="s">
        <v>363</v>
      </c>
      <c r="J319" s="9" t="s">
        <v>145</v>
      </c>
    </row>
    <row r="320" spans="1:10">
      <c r="A320" s="5" t="s">
        <v>774</v>
      </c>
      <c r="B320" s="6" t="s">
        <v>2645</v>
      </c>
      <c r="C320" s="7">
        <v>46245</v>
      </c>
      <c r="D320" s="9" t="s">
        <v>261</v>
      </c>
      <c r="E320" s="8" t="s">
        <v>62</v>
      </c>
      <c r="F320" s="9" t="s">
        <v>242</v>
      </c>
      <c r="G320" s="9">
        <v>2</v>
      </c>
      <c r="H320" s="6" t="s">
        <v>1304</v>
      </c>
      <c r="I320" s="9" t="s">
        <v>363</v>
      </c>
      <c r="J320" s="9" t="s">
        <v>145</v>
      </c>
    </row>
    <row r="321" spans="1:10">
      <c r="A321" s="5" t="s">
        <v>776</v>
      </c>
      <c r="B321" s="6" t="s">
        <v>2646</v>
      </c>
      <c r="C321" s="7">
        <v>46245</v>
      </c>
      <c r="D321" s="9" t="s">
        <v>261</v>
      </c>
      <c r="E321" s="8" t="s">
        <v>62</v>
      </c>
      <c r="F321" s="9" t="s">
        <v>242</v>
      </c>
      <c r="G321" s="9">
        <v>2</v>
      </c>
      <c r="H321" s="6" t="s">
        <v>2377</v>
      </c>
      <c r="I321" s="9" t="s">
        <v>628</v>
      </c>
      <c r="J321" s="9" t="s">
        <v>145</v>
      </c>
    </row>
    <row r="322" spans="1:10">
      <c r="A322" s="5" t="s">
        <v>779</v>
      </c>
      <c r="B322" s="6" t="s">
        <v>2646</v>
      </c>
      <c r="C322" s="7">
        <v>46245</v>
      </c>
      <c r="D322" s="9" t="s">
        <v>261</v>
      </c>
      <c r="E322" s="4" t="s">
        <v>64</v>
      </c>
      <c r="F322" s="9" t="s">
        <v>242</v>
      </c>
      <c r="G322" s="9">
        <v>1</v>
      </c>
      <c r="H322" s="6" t="s">
        <v>2377</v>
      </c>
      <c r="I322" s="9" t="s">
        <v>628</v>
      </c>
      <c r="J322" s="9" t="s">
        <v>145</v>
      </c>
    </row>
    <row r="323" spans="1:10">
      <c r="A323" s="5" t="s">
        <v>780</v>
      </c>
      <c r="B323" s="6" t="s">
        <v>2646</v>
      </c>
      <c r="C323" s="7">
        <v>46245</v>
      </c>
      <c r="D323" s="9" t="s">
        <v>270</v>
      </c>
      <c r="E323" s="8" t="s">
        <v>271</v>
      </c>
      <c r="F323" s="9" t="s">
        <v>242</v>
      </c>
      <c r="G323" s="9">
        <v>1</v>
      </c>
      <c r="H323" s="6" t="s">
        <v>2377</v>
      </c>
      <c r="I323" s="9" t="s">
        <v>628</v>
      </c>
      <c r="J323" s="9" t="s">
        <v>145</v>
      </c>
    </row>
    <row r="324" spans="1:10">
      <c r="A324" s="5" t="s">
        <v>782</v>
      </c>
      <c r="B324" s="6" t="s">
        <v>2647</v>
      </c>
      <c r="C324" s="7">
        <v>46246</v>
      </c>
      <c r="D324" s="9" t="s">
        <v>261</v>
      </c>
      <c r="E324" s="8" t="s">
        <v>64</v>
      </c>
      <c r="F324" s="9" t="s">
        <v>242</v>
      </c>
      <c r="G324" s="9">
        <v>3</v>
      </c>
      <c r="H324" s="6" t="s">
        <v>2377</v>
      </c>
      <c r="I324" s="9" t="s">
        <v>628</v>
      </c>
      <c r="J324" s="9" t="s">
        <v>145</v>
      </c>
    </row>
    <row r="325" spans="1:10">
      <c r="A325" s="5" t="s">
        <v>785</v>
      </c>
      <c r="B325" s="6" t="s">
        <v>2647</v>
      </c>
      <c r="C325" s="7">
        <v>46246</v>
      </c>
      <c r="D325" s="9" t="s">
        <v>261</v>
      </c>
      <c r="E325" s="8" t="s">
        <v>65</v>
      </c>
      <c r="F325" s="9" t="s">
        <v>242</v>
      </c>
      <c r="G325" s="9">
        <v>1</v>
      </c>
      <c r="H325" s="6" t="s">
        <v>2377</v>
      </c>
      <c r="I325" s="9" t="s">
        <v>628</v>
      </c>
      <c r="J325" s="9" t="s">
        <v>145</v>
      </c>
    </row>
    <row r="326" spans="1:10">
      <c r="A326" s="5" t="s">
        <v>786</v>
      </c>
      <c r="B326" s="6" t="s">
        <v>2647</v>
      </c>
      <c r="C326" s="7">
        <v>46246</v>
      </c>
      <c r="D326" s="9" t="s">
        <v>270</v>
      </c>
      <c r="E326" s="4" t="s">
        <v>271</v>
      </c>
      <c r="F326" s="9" t="s">
        <v>242</v>
      </c>
      <c r="G326" s="9">
        <v>5</v>
      </c>
      <c r="H326" s="6" t="s">
        <v>2377</v>
      </c>
      <c r="I326" s="9" t="s">
        <v>628</v>
      </c>
      <c r="J326" s="9" t="s">
        <v>145</v>
      </c>
    </row>
    <row r="327" spans="1:10">
      <c r="A327" s="5" t="s">
        <v>788</v>
      </c>
      <c r="B327" s="6" t="s">
        <v>2648</v>
      </c>
      <c r="C327" s="7">
        <v>46246</v>
      </c>
      <c r="D327" s="9" t="s">
        <v>261</v>
      </c>
      <c r="E327" s="8" t="s">
        <v>62</v>
      </c>
      <c r="F327" s="9" t="s">
        <v>242</v>
      </c>
      <c r="G327" s="9">
        <v>3</v>
      </c>
      <c r="H327" s="6" t="s">
        <v>722</v>
      </c>
      <c r="I327" s="9" t="s">
        <v>616</v>
      </c>
      <c r="J327" s="9" t="s">
        <v>145</v>
      </c>
    </row>
    <row r="328" spans="1:10">
      <c r="A328" s="5" t="s">
        <v>789</v>
      </c>
      <c r="B328" s="6" t="s">
        <v>2649</v>
      </c>
      <c r="C328" s="7">
        <v>46246</v>
      </c>
      <c r="D328" s="9" t="s">
        <v>261</v>
      </c>
      <c r="E328" s="8" t="s">
        <v>62</v>
      </c>
      <c r="F328" s="9" t="s">
        <v>242</v>
      </c>
      <c r="G328" s="9">
        <v>3</v>
      </c>
      <c r="H328" s="6" t="s">
        <v>722</v>
      </c>
      <c r="I328" s="9" t="s">
        <v>514</v>
      </c>
      <c r="J328" s="9" t="s">
        <v>145</v>
      </c>
    </row>
    <row r="329" spans="1:10">
      <c r="A329" s="5" t="s">
        <v>790</v>
      </c>
      <c r="B329" s="6" t="s">
        <v>2650</v>
      </c>
      <c r="C329" s="7">
        <v>46246</v>
      </c>
      <c r="D329" s="9" t="s">
        <v>261</v>
      </c>
      <c r="E329" s="8" t="s">
        <v>62</v>
      </c>
      <c r="F329" s="9" t="s">
        <v>242</v>
      </c>
      <c r="G329" s="9">
        <v>4</v>
      </c>
      <c r="H329" s="6" t="s">
        <v>722</v>
      </c>
      <c r="I329" s="9" t="s">
        <v>514</v>
      </c>
      <c r="J329" s="9" t="s">
        <v>145</v>
      </c>
    </row>
    <row r="330" spans="1:10">
      <c r="A330" s="5" t="s">
        <v>792</v>
      </c>
      <c r="B330" s="6" t="s">
        <v>2651</v>
      </c>
      <c r="C330" s="7">
        <v>46247</v>
      </c>
      <c r="D330" s="9" t="s">
        <v>261</v>
      </c>
      <c r="E330" s="8" t="s">
        <v>62</v>
      </c>
      <c r="F330" s="9" t="s">
        <v>242</v>
      </c>
      <c r="G330" s="9">
        <v>15</v>
      </c>
      <c r="H330" s="6" t="s">
        <v>2391</v>
      </c>
      <c r="I330" s="9" t="s">
        <v>258</v>
      </c>
      <c r="J330" s="9" t="s">
        <v>145</v>
      </c>
    </row>
    <row r="331" spans="1:10">
      <c r="A331" s="5" t="s">
        <v>793</v>
      </c>
      <c r="B331" s="6" t="s">
        <v>2652</v>
      </c>
      <c r="C331" s="7">
        <v>46247</v>
      </c>
      <c r="D331" s="9" t="s">
        <v>500</v>
      </c>
      <c r="E331" s="8" t="s">
        <v>48</v>
      </c>
      <c r="F331" s="9" t="s">
        <v>242</v>
      </c>
      <c r="G331" s="9">
        <v>1</v>
      </c>
      <c r="H331" s="6" t="s">
        <v>2653</v>
      </c>
      <c r="I331" s="9" t="s">
        <v>258</v>
      </c>
      <c r="J331" s="9" t="s">
        <v>145</v>
      </c>
    </row>
    <row r="332" spans="1:10">
      <c r="A332" s="5" t="s">
        <v>794</v>
      </c>
      <c r="B332" s="6" t="s">
        <v>2652</v>
      </c>
      <c r="C332" s="7">
        <v>46247</v>
      </c>
      <c r="D332" s="9" t="s">
        <v>500</v>
      </c>
      <c r="E332" s="8" t="s">
        <v>4</v>
      </c>
      <c r="F332" s="9" t="s">
        <v>242</v>
      </c>
      <c r="G332" s="9">
        <v>1</v>
      </c>
      <c r="H332" s="6" t="s">
        <v>2653</v>
      </c>
      <c r="I332" s="9" t="s">
        <v>258</v>
      </c>
      <c r="J332" s="9" t="s">
        <v>145</v>
      </c>
    </row>
    <row r="333" spans="1:10">
      <c r="A333" s="5" t="s">
        <v>796</v>
      </c>
      <c r="B333" s="6" t="s">
        <v>2652</v>
      </c>
      <c r="C333" s="7">
        <v>46247</v>
      </c>
      <c r="D333" s="9" t="s">
        <v>261</v>
      </c>
      <c r="E333" s="8" t="s">
        <v>64</v>
      </c>
      <c r="F333" s="9" t="s">
        <v>242</v>
      </c>
      <c r="G333" s="9">
        <v>5</v>
      </c>
      <c r="H333" s="6" t="s">
        <v>2653</v>
      </c>
      <c r="I333" s="9" t="s">
        <v>258</v>
      </c>
      <c r="J333" s="9" t="s">
        <v>145</v>
      </c>
    </row>
    <row r="334" spans="1:10">
      <c r="A334" s="5" t="s">
        <v>797</v>
      </c>
      <c r="B334" s="6" t="s">
        <v>2652</v>
      </c>
      <c r="C334" s="7">
        <v>46247</v>
      </c>
      <c r="D334" s="9" t="s">
        <v>261</v>
      </c>
      <c r="E334" s="8" t="s">
        <v>65</v>
      </c>
      <c r="F334" s="9" t="s">
        <v>242</v>
      </c>
      <c r="G334" s="9">
        <v>1</v>
      </c>
      <c r="H334" s="6" t="s">
        <v>2653</v>
      </c>
      <c r="I334" s="9" t="s">
        <v>258</v>
      </c>
      <c r="J334" s="9" t="s">
        <v>145</v>
      </c>
    </row>
    <row r="335" spans="1:10">
      <c r="A335" s="5" t="s">
        <v>798</v>
      </c>
      <c r="B335" s="6" t="s">
        <v>2652</v>
      </c>
      <c r="C335" s="7">
        <v>46247</v>
      </c>
      <c r="D335" s="9" t="s">
        <v>270</v>
      </c>
      <c r="E335" s="8" t="s">
        <v>271</v>
      </c>
      <c r="F335" s="9" t="s">
        <v>242</v>
      </c>
      <c r="G335" s="9">
        <v>8</v>
      </c>
      <c r="H335" s="6" t="s">
        <v>2653</v>
      </c>
      <c r="I335" s="9" t="s">
        <v>258</v>
      </c>
      <c r="J335" s="9" t="s">
        <v>145</v>
      </c>
    </row>
    <row r="336" spans="1:10">
      <c r="A336" s="5" t="s">
        <v>799</v>
      </c>
      <c r="B336" s="6" t="s">
        <v>2652</v>
      </c>
      <c r="C336" s="7">
        <v>46247</v>
      </c>
      <c r="D336" s="9" t="s">
        <v>503</v>
      </c>
      <c r="E336" s="8" t="s">
        <v>162</v>
      </c>
      <c r="F336" s="9" t="s">
        <v>242</v>
      </c>
      <c r="G336" s="9">
        <v>1</v>
      </c>
      <c r="H336" s="6" t="s">
        <v>2653</v>
      </c>
      <c r="I336" s="9" t="s">
        <v>258</v>
      </c>
      <c r="J336" s="9" t="s">
        <v>145</v>
      </c>
    </row>
    <row r="337" spans="1:10">
      <c r="A337" s="5" t="s">
        <v>800</v>
      </c>
      <c r="B337" s="6" t="s">
        <v>2654</v>
      </c>
      <c r="C337" s="7">
        <v>46248</v>
      </c>
      <c r="D337" s="9" t="s">
        <v>261</v>
      </c>
      <c r="E337" s="8" t="s">
        <v>62</v>
      </c>
      <c r="F337" s="9" t="s">
        <v>242</v>
      </c>
      <c r="G337" s="9">
        <v>6</v>
      </c>
      <c r="H337" s="6" t="s">
        <v>722</v>
      </c>
      <c r="I337" s="9" t="s">
        <v>253</v>
      </c>
      <c r="J337" s="9" t="s">
        <v>145</v>
      </c>
    </row>
    <row r="338" spans="1:10">
      <c r="A338" s="5" t="s">
        <v>802</v>
      </c>
      <c r="B338" s="6" t="s">
        <v>2655</v>
      </c>
      <c r="C338" s="7">
        <v>46248</v>
      </c>
      <c r="D338" s="9" t="s">
        <v>500</v>
      </c>
      <c r="E338" s="8" t="s">
        <v>53</v>
      </c>
      <c r="F338" s="9" t="s">
        <v>242</v>
      </c>
      <c r="G338" s="9">
        <v>1</v>
      </c>
      <c r="H338" s="6" t="s">
        <v>2656</v>
      </c>
      <c r="I338" s="9" t="s">
        <v>357</v>
      </c>
      <c r="J338" s="9" t="s">
        <v>145</v>
      </c>
    </row>
    <row r="339" spans="1:10">
      <c r="A339" s="5" t="s">
        <v>803</v>
      </c>
      <c r="B339" s="6" t="s">
        <v>2655</v>
      </c>
      <c r="C339" s="7">
        <v>46248</v>
      </c>
      <c r="D339" s="9" t="s">
        <v>261</v>
      </c>
      <c r="E339" s="8" t="s">
        <v>753</v>
      </c>
      <c r="F339" s="9" t="s">
        <v>242</v>
      </c>
      <c r="G339" s="9">
        <v>2</v>
      </c>
      <c r="H339" s="6" t="s">
        <v>2656</v>
      </c>
      <c r="I339" s="9" t="s">
        <v>357</v>
      </c>
      <c r="J339" s="9" t="s">
        <v>145</v>
      </c>
    </row>
    <row r="340" spans="1:10">
      <c r="A340" s="5" t="s">
        <v>805</v>
      </c>
      <c r="B340" s="6" t="s">
        <v>2655</v>
      </c>
      <c r="C340" s="7">
        <v>46248</v>
      </c>
      <c r="D340" s="9" t="s">
        <v>270</v>
      </c>
      <c r="E340" s="8" t="s">
        <v>68</v>
      </c>
      <c r="F340" s="9" t="s">
        <v>242</v>
      </c>
      <c r="G340" s="9">
        <v>3</v>
      </c>
      <c r="H340" s="6" t="s">
        <v>2656</v>
      </c>
      <c r="I340" s="9" t="s">
        <v>357</v>
      </c>
      <c r="J340" s="9" t="s">
        <v>145</v>
      </c>
    </row>
    <row r="341" spans="1:10">
      <c r="A341" s="5" t="s">
        <v>808</v>
      </c>
      <c r="B341" s="6" t="s">
        <v>2655</v>
      </c>
      <c r="C341" s="7">
        <v>46248</v>
      </c>
      <c r="D341" s="9" t="s">
        <v>696</v>
      </c>
      <c r="E341" s="8" t="s">
        <v>88</v>
      </c>
      <c r="F341" s="9" t="s">
        <v>242</v>
      </c>
      <c r="G341" s="9">
        <v>40</v>
      </c>
      <c r="H341" s="6" t="s">
        <v>2656</v>
      </c>
      <c r="I341" s="9" t="s">
        <v>357</v>
      </c>
      <c r="J341" s="9" t="s">
        <v>145</v>
      </c>
    </row>
    <row r="342" spans="1:10">
      <c r="A342" s="5" t="s">
        <v>809</v>
      </c>
      <c r="B342" s="6" t="s">
        <v>2657</v>
      </c>
      <c r="C342" s="7">
        <v>46252</v>
      </c>
      <c r="D342" s="9" t="s">
        <v>261</v>
      </c>
      <c r="E342" s="8" t="s">
        <v>62</v>
      </c>
      <c r="F342" s="9" t="s">
        <v>242</v>
      </c>
      <c r="G342" s="9">
        <v>2</v>
      </c>
      <c r="H342" s="6" t="s">
        <v>2192</v>
      </c>
      <c r="I342" s="9" t="s">
        <v>514</v>
      </c>
      <c r="J342" s="9" t="s">
        <v>145</v>
      </c>
    </row>
    <row r="343" spans="1:10">
      <c r="A343" s="5" t="s">
        <v>810</v>
      </c>
      <c r="B343" s="6" t="s">
        <v>2658</v>
      </c>
      <c r="C343" s="7">
        <v>46252</v>
      </c>
      <c r="D343" s="9" t="s">
        <v>500</v>
      </c>
      <c r="E343" s="8" t="s">
        <v>54</v>
      </c>
      <c r="F343" s="9" t="s">
        <v>242</v>
      </c>
      <c r="G343" s="9">
        <v>1</v>
      </c>
      <c r="H343" s="6" t="s">
        <v>1304</v>
      </c>
      <c r="I343" s="9" t="s">
        <v>388</v>
      </c>
      <c r="J343" s="9" t="s">
        <v>145</v>
      </c>
    </row>
    <row r="344" spans="1:10">
      <c r="A344" s="5" t="s">
        <v>812</v>
      </c>
      <c r="B344" s="6" t="s">
        <v>2658</v>
      </c>
      <c r="C344" s="7">
        <v>46252</v>
      </c>
      <c r="D344" s="9" t="s">
        <v>261</v>
      </c>
      <c r="E344" s="4" t="s">
        <v>62</v>
      </c>
      <c r="F344" s="9" t="s">
        <v>242</v>
      </c>
      <c r="G344" s="9">
        <v>1</v>
      </c>
      <c r="H344" s="6" t="s">
        <v>1304</v>
      </c>
      <c r="I344" s="9" t="s">
        <v>388</v>
      </c>
      <c r="J344" s="9" t="s">
        <v>145</v>
      </c>
    </row>
    <row r="345" spans="1:10">
      <c r="A345" s="5" t="s">
        <v>813</v>
      </c>
      <c r="B345" s="6" t="s">
        <v>2658</v>
      </c>
      <c r="C345" s="7">
        <v>46252</v>
      </c>
      <c r="D345" s="9" t="s">
        <v>261</v>
      </c>
      <c r="E345" s="4" t="s">
        <v>281</v>
      </c>
      <c r="F345" s="9" t="s">
        <v>242</v>
      </c>
      <c r="G345" s="9">
        <v>5</v>
      </c>
      <c r="H345" s="6" t="s">
        <v>1304</v>
      </c>
      <c r="I345" s="9" t="s">
        <v>388</v>
      </c>
      <c r="J345" s="9" t="s">
        <v>145</v>
      </c>
    </row>
    <row r="346" spans="1:10">
      <c r="A346" s="5" t="s">
        <v>815</v>
      </c>
      <c r="B346" s="6" t="s">
        <v>2562</v>
      </c>
      <c r="C346" s="7">
        <v>46252</v>
      </c>
      <c r="D346" s="9" t="s">
        <v>500</v>
      </c>
      <c r="E346" s="8" t="s">
        <v>48</v>
      </c>
      <c r="F346" s="9" t="s">
        <v>242</v>
      </c>
      <c r="G346" s="9">
        <v>1</v>
      </c>
      <c r="H346" s="6" t="s">
        <v>688</v>
      </c>
      <c r="I346" s="9" t="s">
        <v>258</v>
      </c>
      <c r="J346" s="9" t="s">
        <v>145</v>
      </c>
    </row>
    <row r="347" spans="1:10">
      <c r="A347" s="5" t="s">
        <v>816</v>
      </c>
      <c r="B347" s="6" t="s">
        <v>2562</v>
      </c>
      <c r="C347" s="7">
        <v>46252</v>
      </c>
      <c r="D347" s="9" t="s">
        <v>261</v>
      </c>
      <c r="E347" s="8" t="s">
        <v>65</v>
      </c>
      <c r="F347" s="9" t="s">
        <v>242</v>
      </c>
      <c r="G347" s="9">
        <v>2</v>
      </c>
      <c r="H347" s="6" t="s">
        <v>688</v>
      </c>
      <c r="I347" s="9" t="s">
        <v>258</v>
      </c>
      <c r="J347" s="9" t="s">
        <v>145</v>
      </c>
    </row>
    <row r="348" spans="1:10">
      <c r="A348" s="5" t="s">
        <v>817</v>
      </c>
      <c r="B348" s="6" t="s">
        <v>2562</v>
      </c>
      <c r="C348" s="7">
        <v>46252</v>
      </c>
      <c r="D348" s="9" t="s">
        <v>261</v>
      </c>
      <c r="E348" s="8" t="s">
        <v>64</v>
      </c>
      <c r="F348" s="9" t="s">
        <v>242</v>
      </c>
      <c r="G348" s="9">
        <v>5</v>
      </c>
      <c r="H348" s="6" t="s">
        <v>688</v>
      </c>
      <c r="I348" s="9" t="s">
        <v>258</v>
      </c>
      <c r="J348" s="9" t="s">
        <v>145</v>
      </c>
    </row>
    <row r="349" spans="1:10">
      <c r="A349" s="5" t="s">
        <v>818</v>
      </c>
      <c r="B349" s="6" t="s">
        <v>2562</v>
      </c>
      <c r="C349" s="7">
        <v>46252</v>
      </c>
      <c r="D349" s="9" t="s">
        <v>270</v>
      </c>
      <c r="E349" s="4" t="s">
        <v>271</v>
      </c>
      <c r="F349" s="9" t="s">
        <v>242</v>
      </c>
      <c r="G349" s="9">
        <v>9</v>
      </c>
      <c r="H349" s="6" t="s">
        <v>688</v>
      </c>
      <c r="I349" s="9" t="s">
        <v>258</v>
      </c>
      <c r="J349" s="9" t="s">
        <v>145</v>
      </c>
    </row>
    <row r="350" spans="1:10">
      <c r="A350" s="5" t="s">
        <v>820</v>
      </c>
      <c r="B350" s="6" t="s">
        <v>2659</v>
      </c>
      <c r="C350" s="7">
        <v>46254</v>
      </c>
      <c r="D350" s="9" t="s">
        <v>500</v>
      </c>
      <c r="E350" s="8" t="s">
        <v>51</v>
      </c>
      <c r="F350" s="9" t="s">
        <v>242</v>
      </c>
      <c r="G350" s="9">
        <v>1</v>
      </c>
      <c r="H350" s="6" t="s">
        <v>693</v>
      </c>
      <c r="I350" s="9" t="s">
        <v>609</v>
      </c>
      <c r="J350" s="9" t="s">
        <v>145</v>
      </c>
    </row>
    <row r="351" spans="1:10">
      <c r="A351" s="5" t="s">
        <v>821</v>
      </c>
      <c r="B351" s="6" t="s">
        <v>2659</v>
      </c>
      <c r="C351" s="7">
        <v>46254</v>
      </c>
      <c r="D351" s="9" t="s">
        <v>261</v>
      </c>
      <c r="E351" s="4" t="s">
        <v>64</v>
      </c>
      <c r="F351" s="9" t="s">
        <v>242</v>
      </c>
      <c r="G351" s="9">
        <v>2</v>
      </c>
      <c r="H351" s="6" t="s">
        <v>693</v>
      </c>
      <c r="I351" s="9" t="s">
        <v>609</v>
      </c>
      <c r="J351" s="9" t="s">
        <v>145</v>
      </c>
    </row>
    <row r="352" spans="1:10">
      <c r="A352" s="5" t="s">
        <v>822</v>
      </c>
      <c r="B352" s="6" t="s">
        <v>2659</v>
      </c>
      <c r="C352" s="7">
        <v>46254</v>
      </c>
      <c r="D352" s="9" t="s">
        <v>270</v>
      </c>
      <c r="E352" s="8" t="s">
        <v>271</v>
      </c>
      <c r="F352" s="9" t="s">
        <v>242</v>
      </c>
      <c r="G352" s="9">
        <v>2</v>
      </c>
      <c r="H352" s="6" t="s">
        <v>693</v>
      </c>
      <c r="I352" s="9" t="s">
        <v>609</v>
      </c>
      <c r="J352" s="9" t="s">
        <v>145</v>
      </c>
    </row>
    <row r="353" spans="1:10">
      <c r="A353" s="5" t="s">
        <v>824</v>
      </c>
      <c r="B353" s="6" t="s">
        <v>2660</v>
      </c>
      <c r="C353" s="7">
        <v>46254</v>
      </c>
      <c r="D353" s="9" t="s">
        <v>696</v>
      </c>
      <c r="E353" s="4" t="s">
        <v>88</v>
      </c>
      <c r="F353" s="9" t="s">
        <v>242</v>
      </c>
      <c r="G353" s="9">
        <v>60</v>
      </c>
      <c r="H353" s="6" t="s">
        <v>2661</v>
      </c>
      <c r="I353" s="9" t="s">
        <v>258</v>
      </c>
      <c r="J353" s="9" t="s">
        <v>145</v>
      </c>
    </row>
    <row r="354" spans="1:10">
      <c r="A354" s="5" t="s">
        <v>828</v>
      </c>
      <c r="B354" s="6" t="s">
        <v>2660</v>
      </c>
      <c r="C354" s="7">
        <v>46254</v>
      </c>
      <c r="D354" s="9" t="s">
        <v>261</v>
      </c>
      <c r="E354" s="8" t="s">
        <v>62</v>
      </c>
      <c r="F354" s="9" t="s">
        <v>242</v>
      </c>
      <c r="G354" s="9">
        <v>2</v>
      </c>
      <c r="H354" s="6" t="s">
        <v>2661</v>
      </c>
      <c r="I354" s="9" t="s">
        <v>258</v>
      </c>
      <c r="J354" s="9" t="s">
        <v>145</v>
      </c>
    </row>
    <row r="355" spans="1:10">
      <c r="A355" s="5" t="s">
        <v>831</v>
      </c>
      <c r="B355" s="6" t="s">
        <v>2660</v>
      </c>
      <c r="C355" s="7">
        <v>46254</v>
      </c>
      <c r="D355" s="9" t="s">
        <v>261</v>
      </c>
      <c r="E355" s="8" t="s">
        <v>281</v>
      </c>
      <c r="F355" s="9" t="s">
        <v>242</v>
      </c>
      <c r="G355" s="9">
        <v>4</v>
      </c>
      <c r="H355" s="6" t="s">
        <v>2661</v>
      </c>
      <c r="I355" s="9" t="s">
        <v>258</v>
      </c>
      <c r="J355" s="9" t="s">
        <v>145</v>
      </c>
    </row>
    <row r="356" spans="1:10">
      <c r="A356" s="5" t="s">
        <v>833</v>
      </c>
      <c r="B356" s="6" t="s">
        <v>2662</v>
      </c>
      <c r="C356" s="7">
        <v>46254</v>
      </c>
      <c r="D356" s="9" t="s">
        <v>696</v>
      </c>
      <c r="E356" s="8" t="s">
        <v>843</v>
      </c>
      <c r="F356" s="9" t="s">
        <v>242</v>
      </c>
      <c r="G356" s="9">
        <v>140</v>
      </c>
      <c r="H356" s="6" t="s">
        <v>2663</v>
      </c>
      <c r="I356" s="9" t="s">
        <v>415</v>
      </c>
      <c r="J356" s="9" t="s">
        <v>145</v>
      </c>
    </row>
    <row r="357" spans="1:10">
      <c r="A357" s="5" t="s">
        <v>836</v>
      </c>
      <c r="B357" s="6" t="s">
        <v>2662</v>
      </c>
      <c r="C357" s="7">
        <v>46254</v>
      </c>
      <c r="D357" s="9" t="s">
        <v>270</v>
      </c>
      <c r="E357" s="8" t="s">
        <v>271</v>
      </c>
      <c r="F357" s="9" t="s">
        <v>242</v>
      </c>
      <c r="G357" s="9">
        <v>2</v>
      </c>
      <c r="H357" s="6" t="s">
        <v>2663</v>
      </c>
      <c r="I357" s="9" t="s">
        <v>415</v>
      </c>
      <c r="J357" s="9" t="s">
        <v>145</v>
      </c>
    </row>
    <row r="358" spans="1:10">
      <c r="A358" s="5" t="s">
        <v>839</v>
      </c>
      <c r="B358" s="6" t="s">
        <v>2662</v>
      </c>
      <c r="C358" s="7">
        <v>46254</v>
      </c>
      <c r="D358" s="9" t="s">
        <v>261</v>
      </c>
      <c r="E358" s="8" t="s">
        <v>62</v>
      </c>
      <c r="F358" s="9" t="s">
        <v>242</v>
      </c>
      <c r="G358" s="9">
        <v>5</v>
      </c>
      <c r="H358" s="6" t="s">
        <v>2663</v>
      </c>
      <c r="I358" s="9" t="s">
        <v>415</v>
      </c>
      <c r="J358" s="9" t="s">
        <v>145</v>
      </c>
    </row>
    <row r="359" spans="1:10">
      <c r="A359" s="5" t="s">
        <v>840</v>
      </c>
      <c r="B359" s="6" t="s">
        <v>2664</v>
      </c>
      <c r="C359" s="7">
        <v>46254</v>
      </c>
      <c r="D359" s="9" t="s">
        <v>500</v>
      </c>
      <c r="E359" s="4" t="s">
        <v>4</v>
      </c>
      <c r="F359" s="9" t="s">
        <v>242</v>
      </c>
      <c r="G359" s="9">
        <v>1</v>
      </c>
      <c r="H359" s="6" t="s">
        <v>2665</v>
      </c>
      <c r="I359" s="9" t="s">
        <v>258</v>
      </c>
      <c r="J359" s="9" t="s">
        <v>145</v>
      </c>
    </row>
    <row r="360" spans="1:10">
      <c r="A360" s="5" t="s">
        <v>841</v>
      </c>
      <c r="B360" s="6" t="s">
        <v>2664</v>
      </c>
      <c r="C360" s="7">
        <v>46254</v>
      </c>
      <c r="D360" s="9" t="s">
        <v>500</v>
      </c>
      <c r="E360" s="8" t="s">
        <v>52</v>
      </c>
      <c r="F360" s="9" t="s">
        <v>242</v>
      </c>
      <c r="G360" s="9">
        <v>1</v>
      </c>
      <c r="H360" s="6" t="s">
        <v>2665</v>
      </c>
      <c r="I360" s="9" t="s">
        <v>258</v>
      </c>
      <c r="J360" s="9" t="s">
        <v>145</v>
      </c>
    </row>
    <row r="361" spans="1:10">
      <c r="A361" s="5" t="s">
        <v>842</v>
      </c>
      <c r="B361" s="6" t="s">
        <v>2664</v>
      </c>
      <c r="C361" s="7">
        <v>46254</v>
      </c>
      <c r="D361" s="9" t="s">
        <v>270</v>
      </c>
      <c r="E361" s="8" t="s">
        <v>271</v>
      </c>
      <c r="F361" s="9" t="s">
        <v>242</v>
      </c>
      <c r="G361" s="9">
        <v>6</v>
      </c>
      <c r="H361" s="6" t="s">
        <v>2665</v>
      </c>
      <c r="I361" s="9" t="s">
        <v>258</v>
      </c>
      <c r="J361" s="9" t="s">
        <v>145</v>
      </c>
    </row>
    <row r="362" spans="1:10">
      <c r="A362" s="5" t="s">
        <v>844</v>
      </c>
      <c r="B362" s="6" t="s">
        <v>2664</v>
      </c>
      <c r="C362" s="7">
        <v>46254</v>
      </c>
      <c r="D362" s="9" t="s">
        <v>500</v>
      </c>
      <c r="E362" s="8" t="s">
        <v>53</v>
      </c>
      <c r="F362" s="9" t="s">
        <v>242</v>
      </c>
      <c r="G362" s="9">
        <v>1</v>
      </c>
      <c r="H362" s="6" t="s">
        <v>2665</v>
      </c>
      <c r="I362" s="9" t="s">
        <v>258</v>
      </c>
      <c r="J362" s="9" t="s">
        <v>145</v>
      </c>
    </row>
    <row r="363" spans="1:10">
      <c r="A363" s="5" t="s">
        <v>847</v>
      </c>
      <c r="B363" s="6" t="s">
        <v>2666</v>
      </c>
      <c r="C363" s="7">
        <v>46254</v>
      </c>
      <c r="D363" s="9" t="s">
        <v>711</v>
      </c>
      <c r="E363" s="8" t="s">
        <v>111</v>
      </c>
      <c r="F363" s="9" t="s">
        <v>242</v>
      </c>
      <c r="G363" s="9">
        <v>1</v>
      </c>
      <c r="H363" s="6" t="s">
        <v>2667</v>
      </c>
      <c r="I363" s="9" t="s">
        <v>258</v>
      </c>
      <c r="J363" s="9" t="s">
        <v>145</v>
      </c>
    </row>
    <row r="364" spans="1:10">
      <c r="A364" s="5" t="s">
        <v>849</v>
      </c>
      <c r="B364" s="6" t="s">
        <v>2666</v>
      </c>
      <c r="C364" s="7">
        <v>46254</v>
      </c>
      <c r="D364" s="9" t="s">
        <v>714</v>
      </c>
      <c r="E364" s="8" t="s">
        <v>715</v>
      </c>
      <c r="F364" s="9" t="s">
        <v>242</v>
      </c>
      <c r="G364" s="9">
        <v>1</v>
      </c>
      <c r="H364" s="6" t="s">
        <v>2667</v>
      </c>
      <c r="I364" s="9" t="s">
        <v>258</v>
      </c>
      <c r="J364" s="9" t="s">
        <v>145</v>
      </c>
    </row>
    <row r="365" spans="1:10">
      <c r="A365" s="5" t="s">
        <v>852</v>
      </c>
      <c r="B365" s="6" t="s">
        <v>2666</v>
      </c>
      <c r="C365" s="7">
        <v>46254</v>
      </c>
      <c r="D365" s="9" t="s">
        <v>503</v>
      </c>
      <c r="E365" s="8" t="s">
        <v>1429</v>
      </c>
      <c r="F365" s="9" t="s">
        <v>242</v>
      </c>
      <c r="G365" s="9">
        <v>20</v>
      </c>
      <c r="H365" s="6" t="s">
        <v>2667</v>
      </c>
      <c r="I365" s="9" t="s">
        <v>258</v>
      </c>
      <c r="J365" s="9" t="s">
        <v>145</v>
      </c>
    </row>
    <row r="366" spans="1:10">
      <c r="A366" s="5" t="s">
        <v>853</v>
      </c>
      <c r="B366" s="6" t="s">
        <v>2666</v>
      </c>
      <c r="C366" s="7">
        <v>46254</v>
      </c>
      <c r="D366" s="9" t="s">
        <v>503</v>
      </c>
      <c r="E366" s="8" t="s">
        <v>75</v>
      </c>
      <c r="F366" s="9" t="s">
        <v>242</v>
      </c>
      <c r="G366" s="9">
        <v>2</v>
      </c>
      <c r="H366" s="6" t="s">
        <v>2667</v>
      </c>
      <c r="I366" s="9" t="s">
        <v>258</v>
      </c>
      <c r="J366" s="9" t="s">
        <v>145</v>
      </c>
    </row>
    <row r="367" spans="1:10">
      <c r="A367" s="5" t="s">
        <v>856</v>
      </c>
      <c r="B367" s="6" t="s">
        <v>2668</v>
      </c>
      <c r="C367" s="7">
        <v>46258</v>
      </c>
      <c r="D367" s="9" t="s">
        <v>696</v>
      </c>
      <c r="E367" s="8" t="s">
        <v>843</v>
      </c>
      <c r="F367" s="9" t="s">
        <v>242</v>
      </c>
      <c r="G367" s="9">
        <v>140</v>
      </c>
      <c r="H367" s="6" t="s">
        <v>2663</v>
      </c>
      <c r="I367" s="9" t="s">
        <v>415</v>
      </c>
      <c r="J367" s="9" t="s">
        <v>145</v>
      </c>
    </row>
    <row r="368" spans="1:10">
      <c r="A368" s="5" t="s">
        <v>857</v>
      </c>
      <c r="B368" s="6" t="s">
        <v>2668</v>
      </c>
      <c r="C368" s="7">
        <v>46258</v>
      </c>
      <c r="D368" s="9" t="s">
        <v>500</v>
      </c>
      <c r="E368" s="4" t="s">
        <v>52</v>
      </c>
      <c r="F368" s="9" t="s">
        <v>242</v>
      </c>
      <c r="G368" s="9">
        <v>1</v>
      </c>
      <c r="H368" s="6" t="s">
        <v>2663</v>
      </c>
      <c r="I368" s="9" t="s">
        <v>415</v>
      </c>
      <c r="J368" s="9" t="s">
        <v>145</v>
      </c>
    </row>
    <row r="369" spans="1:10">
      <c r="A369" s="5" t="s">
        <v>858</v>
      </c>
      <c r="B369" s="6" t="s">
        <v>2668</v>
      </c>
      <c r="C369" s="7">
        <v>46258</v>
      </c>
      <c r="D369" s="9" t="s">
        <v>500</v>
      </c>
      <c r="E369" s="8" t="s">
        <v>53</v>
      </c>
      <c r="F369" s="9" t="s">
        <v>242</v>
      </c>
      <c r="G369" s="9">
        <v>1</v>
      </c>
      <c r="H369" s="6" t="s">
        <v>2663</v>
      </c>
      <c r="I369" s="9" t="s">
        <v>415</v>
      </c>
      <c r="J369" s="9" t="s">
        <v>145</v>
      </c>
    </row>
    <row r="370" spans="1:10">
      <c r="A370" s="5" t="s">
        <v>860</v>
      </c>
      <c r="B370" s="6" t="s">
        <v>2668</v>
      </c>
      <c r="C370" s="7">
        <v>46258</v>
      </c>
      <c r="D370" s="9" t="s">
        <v>270</v>
      </c>
      <c r="E370" s="8" t="s">
        <v>271</v>
      </c>
      <c r="F370" s="9" t="s">
        <v>242</v>
      </c>
      <c r="G370" s="9">
        <v>5</v>
      </c>
      <c r="H370" s="6" t="s">
        <v>2663</v>
      </c>
      <c r="I370" s="9" t="s">
        <v>415</v>
      </c>
      <c r="J370" s="9" t="s">
        <v>145</v>
      </c>
    </row>
    <row r="371" spans="1:10">
      <c r="A371" s="5" t="s">
        <v>862</v>
      </c>
      <c r="B371" s="6" t="s">
        <v>2669</v>
      </c>
      <c r="C371" s="7">
        <v>46259</v>
      </c>
      <c r="D371" s="9" t="s">
        <v>500</v>
      </c>
      <c r="E371" s="8" t="s">
        <v>54</v>
      </c>
      <c r="F371" s="9" t="s">
        <v>242</v>
      </c>
      <c r="G371" s="9">
        <v>1</v>
      </c>
      <c r="H371" s="6" t="s">
        <v>759</v>
      </c>
      <c r="I371" s="9" t="s">
        <v>258</v>
      </c>
      <c r="J371" s="9" t="s">
        <v>145</v>
      </c>
    </row>
    <row r="372" spans="1:10">
      <c r="A372" s="5" t="s">
        <v>863</v>
      </c>
      <c r="B372" s="6" t="s">
        <v>2669</v>
      </c>
      <c r="C372" s="7">
        <v>46259</v>
      </c>
      <c r="D372" s="9" t="s">
        <v>261</v>
      </c>
      <c r="E372" s="8" t="s">
        <v>62</v>
      </c>
      <c r="F372" s="9" t="s">
        <v>242</v>
      </c>
      <c r="G372" s="9">
        <v>2</v>
      </c>
      <c r="H372" s="6" t="s">
        <v>759</v>
      </c>
      <c r="I372" s="9" t="s">
        <v>258</v>
      </c>
      <c r="J372" s="9" t="s">
        <v>145</v>
      </c>
    </row>
    <row r="373" spans="1:10">
      <c r="A373" s="5" t="s">
        <v>864</v>
      </c>
      <c r="B373" s="6" t="s">
        <v>2670</v>
      </c>
      <c r="C373" s="7">
        <v>46259</v>
      </c>
      <c r="D373" s="9" t="s">
        <v>500</v>
      </c>
      <c r="E373" s="8" t="s">
        <v>46</v>
      </c>
      <c r="F373" s="9" t="s">
        <v>242</v>
      </c>
      <c r="G373" s="9">
        <v>1</v>
      </c>
      <c r="H373" s="6" t="s">
        <v>2671</v>
      </c>
      <c r="I373" s="9" t="s">
        <v>258</v>
      </c>
      <c r="J373" s="9" t="s">
        <v>145</v>
      </c>
    </row>
    <row r="374" spans="1:10">
      <c r="A374" s="5" t="s">
        <v>867</v>
      </c>
      <c r="B374" s="6" t="s">
        <v>2670</v>
      </c>
      <c r="C374" s="7">
        <v>46259</v>
      </c>
      <c r="D374" s="9" t="s">
        <v>261</v>
      </c>
      <c r="E374" s="8" t="s">
        <v>65</v>
      </c>
      <c r="F374" s="9" t="s">
        <v>242</v>
      </c>
      <c r="G374" s="9">
        <v>2</v>
      </c>
      <c r="H374" s="6" t="s">
        <v>2671</v>
      </c>
      <c r="I374" s="9" t="s">
        <v>258</v>
      </c>
      <c r="J374" s="9" t="s">
        <v>145</v>
      </c>
    </row>
    <row r="375" spans="1:10">
      <c r="A375" s="5" t="s">
        <v>868</v>
      </c>
      <c r="B375" s="6" t="s">
        <v>2670</v>
      </c>
      <c r="C375" s="7">
        <v>46259</v>
      </c>
      <c r="D375" s="9" t="s">
        <v>261</v>
      </c>
      <c r="E375" s="8" t="s">
        <v>64</v>
      </c>
      <c r="F375" s="9" t="s">
        <v>242</v>
      </c>
      <c r="G375" s="9">
        <v>3</v>
      </c>
      <c r="H375" s="6" t="s">
        <v>2671</v>
      </c>
      <c r="I375" s="9" t="s">
        <v>258</v>
      </c>
      <c r="J375" s="9" t="s">
        <v>145</v>
      </c>
    </row>
    <row r="376" spans="1:10">
      <c r="A376" s="5" t="s">
        <v>869</v>
      </c>
      <c r="B376" s="6" t="s">
        <v>2670</v>
      </c>
      <c r="C376" s="7">
        <v>46259</v>
      </c>
      <c r="D376" s="9" t="s">
        <v>270</v>
      </c>
      <c r="E376" s="4" t="s">
        <v>271</v>
      </c>
      <c r="F376" s="9" t="s">
        <v>242</v>
      </c>
      <c r="G376" s="9">
        <v>7</v>
      </c>
      <c r="H376" s="6" t="s">
        <v>2671</v>
      </c>
      <c r="I376" s="9" t="s">
        <v>258</v>
      </c>
      <c r="J376" s="9" t="s">
        <v>145</v>
      </c>
    </row>
    <row r="377" spans="1:10">
      <c r="A377" s="5" t="s">
        <v>872</v>
      </c>
      <c r="B377" s="6" t="s">
        <v>2672</v>
      </c>
      <c r="C377" s="7">
        <v>46259</v>
      </c>
      <c r="D377" s="9" t="s">
        <v>500</v>
      </c>
      <c r="E377" s="8" t="s">
        <v>4</v>
      </c>
      <c r="F377" s="9" t="s">
        <v>242</v>
      </c>
      <c r="G377" s="9">
        <v>1</v>
      </c>
      <c r="H377" s="6" t="s">
        <v>2394</v>
      </c>
      <c r="I377" s="9" t="s">
        <v>605</v>
      </c>
      <c r="J377" s="9" t="s">
        <v>145</v>
      </c>
    </row>
    <row r="378" spans="1:10">
      <c r="A378" s="5" t="s">
        <v>874</v>
      </c>
      <c r="B378" s="6" t="s">
        <v>2672</v>
      </c>
      <c r="C378" s="7">
        <v>46259</v>
      </c>
      <c r="D378" s="9" t="s">
        <v>261</v>
      </c>
      <c r="E378" s="8" t="s">
        <v>64</v>
      </c>
      <c r="F378" s="9" t="s">
        <v>242</v>
      </c>
      <c r="G378" s="9">
        <v>3</v>
      </c>
      <c r="H378" s="6" t="s">
        <v>2394</v>
      </c>
      <c r="I378" s="9" t="s">
        <v>605</v>
      </c>
      <c r="J378" s="9" t="s">
        <v>145</v>
      </c>
    </row>
    <row r="379" spans="1:10">
      <c r="A379" s="5" t="s">
        <v>877</v>
      </c>
      <c r="B379" s="6" t="s">
        <v>2672</v>
      </c>
      <c r="C379" s="7">
        <v>46259</v>
      </c>
      <c r="D379" s="9" t="s">
        <v>270</v>
      </c>
      <c r="E379" s="8" t="s">
        <v>271</v>
      </c>
      <c r="F379" s="9" t="s">
        <v>242</v>
      </c>
      <c r="G379" s="9">
        <v>3</v>
      </c>
      <c r="H379" s="6" t="s">
        <v>2394</v>
      </c>
      <c r="I379" s="9" t="s">
        <v>605</v>
      </c>
      <c r="J379" s="9" t="s">
        <v>145</v>
      </c>
    </row>
    <row r="380" spans="1:10">
      <c r="A380" s="5" t="s">
        <v>878</v>
      </c>
      <c r="B380" s="6" t="s">
        <v>2673</v>
      </c>
      <c r="C380" s="7">
        <v>46259</v>
      </c>
      <c r="D380" s="9" t="s">
        <v>500</v>
      </c>
      <c r="E380" s="8" t="s">
        <v>54</v>
      </c>
      <c r="F380" s="9" t="s">
        <v>242</v>
      </c>
      <c r="G380" s="9">
        <v>1</v>
      </c>
      <c r="H380" s="6" t="s">
        <v>759</v>
      </c>
      <c r="I380" s="9" t="s">
        <v>266</v>
      </c>
      <c r="J380" s="9" t="s">
        <v>145</v>
      </c>
    </row>
    <row r="381" spans="1:10">
      <c r="A381" s="5" t="s">
        <v>880</v>
      </c>
      <c r="B381" s="6" t="s">
        <v>2673</v>
      </c>
      <c r="C381" s="7">
        <v>46259</v>
      </c>
      <c r="D381" s="9" t="s">
        <v>261</v>
      </c>
      <c r="E381" s="8" t="s">
        <v>62</v>
      </c>
      <c r="F381" s="9" t="s">
        <v>242</v>
      </c>
      <c r="G381" s="9">
        <v>2</v>
      </c>
      <c r="H381" s="6" t="s">
        <v>759</v>
      </c>
      <c r="I381" s="9" t="s">
        <v>266</v>
      </c>
      <c r="J381" s="9" t="s">
        <v>145</v>
      </c>
    </row>
    <row r="382" spans="1:10">
      <c r="A382" s="5" t="s">
        <v>882</v>
      </c>
      <c r="B382" s="6" t="s">
        <v>2674</v>
      </c>
      <c r="C382" s="7">
        <v>46259</v>
      </c>
      <c r="D382" s="9" t="s">
        <v>500</v>
      </c>
      <c r="E382" s="8" t="s">
        <v>51</v>
      </c>
      <c r="F382" s="9" t="s">
        <v>242</v>
      </c>
      <c r="G382" s="9">
        <v>1</v>
      </c>
      <c r="H382" s="6" t="s">
        <v>693</v>
      </c>
      <c r="I382" s="9" t="s">
        <v>266</v>
      </c>
      <c r="J382" s="9" t="s">
        <v>145</v>
      </c>
    </row>
    <row r="383" spans="1:10">
      <c r="A383" s="5" t="s">
        <v>884</v>
      </c>
      <c r="B383" s="6" t="s">
        <v>2675</v>
      </c>
      <c r="C383" s="7">
        <v>46259</v>
      </c>
      <c r="D383" s="9" t="s">
        <v>500</v>
      </c>
      <c r="E383" s="8" t="s">
        <v>48</v>
      </c>
      <c r="F383" s="9" t="s">
        <v>242</v>
      </c>
      <c r="G383" s="9">
        <v>1</v>
      </c>
      <c r="H383" s="6" t="s">
        <v>688</v>
      </c>
      <c r="I383" s="9" t="s">
        <v>609</v>
      </c>
      <c r="J383" s="9" t="s">
        <v>145</v>
      </c>
    </row>
    <row r="384" spans="1:10">
      <c r="A384" s="5" t="s">
        <v>886</v>
      </c>
      <c r="B384" s="6" t="s">
        <v>2675</v>
      </c>
      <c r="C384" s="7">
        <v>46259</v>
      </c>
      <c r="D384" s="9" t="s">
        <v>261</v>
      </c>
      <c r="E384" s="8" t="s">
        <v>64</v>
      </c>
      <c r="F384" s="9" t="s">
        <v>242</v>
      </c>
      <c r="G384" s="9">
        <v>2</v>
      </c>
      <c r="H384" s="6" t="s">
        <v>688</v>
      </c>
      <c r="I384" s="9" t="s">
        <v>609</v>
      </c>
      <c r="J384" s="9" t="s">
        <v>145</v>
      </c>
    </row>
    <row r="385" spans="1:10">
      <c r="A385" s="5" t="s">
        <v>887</v>
      </c>
      <c r="B385" s="6" t="s">
        <v>2675</v>
      </c>
      <c r="C385" s="7">
        <v>46259</v>
      </c>
      <c r="D385" s="9" t="s">
        <v>270</v>
      </c>
      <c r="E385" s="8" t="s">
        <v>271</v>
      </c>
      <c r="F385" s="9" t="s">
        <v>242</v>
      </c>
      <c r="G385" s="9">
        <v>2</v>
      </c>
      <c r="H385" s="6" t="s">
        <v>688</v>
      </c>
      <c r="I385" s="9" t="s">
        <v>609</v>
      </c>
      <c r="J385" s="9" t="s">
        <v>145</v>
      </c>
    </row>
    <row r="386" spans="1:10">
      <c r="A386" s="5" t="s">
        <v>889</v>
      </c>
      <c r="B386" s="6" t="s">
        <v>2675</v>
      </c>
      <c r="C386" s="7">
        <v>46259</v>
      </c>
      <c r="D386" s="9" t="s">
        <v>503</v>
      </c>
      <c r="E386" s="8" t="s">
        <v>162</v>
      </c>
      <c r="F386" s="9" t="s">
        <v>242</v>
      </c>
      <c r="G386" s="9">
        <v>1</v>
      </c>
      <c r="H386" s="6" t="s">
        <v>688</v>
      </c>
      <c r="I386" s="9" t="s">
        <v>609</v>
      </c>
      <c r="J386" s="9" t="s">
        <v>145</v>
      </c>
    </row>
    <row r="387" spans="1:10">
      <c r="A387" s="5" t="s">
        <v>891</v>
      </c>
      <c r="B387" s="6" t="s">
        <v>2676</v>
      </c>
      <c r="C387" s="7">
        <v>46259</v>
      </c>
      <c r="D387" s="9" t="s">
        <v>714</v>
      </c>
      <c r="E387" s="8" t="s">
        <v>715</v>
      </c>
      <c r="F387" s="9" t="s">
        <v>242</v>
      </c>
      <c r="G387" s="9">
        <v>1</v>
      </c>
      <c r="H387" s="6" t="s">
        <v>2677</v>
      </c>
      <c r="I387" s="9" t="s">
        <v>415</v>
      </c>
      <c r="J387" s="9" t="s">
        <v>145</v>
      </c>
    </row>
    <row r="388" spans="1:10">
      <c r="A388" s="5" t="s">
        <v>893</v>
      </c>
      <c r="B388" s="6" t="s">
        <v>2678</v>
      </c>
      <c r="C388" s="7">
        <v>46260</v>
      </c>
      <c r="D388" s="9" t="s">
        <v>500</v>
      </c>
      <c r="E388" s="8" t="s">
        <v>4</v>
      </c>
      <c r="F388" s="9" t="s">
        <v>242</v>
      </c>
      <c r="G388" s="9">
        <v>1</v>
      </c>
      <c r="H388" s="6" t="s">
        <v>866</v>
      </c>
      <c r="I388" s="9" t="s">
        <v>363</v>
      </c>
      <c r="J388" s="9" t="s">
        <v>145</v>
      </c>
    </row>
    <row r="389" spans="1:10">
      <c r="A389" s="5" t="s">
        <v>895</v>
      </c>
      <c r="B389" s="6" t="s">
        <v>2678</v>
      </c>
      <c r="C389" s="7">
        <v>46260</v>
      </c>
      <c r="D389" s="9" t="s">
        <v>261</v>
      </c>
      <c r="E389" s="4" t="s">
        <v>65</v>
      </c>
      <c r="F389" s="9" t="s">
        <v>242</v>
      </c>
      <c r="G389" s="9">
        <v>1</v>
      </c>
      <c r="H389" s="6" t="s">
        <v>866</v>
      </c>
      <c r="I389" s="9" t="s">
        <v>363</v>
      </c>
      <c r="J389" s="9" t="s">
        <v>145</v>
      </c>
    </row>
    <row r="390" spans="1:10">
      <c r="A390" s="5" t="s">
        <v>897</v>
      </c>
      <c r="B390" s="6" t="s">
        <v>2678</v>
      </c>
      <c r="C390" s="7">
        <v>46260</v>
      </c>
      <c r="D390" s="9" t="s">
        <v>270</v>
      </c>
      <c r="E390" s="8" t="s">
        <v>271</v>
      </c>
      <c r="F390" s="9" t="s">
        <v>242</v>
      </c>
      <c r="G390" s="9">
        <v>5</v>
      </c>
      <c r="H390" s="6" t="s">
        <v>866</v>
      </c>
      <c r="I390" s="9" t="s">
        <v>363</v>
      </c>
      <c r="J390" s="9" t="s">
        <v>145</v>
      </c>
    </row>
    <row r="391" spans="1:10">
      <c r="A391" s="5" t="s">
        <v>899</v>
      </c>
      <c r="B391" s="6" t="s">
        <v>2679</v>
      </c>
      <c r="C391" s="7">
        <v>46260</v>
      </c>
      <c r="D391" s="9" t="s">
        <v>500</v>
      </c>
      <c r="E391" s="8" t="s">
        <v>54</v>
      </c>
      <c r="F391" s="9" t="s">
        <v>242</v>
      </c>
      <c r="G391" s="9">
        <v>1</v>
      </c>
      <c r="H391" s="6" t="s">
        <v>1282</v>
      </c>
      <c r="I391" s="9" t="s">
        <v>616</v>
      </c>
      <c r="J391" s="9" t="s">
        <v>145</v>
      </c>
    </row>
    <row r="392" spans="1:10">
      <c r="A392" s="5" t="s">
        <v>900</v>
      </c>
      <c r="B392" s="6" t="s">
        <v>2679</v>
      </c>
      <c r="C392" s="7">
        <v>46260</v>
      </c>
      <c r="D392" s="9" t="s">
        <v>261</v>
      </c>
      <c r="E392" s="8" t="s">
        <v>62</v>
      </c>
      <c r="F392" s="9" t="s">
        <v>242</v>
      </c>
      <c r="G392" s="9">
        <v>2</v>
      </c>
      <c r="H392" s="6" t="s">
        <v>1282</v>
      </c>
      <c r="I392" s="9" t="s">
        <v>616</v>
      </c>
      <c r="J392" s="9" t="s">
        <v>145</v>
      </c>
    </row>
    <row r="393" spans="1:10">
      <c r="A393" s="5" t="s">
        <v>901</v>
      </c>
      <c r="B393" s="6" t="s">
        <v>2680</v>
      </c>
      <c r="C393" s="7">
        <v>46260</v>
      </c>
      <c r="D393" s="9" t="s">
        <v>270</v>
      </c>
      <c r="E393" s="8" t="s">
        <v>271</v>
      </c>
      <c r="F393" s="9" t="s">
        <v>242</v>
      </c>
      <c r="G393" s="9">
        <v>3</v>
      </c>
      <c r="H393" s="6" t="s">
        <v>1225</v>
      </c>
      <c r="I393" s="9" t="s">
        <v>514</v>
      </c>
      <c r="J393" s="9" t="s">
        <v>145</v>
      </c>
    </row>
    <row r="394" spans="1:10">
      <c r="A394" s="5" t="s">
        <v>903</v>
      </c>
      <c r="B394" s="6" t="s">
        <v>2681</v>
      </c>
      <c r="C394" s="7">
        <v>46260</v>
      </c>
      <c r="D394" s="9" t="s">
        <v>500</v>
      </c>
      <c r="E394" s="8" t="s">
        <v>52</v>
      </c>
      <c r="F394" s="9" t="s">
        <v>242</v>
      </c>
      <c r="G394" s="9">
        <v>1</v>
      </c>
      <c r="H394" s="6" t="s">
        <v>2175</v>
      </c>
      <c r="I394" s="9" t="s">
        <v>1546</v>
      </c>
      <c r="J394" s="9" t="s">
        <v>145</v>
      </c>
    </row>
    <row r="395" spans="1:10">
      <c r="A395" s="5" t="s">
        <v>907</v>
      </c>
      <c r="B395" s="6" t="s">
        <v>2681</v>
      </c>
      <c r="C395" s="7">
        <v>46260</v>
      </c>
      <c r="D395" s="9" t="s">
        <v>500</v>
      </c>
      <c r="E395" s="8" t="s">
        <v>53</v>
      </c>
      <c r="F395" s="9" t="s">
        <v>242</v>
      </c>
      <c r="G395" s="9">
        <v>1</v>
      </c>
      <c r="H395" s="6" t="s">
        <v>2175</v>
      </c>
      <c r="I395" s="9" t="s">
        <v>1546</v>
      </c>
      <c r="J395" s="9" t="s">
        <v>145</v>
      </c>
    </row>
    <row r="396" spans="1:10">
      <c r="A396" s="5" t="s">
        <v>1530</v>
      </c>
      <c r="B396" s="6" t="s">
        <v>2681</v>
      </c>
      <c r="C396" s="7">
        <v>46260</v>
      </c>
      <c r="D396" s="9" t="s">
        <v>261</v>
      </c>
      <c r="E396" s="8" t="s">
        <v>62</v>
      </c>
      <c r="F396" s="9" t="s">
        <v>242</v>
      </c>
      <c r="G396" s="9">
        <v>3</v>
      </c>
      <c r="H396" s="6" t="s">
        <v>2175</v>
      </c>
      <c r="I396" s="9" t="s">
        <v>1546</v>
      </c>
      <c r="J396" s="9" t="s">
        <v>145</v>
      </c>
    </row>
    <row r="397" spans="1:10">
      <c r="A397" s="5" t="s">
        <v>1532</v>
      </c>
      <c r="B397" s="6" t="s">
        <v>2681</v>
      </c>
      <c r="C397" s="7">
        <v>46260</v>
      </c>
      <c r="D397" s="9" t="s">
        <v>261</v>
      </c>
      <c r="E397" s="8" t="s">
        <v>281</v>
      </c>
      <c r="F397" s="9" t="s">
        <v>242</v>
      </c>
      <c r="G397" s="9">
        <v>10</v>
      </c>
      <c r="H397" s="6" t="s">
        <v>2175</v>
      </c>
      <c r="I397" s="9" t="s">
        <v>1546</v>
      </c>
      <c r="J397" s="9" t="s">
        <v>145</v>
      </c>
    </row>
    <row r="398" spans="1:10">
      <c r="A398" s="5" t="s">
        <v>1533</v>
      </c>
      <c r="B398" s="6" t="s">
        <v>2682</v>
      </c>
      <c r="C398" s="7">
        <v>46261</v>
      </c>
      <c r="D398" s="9" t="s">
        <v>500</v>
      </c>
      <c r="E398" s="8" t="s">
        <v>48</v>
      </c>
      <c r="F398" s="9" t="s">
        <v>242</v>
      </c>
      <c r="G398" s="9">
        <v>1</v>
      </c>
      <c r="H398" s="6" t="s">
        <v>2683</v>
      </c>
      <c r="I398" s="9" t="s">
        <v>258</v>
      </c>
      <c r="J398" s="9" t="s">
        <v>145</v>
      </c>
    </row>
    <row r="399" spans="1:10">
      <c r="A399" s="5" t="s">
        <v>1534</v>
      </c>
      <c r="B399" s="6" t="s">
        <v>2682</v>
      </c>
      <c r="C399" s="7">
        <v>46261</v>
      </c>
      <c r="D399" s="9" t="s">
        <v>500</v>
      </c>
      <c r="E399" s="8" t="s">
        <v>46</v>
      </c>
      <c r="F399" s="9" t="s">
        <v>242</v>
      </c>
      <c r="G399" s="9">
        <v>1</v>
      </c>
      <c r="H399" s="6" t="s">
        <v>2683</v>
      </c>
      <c r="I399" s="9" t="s">
        <v>258</v>
      </c>
      <c r="J399" s="9" t="s">
        <v>145</v>
      </c>
    </row>
    <row r="400" spans="1:10">
      <c r="A400" s="5" t="s">
        <v>1537</v>
      </c>
      <c r="B400" s="6" t="s">
        <v>2682</v>
      </c>
      <c r="C400" s="7">
        <v>46261</v>
      </c>
      <c r="D400" s="9" t="s">
        <v>270</v>
      </c>
      <c r="E400" s="8" t="s">
        <v>271</v>
      </c>
      <c r="F400" s="9" t="s">
        <v>242</v>
      </c>
      <c r="G400" s="9">
        <v>4</v>
      </c>
      <c r="H400" s="6" t="s">
        <v>2683</v>
      </c>
      <c r="I400" s="9" t="s">
        <v>258</v>
      </c>
      <c r="J400" s="9" t="s">
        <v>145</v>
      </c>
    </row>
    <row r="401" spans="1:10">
      <c r="A401" s="5" t="s">
        <v>1720</v>
      </c>
      <c r="B401" s="6" t="s">
        <v>2682</v>
      </c>
      <c r="C401" s="7">
        <v>46261</v>
      </c>
      <c r="D401" s="9" t="s">
        <v>270</v>
      </c>
      <c r="E401" s="8" t="s">
        <v>68</v>
      </c>
      <c r="F401" s="9" t="s">
        <v>242</v>
      </c>
      <c r="G401" s="9">
        <v>3</v>
      </c>
      <c r="H401" s="6" t="s">
        <v>2683</v>
      </c>
      <c r="I401" s="9" t="s">
        <v>258</v>
      </c>
      <c r="J401" s="9" t="s">
        <v>145</v>
      </c>
    </row>
    <row r="402" spans="1:10">
      <c r="A402" s="5" t="s">
        <v>1721</v>
      </c>
      <c r="B402" s="6" t="s">
        <v>2684</v>
      </c>
      <c r="C402" s="7">
        <v>46261</v>
      </c>
      <c r="D402" s="9" t="s">
        <v>261</v>
      </c>
      <c r="E402" s="8" t="s">
        <v>65</v>
      </c>
      <c r="F402" s="9" t="s">
        <v>242</v>
      </c>
      <c r="G402" s="9">
        <v>2</v>
      </c>
      <c r="H402" s="6" t="s">
        <v>1664</v>
      </c>
      <c r="I402" s="9" t="s">
        <v>258</v>
      </c>
      <c r="J402" s="9" t="s">
        <v>145</v>
      </c>
    </row>
    <row r="403" spans="1:10">
      <c r="A403" s="5" t="s">
        <v>1722</v>
      </c>
      <c r="B403" s="6" t="s">
        <v>2684</v>
      </c>
      <c r="C403" s="7">
        <v>46261</v>
      </c>
      <c r="D403" s="9" t="s">
        <v>270</v>
      </c>
      <c r="E403" s="8" t="s">
        <v>271</v>
      </c>
      <c r="F403" s="9" t="s">
        <v>242</v>
      </c>
      <c r="G403" s="9">
        <v>2</v>
      </c>
      <c r="H403" s="6" t="s">
        <v>1664</v>
      </c>
      <c r="I403" s="9" t="s">
        <v>258</v>
      </c>
      <c r="J403" s="9" t="s">
        <v>145</v>
      </c>
    </row>
    <row r="404" spans="1:10">
      <c r="A404" s="5" t="s">
        <v>1724</v>
      </c>
      <c r="B404" s="6" t="s">
        <v>2685</v>
      </c>
      <c r="C404" s="7">
        <v>46261</v>
      </c>
      <c r="D404" s="9" t="s">
        <v>500</v>
      </c>
      <c r="E404" s="8" t="s">
        <v>54</v>
      </c>
      <c r="F404" s="9" t="s">
        <v>242</v>
      </c>
      <c r="G404" s="9">
        <v>1</v>
      </c>
      <c r="H404" s="6" t="s">
        <v>2686</v>
      </c>
      <c r="I404" s="9" t="s">
        <v>258</v>
      </c>
      <c r="J404" s="9" t="s">
        <v>145</v>
      </c>
    </row>
    <row r="405" spans="1:10">
      <c r="A405" s="5" t="s">
        <v>1726</v>
      </c>
      <c r="B405" s="6" t="s">
        <v>2685</v>
      </c>
      <c r="C405" s="7">
        <v>46261</v>
      </c>
      <c r="D405" s="9" t="s">
        <v>261</v>
      </c>
      <c r="E405" s="4" t="s">
        <v>62</v>
      </c>
      <c r="F405" s="9" t="s">
        <v>242</v>
      </c>
      <c r="G405" s="9">
        <v>3</v>
      </c>
      <c r="H405" s="6" t="s">
        <v>2686</v>
      </c>
      <c r="I405" s="9" t="s">
        <v>258</v>
      </c>
      <c r="J405" s="9" t="s">
        <v>145</v>
      </c>
    </row>
    <row r="406" spans="1:10">
      <c r="A406" s="5" t="s">
        <v>1727</v>
      </c>
      <c r="B406" s="6" t="s">
        <v>2687</v>
      </c>
      <c r="C406" s="7">
        <v>46261</v>
      </c>
      <c r="D406" s="9" t="s">
        <v>261</v>
      </c>
      <c r="E406" s="8" t="s">
        <v>62</v>
      </c>
      <c r="F406" s="9" t="s">
        <v>242</v>
      </c>
      <c r="G406" s="9">
        <v>4</v>
      </c>
      <c r="H406" s="6" t="s">
        <v>2688</v>
      </c>
      <c r="I406" s="9" t="s">
        <v>258</v>
      </c>
      <c r="J406" s="9" t="s">
        <v>145</v>
      </c>
    </row>
    <row r="407" spans="1:10">
      <c r="A407" s="5" t="s">
        <v>1728</v>
      </c>
      <c r="B407" s="6" t="s">
        <v>2689</v>
      </c>
      <c r="C407" s="7">
        <v>46261</v>
      </c>
      <c r="D407" s="9" t="s">
        <v>261</v>
      </c>
      <c r="E407" s="8" t="s">
        <v>2219</v>
      </c>
      <c r="F407" s="9" t="s">
        <v>242</v>
      </c>
      <c r="G407" s="9">
        <v>70</v>
      </c>
      <c r="H407" s="6" t="s">
        <v>2690</v>
      </c>
      <c r="I407" s="9" t="s">
        <v>311</v>
      </c>
      <c r="J407" s="9" t="s">
        <v>145</v>
      </c>
    </row>
    <row r="408" spans="1:10">
      <c r="A408" s="5" t="s">
        <v>1730</v>
      </c>
      <c r="B408" s="6" t="s">
        <v>2691</v>
      </c>
      <c r="C408" s="7">
        <v>46261</v>
      </c>
      <c r="D408" s="9" t="s">
        <v>261</v>
      </c>
      <c r="E408" s="4" t="s">
        <v>2219</v>
      </c>
      <c r="F408" s="9" t="s">
        <v>242</v>
      </c>
      <c r="G408" s="9">
        <v>60</v>
      </c>
      <c r="H408" s="6" t="s">
        <v>2690</v>
      </c>
      <c r="I408" s="9" t="s">
        <v>830</v>
      </c>
      <c r="J408" s="9" t="s">
        <v>145</v>
      </c>
    </row>
    <row r="409" spans="1:10">
      <c r="A409" s="5" t="s">
        <v>1731</v>
      </c>
      <c r="B409" s="6" t="s">
        <v>2689</v>
      </c>
      <c r="C409" s="7">
        <v>46261</v>
      </c>
      <c r="D409" s="9" t="s">
        <v>905</v>
      </c>
      <c r="E409" s="8" t="s">
        <v>207</v>
      </c>
      <c r="F409" s="9" t="s">
        <v>242</v>
      </c>
      <c r="G409" s="9">
        <v>15</v>
      </c>
      <c r="H409" s="6" t="s">
        <v>1316</v>
      </c>
      <c r="I409" s="9" t="s">
        <v>311</v>
      </c>
      <c r="J409" s="9" t="s">
        <v>145</v>
      </c>
    </row>
    <row r="410" spans="1:10">
      <c r="A410" s="5" t="s">
        <v>1733</v>
      </c>
      <c r="B410" s="6" t="s">
        <v>2689</v>
      </c>
      <c r="C410" s="7">
        <v>46261</v>
      </c>
      <c r="D410" s="9" t="s">
        <v>905</v>
      </c>
      <c r="E410" s="8" t="s">
        <v>208</v>
      </c>
      <c r="F410" s="9" t="s">
        <v>242</v>
      </c>
      <c r="G410" s="9">
        <v>12</v>
      </c>
      <c r="H410" s="6" t="s">
        <v>1316</v>
      </c>
      <c r="I410" s="9" t="s">
        <v>827</v>
      </c>
      <c r="J410" s="9" t="s">
        <v>145</v>
      </c>
    </row>
    <row r="411" spans="1:10">
      <c r="A411" s="5" t="s">
        <v>1735</v>
      </c>
      <c r="B411" s="6" t="s">
        <v>2691</v>
      </c>
      <c r="C411" s="7">
        <v>46261</v>
      </c>
      <c r="D411" s="9" t="s">
        <v>905</v>
      </c>
      <c r="E411" s="4" t="s">
        <v>216</v>
      </c>
      <c r="F411" s="9" t="s">
        <v>242</v>
      </c>
      <c r="G411" s="9">
        <v>10</v>
      </c>
      <c r="H411" s="6" t="s">
        <v>1316</v>
      </c>
      <c r="I411" s="9" t="s">
        <v>918</v>
      </c>
      <c r="J411" s="9" t="s">
        <v>145</v>
      </c>
    </row>
    <row r="412" spans="1:10">
      <c r="A412" s="5" t="s">
        <v>1736</v>
      </c>
      <c r="B412" s="6" t="s">
        <v>2692</v>
      </c>
      <c r="C412" s="7">
        <v>46261</v>
      </c>
      <c r="D412" s="9" t="s">
        <v>1322</v>
      </c>
      <c r="E412" s="8" t="s">
        <v>1323</v>
      </c>
      <c r="F412" s="9" t="s">
        <v>242</v>
      </c>
      <c r="G412" s="9">
        <v>3</v>
      </c>
      <c r="H412" s="6" t="s">
        <v>2693</v>
      </c>
      <c r="I412" s="9" t="s">
        <v>918</v>
      </c>
      <c r="J412" s="9" t="s">
        <v>145</v>
      </c>
    </row>
    <row r="413" spans="1:10">
      <c r="A413" s="5" t="s">
        <v>1738</v>
      </c>
      <c r="B413" s="6" t="s">
        <v>2694</v>
      </c>
      <c r="C413" s="7">
        <v>46261</v>
      </c>
      <c r="D413" s="9" t="s">
        <v>1322</v>
      </c>
      <c r="E413" s="8" t="s">
        <v>1323</v>
      </c>
      <c r="F413" s="9" t="s">
        <v>242</v>
      </c>
      <c r="G413" s="9">
        <v>1</v>
      </c>
      <c r="H413" s="6" t="s">
        <v>2693</v>
      </c>
      <c r="I413" s="9" t="s">
        <v>609</v>
      </c>
      <c r="J413" s="9" t="s">
        <v>145</v>
      </c>
    </row>
    <row r="414" spans="1:10">
      <c r="A414" s="5" t="s">
        <v>1740</v>
      </c>
      <c r="B414" s="6" t="s">
        <v>2695</v>
      </c>
      <c r="C414" s="7">
        <v>46261</v>
      </c>
      <c r="D414" s="9" t="s">
        <v>1322</v>
      </c>
      <c r="E414" s="8" t="s">
        <v>1323</v>
      </c>
      <c r="F414" s="9" t="s">
        <v>242</v>
      </c>
      <c r="G414" s="9">
        <v>2</v>
      </c>
      <c r="H414" s="6" t="s">
        <v>2693</v>
      </c>
      <c r="I414" s="9" t="s">
        <v>258</v>
      </c>
      <c r="J414" s="9" t="s">
        <v>145</v>
      </c>
    </row>
  </sheetData>
  <autoFilter ref="A6:M414" xr:uid="{B7411325-D959-40C5-9F01-09913600F1C6}"/>
  <mergeCells count="2">
    <mergeCell ref="A2:J2"/>
    <mergeCell ref="A3:B3"/>
  </mergeCells>
  <phoneticPr fontId="5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1290D-BB57-45B4-A12A-31E79018BE17}">
  <dimension ref="A2:M529"/>
  <sheetViews>
    <sheetView workbookViewId="0">
      <selection sqref="A1:A1048576"/>
    </sheetView>
  </sheetViews>
  <sheetFormatPr defaultColWidth="9.81640625" defaultRowHeight="17"/>
  <cols>
    <col min="1" max="1" width="7.81640625" style="10" customWidth="1"/>
    <col min="2" max="2" width="35.81640625" style="3" bestFit="1" customWidth="1"/>
    <col min="3" max="3" width="16.453125" style="10" customWidth="1"/>
    <col min="4" max="4" width="20.1796875" style="10" customWidth="1"/>
    <col min="5" max="5" width="27.453125" style="11" customWidth="1"/>
    <col min="6" max="7" width="10.54296875" style="10" customWidth="1"/>
    <col min="8" max="8" width="52.1796875" style="3" customWidth="1"/>
    <col min="9" max="9" width="8.7265625" style="10" customWidth="1"/>
    <col min="10" max="10" width="20" style="10" hidden="1" customWidth="1"/>
    <col min="11" max="16384" width="9.81640625" style="3"/>
  </cols>
  <sheetData>
    <row r="2" spans="1:13" s="31" customFormat="1" ht="35.15" customHeight="1">
      <c r="A2" s="96"/>
      <c r="B2" s="96"/>
      <c r="C2" s="96"/>
      <c r="D2" s="96"/>
      <c r="E2" s="96"/>
      <c r="F2" s="96"/>
      <c r="G2" s="96"/>
      <c r="H2" s="96"/>
      <c r="I2" s="96"/>
      <c r="J2" s="96"/>
      <c r="K2" s="30"/>
      <c r="L2" s="30"/>
      <c r="M2" s="30"/>
    </row>
    <row r="3" spans="1:13" s="31" customFormat="1" ht="23.15" customHeight="1">
      <c r="A3" s="97" t="s">
        <v>234</v>
      </c>
      <c r="B3" s="97"/>
      <c r="C3" s="32"/>
      <c r="D3" s="33"/>
      <c r="E3" s="32"/>
      <c r="F3" s="32"/>
      <c r="G3" s="32"/>
      <c r="H3" s="32"/>
      <c r="I3" s="32"/>
      <c r="J3" s="32"/>
      <c r="K3" s="32"/>
      <c r="L3" s="32"/>
      <c r="M3" s="34"/>
    </row>
    <row r="4" spans="1:13" ht="5.15" customHeight="1"/>
    <row r="5" spans="1:13">
      <c r="G5" s="10">
        <f>SUBTOTAL(3,G7:G947)</f>
        <v>0</v>
      </c>
    </row>
    <row r="6" spans="1:13" ht="25.5" customHeight="1">
      <c r="A6" s="1" t="s">
        <v>102</v>
      </c>
      <c r="B6" s="2" t="s">
        <v>103</v>
      </c>
      <c r="C6" s="1" t="s">
        <v>104</v>
      </c>
      <c r="D6" s="1" t="s">
        <v>105</v>
      </c>
      <c r="E6" s="2" t="s">
        <v>106</v>
      </c>
      <c r="F6" s="1" t="s">
        <v>107</v>
      </c>
      <c r="G6" s="1" t="s">
        <v>6</v>
      </c>
      <c r="H6" s="1" t="s">
        <v>108</v>
      </c>
      <c r="I6" s="1" t="s">
        <v>109</v>
      </c>
      <c r="J6" s="1" t="s">
        <v>110</v>
      </c>
    </row>
    <row r="7" spans="1:13">
      <c r="A7" s="5"/>
      <c r="B7" s="6"/>
      <c r="C7" s="7"/>
      <c r="D7" s="9"/>
      <c r="E7" s="8"/>
      <c r="F7" s="9"/>
      <c r="G7" s="9"/>
      <c r="H7" s="6"/>
      <c r="I7" s="9"/>
      <c r="J7" s="9" t="s">
        <v>145</v>
      </c>
    </row>
    <row r="8" spans="1:13">
      <c r="A8" s="5"/>
      <c r="B8" s="6"/>
      <c r="C8" s="7"/>
      <c r="D8" s="9"/>
      <c r="E8" s="4"/>
      <c r="F8" s="9"/>
      <c r="G8" s="9"/>
      <c r="H8" s="6"/>
      <c r="I8" s="9"/>
      <c r="J8" s="9" t="s">
        <v>145</v>
      </c>
    </row>
    <row r="9" spans="1:13">
      <c r="A9" s="5"/>
      <c r="B9" s="6"/>
      <c r="C9" s="7"/>
      <c r="D9" s="9"/>
      <c r="E9" s="8"/>
      <c r="F9" s="9"/>
      <c r="G9" s="9"/>
      <c r="H9" s="6"/>
      <c r="I9" s="9"/>
      <c r="J9" s="9" t="s">
        <v>145</v>
      </c>
    </row>
    <row r="10" spans="1:13">
      <c r="A10" s="5"/>
      <c r="B10" s="6"/>
      <c r="C10" s="7"/>
      <c r="D10" s="9"/>
      <c r="E10" s="4"/>
      <c r="F10" s="9"/>
      <c r="G10" s="9"/>
      <c r="H10" s="6"/>
      <c r="I10" s="9"/>
      <c r="J10" s="9" t="s">
        <v>145</v>
      </c>
    </row>
    <row r="11" spans="1:13">
      <c r="A11" s="5"/>
      <c r="B11" s="6"/>
      <c r="C11" s="7"/>
      <c r="D11" s="9"/>
      <c r="E11" s="8"/>
      <c r="F11" s="9"/>
      <c r="G11" s="9"/>
      <c r="H11" s="6"/>
      <c r="I11" s="9"/>
      <c r="J11" s="9" t="s">
        <v>145</v>
      </c>
    </row>
    <row r="12" spans="1:13">
      <c r="A12" s="5"/>
      <c r="B12" s="6"/>
      <c r="C12" s="7"/>
      <c r="D12" s="9"/>
      <c r="E12" s="8"/>
      <c r="F12" s="9"/>
      <c r="G12" s="9"/>
      <c r="H12" s="6"/>
      <c r="I12" s="9"/>
      <c r="J12" s="9" t="s">
        <v>145</v>
      </c>
    </row>
    <row r="13" spans="1:13">
      <c r="A13" s="5"/>
      <c r="B13" s="6"/>
      <c r="C13" s="7"/>
      <c r="D13" s="9"/>
      <c r="E13" s="8"/>
      <c r="F13" s="9"/>
      <c r="G13" s="9"/>
      <c r="H13" s="6"/>
      <c r="I13" s="9"/>
      <c r="J13" s="9" t="s">
        <v>145</v>
      </c>
    </row>
    <row r="14" spans="1:13">
      <c r="A14" s="5"/>
      <c r="B14" s="6"/>
      <c r="C14" s="7"/>
      <c r="D14" s="9"/>
      <c r="E14" s="8"/>
      <c r="F14" s="9"/>
      <c r="G14" s="9"/>
      <c r="H14" s="6"/>
      <c r="I14" s="9"/>
      <c r="J14" s="9" t="s">
        <v>145</v>
      </c>
    </row>
    <row r="15" spans="1:13">
      <c r="A15" s="5"/>
      <c r="B15" s="6"/>
      <c r="C15" s="7"/>
      <c r="D15" s="9"/>
      <c r="E15" s="8"/>
      <c r="F15" s="9"/>
      <c r="G15" s="9"/>
      <c r="H15" s="6"/>
      <c r="I15" s="9"/>
      <c r="J15" s="9" t="s">
        <v>145</v>
      </c>
    </row>
    <row r="16" spans="1:13">
      <c r="A16" s="5"/>
      <c r="B16" s="6"/>
      <c r="C16" s="7"/>
      <c r="D16" s="9"/>
      <c r="E16" s="8"/>
      <c r="F16" s="9"/>
      <c r="G16" s="9"/>
      <c r="H16" s="6"/>
      <c r="I16" s="9"/>
      <c r="J16" s="9" t="s">
        <v>145</v>
      </c>
    </row>
    <row r="17" spans="1:10">
      <c r="A17" s="5"/>
      <c r="B17" s="6"/>
      <c r="C17" s="7"/>
      <c r="D17" s="9"/>
      <c r="E17" s="8"/>
      <c r="F17" s="9"/>
      <c r="G17" s="9"/>
      <c r="H17" s="6"/>
      <c r="I17" s="9"/>
      <c r="J17" s="9" t="s">
        <v>145</v>
      </c>
    </row>
    <row r="18" spans="1:10">
      <c r="A18" s="5"/>
      <c r="B18" s="6"/>
      <c r="C18" s="7"/>
      <c r="D18" s="9"/>
      <c r="E18" s="8"/>
      <c r="F18" s="9"/>
      <c r="G18" s="9"/>
      <c r="H18" s="6"/>
      <c r="I18" s="9"/>
      <c r="J18" s="9" t="s">
        <v>145</v>
      </c>
    </row>
    <row r="19" spans="1:10">
      <c r="A19" s="5"/>
      <c r="B19" s="6"/>
      <c r="C19" s="7"/>
      <c r="D19" s="9"/>
      <c r="E19" s="8"/>
      <c r="F19" s="9"/>
      <c r="G19" s="9"/>
      <c r="H19" s="6"/>
      <c r="I19" s="9"/>
      <c r="J19" s="9" t="s">
        <v>145</v>
      </c>
    </row>
    <row r="20" spans="1:10">
      <c r="A20" s="5"/>
      <c r="B20" s="6"/>
      <c r="C20" s="7"/>
      <c r="D20" s="9"/>
      <c r="E20" s="4"/>
      <c r="F20" s="9"/>
      <c r="G20" s="9"/>
      <c r="H20" s="6"/>
      <c r="I20" s="9"/>
      <c r="J20" s="9" t="s">
        <v>145</v>
      </c>
    </row>
    <row r="21" spans="1:10">
      <c r="A21" s="5"/>
      <c r="B21" s="6"/>
      <c r="C21" s="7"/>
      <c r="D21" s="9"/>
      <c r="E21" s="8"/>
      <c r="F21" s="9"/>
      <c r="G21" s="9"/>
      <c r="H21" s="6"/>
      <c r="I21" s="9"/>
      <c r="J21" s="9" t="s">
        <v>145</v>
      </c>
    </row>
    <row r="22" spans="1:10">
      <c r="A22" s="5"/>
      <c r="B22" s="6"/>
      <c r="C22" s="7"/>
      <c r="D22" s="9"/>
      <c r="E22" s="8"/>
      <c r="F22" s="9"/>
      <c r="G22" s="9"/>
      <c r="H22" s="6"/>
      <c r="I22" s="9"/>
      <c r="J22" s="9" t="s">
        <v>145</v>
      </c>
    </row>
    <row r="23" spans="1:10">
      <c r="A23" s="5"/>
      <c r="B23" s="6"/>
      <c r="C23" s="7"/>
      <c r="D23" s="9"/>
      <c r="E23" s="8"/>
      <c r="F23" s="9"/>
      <c r="G23" s="9"/>
      <c r="H23" s="6"/>
      <c r="I23" s="9"/>
      <c r="J23" s="9" t="s">
        <v>145</v>
      </c>
    </row>
    <row r="24" spans="1:10">
      <c r="A24" s="5"/>
      <c r="B24" s="6"/>
      <c r="C24" s="7"/>
      <c r="D24" s="9"/>
      <c r="E24" s="8"/>
      <c r="F24" s="9"/>
      <c r="G24" s="9"/>
      <c r="H24" s="6"/>
      <c r="I24" s="9"/>
      <c r="J24" s="9" t="s">
        <v>145</v>
      </c>
    </row>
    <row r="25" spans="1:10">
      <c r="A25" s="5"/>
      <c r="B25" s="6"/>
      <c r="C25" s="7"/>
      <c r="D25" s="9"/>
      <c r="E25" s="8"/>
      <c r="F25" s="9"/>
      <c r="G25" s="9"/>
      <c r="H25" s="6"/>
      <c r="I25" s="9"/>
      <c r="J25" s="9" t="s">
        <v>145</v>
      </c>
    </row>
    <row r="26" spans="1:10">
      <c r="A26" s="5"/>
      <c r="B26" s="6"/>
      <c r="C26" s="7"/>
      <c r="D26" s="9"/>
      <c r="E26" s="4"/>
      <c r="F26" s="9"/>
      <c r="G26" s="9"/>
      <c r="H26" s="6"/>
      <c r="I26" s="9"/>
      <c r="J26" s="9" t="s">
        <v>145</v>
      </c>
    </row>
    <row r="27" spans="1:10">
      <c r="A27" s="5"/>
      <c r="B27" s="6"/>
      <c r="C27" s="7"/>
      <c r="D27" s="9"/>
      <c r="E27" s="8"/>
      <c r="F27" s="9"/>
      <c r="G27" s="9"/>
      <c r="H27" s="6"/>
      <c r="I27" s="9"/>
      <c r="J27" s="9" t="s">
        <v>145</v>
      </c>
    </row>
    <row r="28" spans="1:10">
      <c r="A28" s="5"/>
      <c r="B28" s="6"/>
      <c r="C28" s="7"/>
      <c r="D28" s="9"/>
      <c r="E28" s="8"/>
      <c r="F28" s="9"/>
      <c r="G28" s="9"/>
      <c r="H28" s="6"/>
      <c r="I28" s="9"/>
      <c r="J28" s="9" t="s">
        <v>145</v>
      </c>
    </row>
    <row r="29" spans="1:10">
      <c r="A29" s="5"/>
      <c r="B29" s="6"/>
      <c r="C29" s="7"/>
      <c r="D29" s="9"/>
      <c r="E29" s="8"/>
      <c r="F29" s="9"/>
      <c r="G29" s="9"/>
      <c r="H29" s="6"/>
      <c r="I29" s="9"/>
      <c r="J29" s="9" t="s">
        <v>145</v>
      </c>
    </row>
    <row r="30" spans="1:10">
      <c r="A30" s="5"/>
      <c r="B30" s="6"/>
      <c r="C30" s="7"/>
      <c r="D30" s="9"/>
      <c r="E30" s="4"/>
      <c r="F30" s="9"/>
      <c r="G30" s="9"/>
      <c r="H30" s="6"/>
      <c r="I30" s="9"/>
      <c r="J30" s="9" t="s">
        <v>145</v>
      </c>
    </row>
    <row r="31" spans="1:10">
      <c r="A31" s="5"/>
      <c r="B31" s="6"/>
      <c r="C31" s="7"/>
      <c r="D31" s="9"/>
      <c r="E31" s="8"/>
      <c r="F31" s="9"/>
      <c r="G31" s="9"/>
      <c r="H31" s="6"/>
      <c r="I31" s="9"/>
      <c r="J31" s="9" t="s">
        <v>145</v>
      </c>
    </row>
    <row r="32" spans="1:10">
      <c r="A32" s="5"/>
      <c r="B32" s="6"/>
      <c r="C32" s="7"/>
      <c r="D32" s="9"/>
      <c r="E32" s="8"/>
      <c r="F32" s="9"/>
      <c r="G32" s="9"/>
      <c r="H32" s="6"/>
      <c r="I32" s="9"/>
      <c r="J32" s="9" t="s">
        <v>145</v>
      </c>
    </row>
    <row r="33" spans="1:10">
      <c r="A33" s="5"/>
      <c r="B33" s="6"/>
      <c r="C33" s="7"/>
      <c r="D33" s="9"/>
      <c r="E33" s="8"/>
      <c r="F33" s="9"/>
      <c r="G33" s="9"/>
      <c r="H33" s="6"/>
      <c r="I33" s="9"/>
      <c r="J33" s="9" t="s">
        <v>145</v>
      </c>
    </row>
    <row r="34" spans="1:10">
      <c r="A34" s="5"/>
      <c r="B34" s="6"/>
      <c r="C34" s="7"/>
      <c r="D34" s="9"/>
      <c r="E34" s="8"/>
      <c r="F34" s="9"/>
      <c r="G34" s="9"/>
      <c r="H34" s="6"/>
      <c r="I34" s="9"/>
      <c r="J34" s="9" t="s">
        <v>145</v>
      </c>
    </row>
    <row r="35" spans="1:10">
      <c r="A35" s="5"/>
      <c r="B35" s="6"/>
      <c r="C35" s="7"/>
      <c r="D35" s="9"/>
      <c r="E35" s="8"/>
      <c r="F35" s="9"/>
      <c r="G35" s="9"/>
      <c r="H35" s="6"/>
      <c r="I35" s="9"/>
      <c r="J35" s="9" t="s">
        <v>145</v>
      </c>
    </row>
    <row r="36" spans="1:10">
      <c r="A36" s="5"/>
      <c r="B36" s="6"/>
      <c r="C36" s="7"/>
      <c r="D36" s="9"/>
      <c r="E36" s="8"/>
      <c r="F36" s="9"/>
      <c r="G36" s="9"/>
      <c r="H36" s="6"/>
      <c r="I36" s="9"/>
      <c r="J36" s="9" t="s">
        <v>145</v>
      </c>
    </row>
    <row r="37" spans="1:10">
      <c r="A37" s="5"/>
      <c r="B37" s="6"/>
      <c r="C37" s="7"/>
      <c r="D37" s="9"/>
      <c r="E37" s="8"/>
      <c r="F37" s="9"/>
      <c r="G37" s="9"/>
      <c r="H37" s="6"/>
      <c r="I37" s="9"/>
      <c r="J37" s="9" t="s">
        <v>145</v>
      </c>
    </row>
    <row r="38" spans="1:10">
      <c r="A38" s="5"/>
      <c r="B38" s="6"/>
      <c r="C38" s="7"/>
      <c r="D38" s="9"/>
      <c r="E38" s="8"/>
      <c r="F38" s="9"/>
      <c r="G38" s="9"/>
      <c r="H38" s="6"/>
      <c r="I38" s="9"/>
      <c r="J38" s="9" t="s">
        <v>145</v>
      </c>
    </row>
    <row r="39" spans="1:10">
      <c r="A39" s="5"/>
      <c r="B39" s="6"/>
      <c r="C39" s="7"/>
      <c r="D39" s="9"/>
      <c r="E39" s="8"/>
      <c r="F39" s="9"/>
      <c r="G39" s="9"/>
      <c r="H39" s="6"/>
      <c r="I39" s="9"/>
      <c r="J39" s="9" t="s">
        <v>145</v>
      </c>
    </row>
    <row r="40" spans="1:10">
      <c r="A40" s="5"/>
      <c r="B40" s="6"/>
      <c r="C40" s="7"/>
      <c r="D40" s="9"/>
      <c r="E40" s="8"/>
      <c r="F40" s="9"/>
      <c r="G40" s="9"/>
      <c r="H40" s="6"/>
      <c r="I40" s="9"/>
      <c r="J40" s="9" t="s">
        <v>145</v>
      </c>
    </row>
    <row r="41" spans="1:10">
      <c r="A41" s="5"/>
      <c r="B41" s="6"/>
      <c r="C41" s="7"/>
      <c r="D41" s="9"/>
      <c r="E41" s="8"/>
      <c r="F41" s="9"/>
      <c r="G41" s="9"/>
      <c r="H41" s="6"/>
      <c r="I41" s="9"/>
      <c r="J41" s="9" t="s">
        <v>145</v>
      </c>
    </row>
    <row r="42" spans="1:10">
      <c r="A42" s="5"/>
      <c r="B42" s="6"/>
      <c r="C42" s="7"/>
      <c r="D42" s="9"/>
      <c r="E42" s="8"/>
      <c r="F42" s="9"/>
      <c r="G42" s="9"/>
      <c r="H42" s="6"/>
      <c r="I42" s="9"/>
      <c r="J42" s="9" t="s">
        <v>145</v>
      </c>
    </row>
    <row r="43" spans="1:10">
      <c r="A43" s="5"/>
      <c r="B43" s="6"/>
      <c r="C43" s="7"/>
      <c r="D43" s="9"/>
      <c r="E43" s="8"/>
      <c r="F43" s="9"/>
      <c r="G43" s="9"/>
      <c r="H43" s="6"/>
      <c r="I43" s="9"/>
      <c r="J43" s="9" t="s">
        <v>145</v>
      </c>
    </row>
    <row r="44" spans="1:10">
      <c r="A44" s="5"/>
      <c r="B44" s="6"/>
      <c r="C44" s="7"/>
      <c r="D44" s="9"/>
      <c r="E44" s="8"/>
      <c r="F44" s="9"/>
      <c r="G44" s="9"/>
      <c r="H44" s="6"/>
      <c r="I44" s="9"/>
      <c r="J44" s="9" t="s">
        <v>145</v>
      </c>
    </row>
    <row r="45" spans="1:10">
      <c r="A45" s="5"/>
      <c r="B45" s="6"/>
      <c r="C45" s="7"/>
      <c r="D45" s="9"/>
      <c r="E45" s="8"/>
      <c r="F45" s="9"/>
      <c r="G45" s="9"/>
      <c r="H45" s="6"/>
      <c r="I45" s="9"/>
      <c r="J45" s="9" t="s">
        <v>145</v>
      </c>
    </row>
    <row r="46" spans="1:10">
      <c r="A46" s="5"/>
      <c r="B46" s="6"/>
      <c r="C46" s="7"/>
      <c r="D46" s="9"/>
      <c r="E46" s="8"/>
      <c r="F46" s="9"/>
      <c r="G46" s="9"/>
      <c r="H46" s="6"/>
      <c r="I46" s="9"/>
      <c r="J46" s="9" t="s">
        <v>145</v>
      </c>
    </row>
    <row r="47" spans="1:10">
      <c r="A47" s="5"/>
      <c r="B47" s="6"/>
      <c r="C47" s="7"/>
      <c r="D47" s="9"/>
      <c r="E47" s="8"/>
      <c r="F47" s="9"/>
      <c r="G47" s="9"/>
      <c r="H47" s="6"/>
      <c r="I47" s="9"/>
      <c r="J47" s="9" t="s">
        <v>145</v>
      </c>
    </row>
    <row r="48" spans="1:10">
      <c r="A48" s="5"/>
      <c r="B48" s="6"/>
      <c r="C48" s="7"/>
      <c r="D48" s="9"/>
      <c r="E48" s="4"/>
      <c r="F48" s="9"/>
      <c r="G48" s="9"/>
      <c r="H48" s="6"/>
      <c r="I48" s="9"/>
      <c r="J48" s="9" t="s">
        <v>145</v>
      </c>
    </row>
    <row r="49" spans="1:10">
      <c r="A49" s="5"/>
      <c r="B49" s="6"/>
      <c r="C49" s="7"/>
      <c r="D49" s="9"/>
      <c r="E49" s="4"/>
      <c r="F49" s="9"/>
      <c r="G49" s="9"/>
      <c r="H49" s="6"/>
      <c r="I49" s="9"/>
      <c r="J49" s="9" t="s">
        <v>145</v>
      </c>
    </row>
    <row r="50" spans="1:10">
      <c r="A50" s="5"/>
      <c r="B50" s="6"/>
      <c r="C50" s="7"/>
      <c r="D50" s="9"/>
      <c r="E50" s="8"/>
      <c r="F50" s="9"/>
      <c r="G50" s="9"/>
      <c r="H50" s="6"/>
      <c r="I50" s="9"/>
      <c r="J50" s="9" t="s">
        <v>145</v>
      </c>
    </row>
    <row r="51" spans="1:10">
      <c r="A51" s="5"/>
      <c r="B51" s="6"/>
      <c r="C51" s="7"/>
      <c r="D51" s="9"/>
      <c r="E51" s="8"/>
      <c r="F51" s="9"/>
      <c r="G51" s="9"/>
      <c r="H51" s="6"/>
      <c r="I51" s="9"/>
      <c r="J51" s="9" t="s">
        <v>145</v>
      </c>
    </row>
    <row r="52" spans="1:10">
      <c r="A52" s="5"/>
      <c r="B52" s="6"/>
      <c r="C52" s="7"/>
      <c r="D52" s="9"/>
      <c r="E52" s="8"/>
      <c r="F52" s="9"/>
      <c r="G52" s="9"/>
      <c r="H52" s="6"/>
      <c r="I52" s="9"/>
      <c r="J52" s="9" t="s">
        <v>145</v>
      </c>
    </row>
    <row r="53" spans="1:10">
      <c r="A53" s="5"/>
      <c r="B53" s="6"/>
      <c r="C53" s="7"/>
      <c r="D53" s="9"/>
      <c r="E53" s="4"/>
      <c r="F53" s="9"/>
      <c r="G53" s="9"/>
      <c r="H53" s="6"/>
      <c r="I53" s="9"/>
      <c r="J53" s="9" t="s">
        <v>145</v>
      </c>
    </row>
    <row r="54" spans="1:10">
      <c r="A54" s="5"/>
      <c r="B54" s="6"/>
      <c r="C54" s="7"/>
      <c r="D54" s="9"/>
      <c r="E54" s="8"/>
      <c r="F54" s="9"/>
      <c r="G54" s="9"/>
      <c r="H54" s="6"/>
      <c r="I54" s="9"/>
      <c r="J54" s="9" t="s">
        <v>145</v>
      </c>
    </row>
    <row r="55" spans="1:10">
      <c r="A55" s="5"/>
      <c r="B55" s="6"/>
      <c r="C55" s="7"/>
      <c r="D55" s="9"/>
      <c r="E55" s="4"/>
      <c r="F55" s="9"/>
      <c r="G55" s="9"/>
      <c r="H55" s="6"/>
      <c r="I55" s="9"/>
      <c r="J55" s="9" t="s">
        <v>145</v>
      </c>
    </row>
    <row r="56" spans="1:10">
      <c r="A56" s="5"/>
      <c r="B56" s="6"/>
      <c r="C56" s="7"/>
      <c r="D56" s="9"/>
      <c r="E56" s="8"/>
      <c r="F56" s="9"/>
      <c r="G56" s="9"/>
      <c r="H56" s="6"/>
      <c r="I56" s="9"/>
      <c r="J56" s="9" t="s">
        <v>145</v>
      </c>
    </row>
    <row r="57" spans="1:10">
      <c r="A57" s="5"/>
      <c r="B57" s="6"/>
      <c r="C57" s="7"/>
      <c r="D57" s="9"/>
      <c r="E57" s="4"/>
      <c r="F57" s="9"/>
      <c r="G57" s="9"/>
      <c r="H57" s="6"/>
      <c r="I57" s="9"/>
      <c r="J57" s="9" t="s">
        <v>145</v>
      </c>
    </row>
    <row r="58" spans="1:10">
      <c r="A58" s="5"/>
      <c r="B58" s="6"/>
      <c r="C58" s="7"/>
      <c r="D58" s="9"/>
      <c r="E58" s="8"/>
      <c r="F58" s="9"/>
      <c r="G58" s="9"/>
      <c r="H58" s="6"/>
      <c r="I58" s="9"/>
      <c r="J58" s="9" t="s">
        <v>145</v>
      </c>
    </row>
    <row r="59" spans="1:10">
      <c r="A59" s="5"/>
      <c r="B59" s="6"/>
      <c r="C59" s="7"/>
      <c r="D59" s="9"/>
      <c r="E59" s="8"/>
      <c r="F59" s="9"/>
      <c r="G59" s="9"/>
      <c r="H59" s="6"/>
      <c r="I59" s="9"/>
      <c r="J59" s="9" t="s">
        <v>145</v>
      </c>
    </row>
    <row r="60" spans="1:10">
      <c r="A60" s="5"/>
      <c r="B60" s="6"/>
      <c r="C60" s="7"/>
      <c r="D60" s="9"/>
      <c r="E60" s="8"/>
      <c r="F60" s="9"/>
      <c r="G60" s="9"/>
      <c r="H60" s="6"/>
      <c r="I60" s="9"/>
      <c r="J60" s="9" t="s">
        <v>145</v>
      </c>
    </row>
    <row r="61" spans="1:10">
      <c r="A61" s="5"/>
      <c r="B61" s="6"/>
      <c r="C61" s="7"/>
      <c r="D61" s="9"/>
      <c r="E61" s="8"/>
      <c r="F61" s="9"/>
      <c r="G61" s="9"/>
      <c r="H61" s="6"/>
      <c r="I61" s="9"/>
      <c r="J61" s="9" t="s">
        <v>145</v>
      </c>
    </row>
    <row r="62" spans="1:10">
      <c r="A62" s="5"/>
      <c r="B62" s="6"/>
      <c r="C62" s="7"/>
      <c r="D62" s="9"/>
      <c r="E62" s="8"/>
      <c r="F62" s="9"/>
      <c r="G62" s="9"/>
      <c r="H62" s="6"/>
      <c r="I62" s="9"/>
      <c r="J62" s="9" t="s">
        <v>145</v>
      </c>
    </row>
    <row r="63" spans="1:10">
      <c r="A63" s="5"/>
      <c r="B63" s="6"/>
      <c r="C63" s="7"/>
      <c r="D63" s="9"/>
      <c r="E63" s="4"/>
      <c r="F63" s="9"/>
      <c r="G63" s="9"/>
      <c r="H63" s="6"/>
      <c r="I63" s="9"/>
      <c r="J63" s="9" t="s">
        <v>145</v>
      </c>
    </row>
    <row r="64" spans="1:10">
      <c r="A64" s="5"/>
      <c r="B64" s="6"/>
      <c r="C64" s="7"/>
      <c r="D64" s="9"/>
      <c r="E64" s="8"/>
      <c r="F64" s="9"/>
      <c r="G64" s="9"/>
      <c r="H64" s="6"/>
      <c r="I64" s="9"/>
      <c r="J64" s="9" t="s">
        <v>145</v>
      </c>
    </row>
    <row r="65" spans="1:10">
      <c r="A65" s="5"/>
      <c r="B65" s="6"/>
      <c r="C65" s="7"/>
      <c r="D65" s="9"/>
      <c r="E65" s="8"/>
      <c r="F65" s="9"/>
      <c r="G65" s="9"/>
      <c r="H65" s="6"/>
      <c r="I65" s="9"/>
      <c r="J65" s="9" t="s">
        <v>145</v>
      </c>
    </row>
    <row r="66" spans="1:10">
      <c r="A66" s="5"/>
      <c r="B66" s="6"/>
      <c r="C66" s="7"/>
      <c r="D66" s="9"/>
      <c r="E66" s="8"/>
      <c r="F66" s="9"/>
      <c r="G66" s="9"/>
      <c r="H66" s="6"/>
      <c r="I66" s="9"/>
      <c r="J66" s="9" t="s">
        <v>145</v>
      </c>
    </row>
    <row r="67" spans="1:10">
      <c r="A67" s="5"/>
      <c r="B67" s="6"/>
      <c r="C67" s="7"/>
      <c r="D67" s="9"/>
      <c r="E67" s="8"/>
      <c r="F67" s="9"/>
      <c r="G67" s="9"/>
      <c r="H67" s="6"/>
      <c r="I67" s="9"/>
      <c r="J67" s="9" t="s">
        <v>145</v>
      </c>
    </row>
    <row r="68" spans="1:10">
      <c r="A68" s="5"/>
      <c r="B68" s="6"/>
      <c r="C68" s="7"/>
      <c r="D68" s="9"/>
      <c r="E68" s="8"/>
      <c r="F68" s="9"/>
      <c r="G68" s="9"/>
      <c r="H68" s="6"/>
      <c r="I68" s="9"/>
      <c r="J68" s="9" t="s">
        <v>145</v>
      </c>
    </row>
    <row r="69" spans="1:10">
      <c r="A69" s="5"/>
      <c r="B69" s="6"/>
      <c r="C69" s="7"/>
      <c r="D69" s="9"/>
      <c r="E69" s="8"/>
      <c r="F69" s="9"/>
      <c r="G69" s="9"/>
      <c r="H69" s="6"/>
      <c r="I69" s="9"/>
      <c r="J69" s="9" t="s">
        <v>145</v>
      </c>
    </row>
    <row r="70" spans="1:10">
      <c r="A70" s="5"/>
      <c r="B70" s="6"/>
      <c r="C70" s="7"/>
      <c r="D70" s="9"/>
      <c r="E70" s="8"/>
      <c r="F70" s="9"/>
      <c r="G70" s="9"/>
      <c r="H70" s="6"/>
      <c r="I70" s="9"/>
      <c r="J70" s="9" t="s">
        <v>145</v>
      </c>
    </row>
    <row r="71" spans="1:10">
      <c r="A71" s="5"/>
      <c r="B71" s="6"/>
      <c r="C71" s="7"/>
      <c r="D71" s="9"/>
      <c r="E71" s="8"/>
      <c r="F71" s="9"/>
      <c r="G71" s="9"/>
      <c r="H71" s="6"/>
      <c r="I71" s="9"/>
      <c r="J71" s="9" t="s">
        <v>145</v>
      </c>
    </row>
    <row r="72" spans="1:10">
      <c r="A72" s="5"/>
      <c r="B72" s="6"/>
      <c r="C72" s="7"/>
      <c r="D72" s="9"/>
      <c r="E72" s="4"/>
      <c r="F72" s="9"/>
      <c r="G72" s="9"/>
      <c r="H72" s="6"/>
      <c r="I72" s="9"/>
      <c r="J72" s="9" t="s">
        <v>145</v>
      </c>
    </row>
    <row r="73" spans="1:10">
      <c r="A73" s="5"/>
      <c r="B73" s="6"/>
      <c r="C73" s="7"/>
      <c r="D73" s="9"/>
      <c r="E73" s="8"/>
      <c r="F73" s="9"/>
      <c r="G73" s="9"/>
      <c r="H73" s="6"/>
      <c r="I73" s="9"/>
      <c r="J73" s="9" t="s">
        <v>145</v>
      </c>
    </row>
    <row r="74" spans="1:10">
      <c r="A74" s="5"/>
      <c r="B74" s="6"/>
      <c r="C74" s="7"/>
      <c r="D74" s="9"/>
      <c r="E74" s="8"/>
      <c r="F74" s="9"/>
      <c r="G74" s="9"/>
      <c r="H74" s="6"/>
      <c r="I74" s="9"/>
      <c r="J74" s="9" t="s">
        <v>145</v>
      </c>
    </row>
    <row r="75" spans="1:10">
      <c r="A75" s="5"/>
      <c r="B75" s="6"/>
      <c r="C75" s="7"/>
      <c r="D75" s="9"/>
      <c r="E75" s="8"/>
      <c r="F75" s="9"/>
      <c r="G75" s="9"/>
      <c r="H75" s="6"/>
      <c r="I75" s="9"/>
      <c r="J75" s="9" t="s">
        <v>145</v>
      </c>
    </row>
    <row r="76" spans="1:10">
      <c r="A76" s="5"/>
      <c r="B76" s="6"/>
      <c r="C76" s="7"/>
      <c r="D76" s="9"/>
      <c r="E76" s="8"/>
      <c r="F76" s="9"/>
      <c r="G76" s="9"/>
      <c r="H76" s="6"/>
      <c r="I76" s="9"/>
      <c r="J76" s="9" t="s">
        <v>145</v>
      </c>
    </row>
    <row r="77" spans="1:10">
      <c r="A77" s="5"/>
      <c r="B77" s="6"/>
      <c r="C77" s="7"/>
      <c r="D77" s="9"/>
      <c r="E77" s="8"/>
      <c r="F77" s="9"/>
      <c r="G77" s="9"/>
      <c r="H77" s="6"/>
      <c r="I77" s="9"/>
      <c r="J77" s="9" t="s">
        <v>145</v>
      </c>
    </row>
    <row r="78" spans="1:10">
      <c r="A78" s="5"/>
      <c r="B78" s="6"/>
      <c r="C78" s="7"/>
      <c r="D78" s="9"/>
      <c r="E78" s="8"/>
      <c r="F78" s="9"/>
      <c r="G78" s="9"/>
      <c r="H78" s="6"/>
      <c r="I78" s="9"/>
      <c r="J78" s="9" t="s">
        <v>145</v>
      </c>
    </row>
    <row r="79" spans="1:10">
      <c r="A79" s="5"/>
      <c r="B79" s="6"/>
      <c r="C79" s="7"/>
      <c r="D79" s="9"/>
      <c r="E79" s="8"/>
      <c r="F79" s="9"/>
      <c r="G79" s="9"/>
      <c r="H79" s="6"/>
      <c r="I79" s="9"/>
      <c r="J79" s="9" t="s">
        <v>145</v>
      </c>
    </row>
    <row r="80" spans="1:10">
      <c r="A80" s="5"/>
      <c r="B80" s="6"/>
      <c r="C80" s="7"/>
      <c r="D80" s="9"/>
      <c r="E80" s="4"/>
      <c r="F80" s="9"/>
      <c r="G80" s="9"/>
      <c r="H80" s="6"/>
      <c r="I80" s="9"/>
      <c r="J80" s="9" t="s">
        <v>145</v>
      </c>
    </row>
    <row r="81" spans="1:10">
      <c r="A81" s="5"/>
      <c r="B81" s="6"/>
      <c r="C81" s="7"/>
      <c r="D81" s="9"/>
      <c r="E81" s="8"/>
      <c r="F81" s="9"/>
      <c r="G81" s="9"/>
      <c r="H81" s="6"/>
      <c r="I81" s="9"/>
      <c r="J81" s="9" t="s">
        <v>145</v>
      </c>
    </row>
    <row r="82" spans="1:10">
      <c r="A82" s="5"/>
      <c r="B82" s="6"/>
      <c r="C82" s="7"/>
      <c r="D82" s="9"/>
      <c r="E82" s="8"/>
      <c r="F82" s="9"/>
      <c r="G82" s="9"/>
      <c r="H82" s="6"/>
      <c r="I82" s="9"/>
      <c r="J82" s="9" t="s">
        <v>145</v>
      </c>
    </row>
    <row r="83" spans="1:10">
      <c r="A83" s="5"/>
      <c r="B83" s="6"/>
      <c r="C83" s="7"/>
      <c r="D83" s="9"/>
      <c r="E83" s="8"/>
      <c r="F83" s="9"/>
      <c r="G83" s="9"/>
      <c r="H83" s="6"/>
      <c r="I83" s="9"/>
      <c r="J83" s="9" t="s">
        <v>145</v>
      </c>
    </row>
    <row r="84" spans="1:10">
      <c r="A84" s="5"/>
      <c r="B84" s="6"/>
      <c r="C84" s="7"/>
      <c r="D84" s="9"/>
      <c r="E84" s="8"/>
      <c r="F84" s="9"/>
      <c r="G84" s="9"/>
      <c r="H84" s="6"/>
      <c r="I84" s="9"/>
      <c r="J84" s="9" t="s">
        <v>145</v>
      </c>
    </row>
    <row r="85" spans="1:10">
      <c r="A85" s="5"/>
      <c r="B85" s="6"/>
      <c r="C85" s="7"/>
      <c r="D85" s="9"/>
      <c r="E85" s="8"/>
      <c r="F85" s="9"/>
      <c r="G85" s="9"/>
      <c r="H85" s="6"/>
      <c r="I85" s="9"/>
      <c r="J85" s="9" t="s">
        <v>145</v>
      </c>
    </row>
    <row r="86" spans="1:10">
      <c r="A86" s="5"/>
      <c r="B86" s="6"/>
      <c r="C86" s="7"/>
      <c r="D86" s="9"/>
      <c r="E86" s="8"/>
      <c r="F86" s="9"/>
      <c r="G86" s="9"/>
      <c r="H86" s="6"/>
      <c r="I86" s="9"/>
      <c r="J86" s="9" t="s">
        <v>145</v>
      </c>
    </row>
    <row r="87" spans="1:10">
      <c r="A87" s="5"/>
      <c r="B87" s="6"/>
      <c r="C87" s="7"/>
      <c r="D87" s="9"/>
      <c r="E87" s="8"/>
      <c r="F87" s="9"/>
      <c r="G87" s="9"/>
      <c r="H87" s="6"/>
      <c r="I87" s="9"/>
      <c r="J87" s="9" t="s">
        <v>145</v>
      </c>
    </row>
    <row r="88" spans="1:10">
      <c r="A88" s="5"/>
      <c r="B88" s="6"/>
      <c r="C88" s="7"/>
      <c r="D88" s="9"/>
      <c r="E88" s="8"/>
      <c r="F88" s="9"/>
      <c r="G88" s="9"/>
      <c r="H88" s="6"/>
      <c r="I88" s="9"/>
      <c r="J88" s="9" t="s">
        <v>145</v>
      </c>
    </row>
    <row r="89" spans="1:10">
      <c r="A89" s="5"/>
      <c r="B89" s="6"/>
      <c r="C89" s="7"/>
      <c r="D89" s="9"/>
      <c r="E89" s="8"/>
      <c r="F89" s="9"/>
      <c r="G89" s="9"/>
      <c r="H89" s="6"/>
      <c r="I89" s="9"/>
      <c r="J89" s="9" t="s">
        <v>145</v>
      </c>
    </row>
    <row r="90" spans="1:10">
      <c r="A90" s="5"/>
      <c r="B90" s="6"/>
      <c r="C90" s="7"/>
      <c r="D90" s="9"/>
      <c r="E90" s="8"/>
      <c r="F90" s="9"/>
      <c r="G90" s="9"/>
      <c r="H90" s="6"/>
      <c r="I90" s="9"/>
      <c r="J90" s="9" t="s">
        <v>145</v>
      </c>
    </row>
    <row r="91" spans="1:10">
      <c r="A91" s="5"/>
      <c r="B91" s="6"/>
      <c r="C91" s="7"/>
      <c r="D91" s="9"/>
      <c r="E91" s="8"/>
      <c r="F91" s="9"/>
      <c r="G91" s="9"/>
      <c r="H91" s="6"/>
      <c r="I91" s="9"/>
      <c r="J91" s="9" t="s">
        <v>145</v>
      </c>
    </row>
    <row r="92" spans="1:10">
      <c r="A92" s="5"/>
      <c r="B92" s="6"/>
      <c r="C92" s="7"/>
      <c r="D92" s="9"/>
      <c r="E92" s="8"/>
      <c r="F92" s="9"/>
      <c r="G92" s="9"/>
      <c r="H92" s="6"/>
      <c r="I92" s="9"/>
      <c r="J92" s="9" t="s">
        <v>145</v>
      </c>
    </row>
    <row r="93" spans="1:10">
      <c r="A93" s="5"/>
      <c r="B93" s="6"/>
      <c r="C93" s="7"/>
      <c r="D93" s="9"/>
      <c r="E93" s="4"/>
      <c r="F93" s="9"/>
      <c r="G93" s="9"/>
      <c r="H93" s="6"/>
      <c r="I93" s="9"/>
      <c r="J93" s="9" t="s">
        <v>145</v>
      </c>
    </row>
    <row r="94" spans="1:10">
      <c r="A94" s="5"/>
      <c r="B94" s="6"/>
      <c r="C94" s="7"/>
      <c r="D94" s="9"/>
      <c r="E94" s="8"/>
      <c r="F94" s="9"/>
      <c r="G94" s="9"/>
      <c r="H94" s="6"/>
      <c r="I94" s="9"/>
      <c r="J94" s="9" t="s">
        <v>145</v>
      </c>
    </row>
    <row r="95" spans="1:10">
      <c r="A95" s="5"/>
      <c r="B95" s="6"/>
      <c r="C95" s="7"/>
      <c r="D95" s="9"/>
      <c r="E95" s="8"/>
      <c r="F95" s="9"/>
      <c r="G95" s="9"/>
      <c r="H95" s="6"/>
      <c r="I95" s="9"/>
      <c r="J95" s="9" t="s">
        <v>145</v>
      </c>
    </row>
    <row r="96" spans="1:10">
      <c r="A96" s="5"/>
      <c r="B96" s="6"/>
      <c r="C96" s="7"/>
      <c r="D96" s="9"/>
      <c r="E96" s="8"/>
      <c r="F96" s="9"/>
      <c r="G96" s="9"/>
      <c r="H96" s="6"/>
      <c r="I96" s="9"/>
      <c r="J96" s="9" t="s">
        <v>145</v>
      </c>
    </row>
    <row r="97" spans="1:10">
      <c r="A97" s="5"/>
      <c r="B97" s="6"/>
      <c r="C97" s="7"/>
      <c r="D97" s="9"/>
      <c r="E97" s="8"/>
      <c r="F97" s="9"/>
      <c r="G97" s="9"/>
      <c r="H97" s="6"/>
      <c r="I97" s="9"/>
      <c r="J97" s="9" t="s">
        <v>145</v>
      </c>
    </row>
    <row r="98" spans="1:10">
      <c r="A98" s="5"/>
      <c r="B98" s="6"/>
      <c r="C98" s="7"/>
      <c r="D98" s="9"/>
      <c r="E98" s="8"/>
      <c r="F98" s="9"/>
      <c r="G98" s="9"/>
      <c r="H98" s="6"/>
      <c r="I98" s="9"/>
      <c r="J98" s="9" t="s">
        <v>145</v>
      </c>
    </row>
    <row r="99" spans="1:10">
      <c r="A99" s="5"/>
      <c r="B99" s="6"/>
      <c r="C99" s="7"/>
      <c r="D99" s="9"/>
      <c r="E99" s="8"/>
      <c r="F99" s="9"/>
      <c r="G99" s="9"/>
      <c r="H99" s="6"/>
      <c r="I99" s="9"/>
      <c r="J99" s="9" t="s">
        <v>145</v>
      </c>
    </row>
    <row r="100" spans="1:10">
      <c r="A100" s="5"/>
      <c r="B100" s="6"/>
      <c r="C100" s="7"/>
      <c r="D100" s="9"/>
      <c r="E100" s="8"/>
      <c r="F100" s="9"/>
      <c r="G100" s="9"/>
      <c r="H100" s="6"/>
      <c r="I100" s="9"/>
      <c r="J100" s="9" t="s">
        <v>145</v>
      </c>
    </row>
    <row r="101" spans="1:10">
      <c r="A101" s="5"/>
      <c r="B101" s="6"/>
      <c r="C101" s="7"/>
      <c r="D101" s="9"/>
      <c r="E101" s="8"/>
      <c r="F101" s="9"/>
      <c r="G101" s="9"/>
      <c r="H101" s="6"/>
      <c r="I101" s="9"/>
      <c r="J101" s="9" t="s">
        <v>145</v>
      </c>
    </row>
    <row r="102" spans="1:10">
      <c r="A102" s="5"/>
      <c r="B102" s="6"/>
      <c r="C102" s="7"/>
      <c r="D102" s="9"/>
      <c r="E102" s="8"/>
      <c r="F102" s="9"/>
      <c r="G102" s="9"/>
      <c r="H102" s="6"/>
      <c r="I102" s="9"/>
      <c r="J102" s="9" t="s">
        <v>145</v>
      </c>
    </row>
    <row r="103" spans="1:10">
      <c r="A103" s="5"/>
      <c r="B103" s="6"/>
      <c r="C103" s="7"/>
      <c r="D103" s="9"/>
      <c r="E103" s="8"/>
      <c r="F103" s="9"/>
      <c r="G103" s="9"/>
      <c r="H103" s="6"/>
      <c r="I103" s="9"/>
      <c r="J103" s="9" t="s">
        <v>145</v>
      </c>
    </row>
    <row r="104" spans="1:10">
      <c r="A104" s="5"/>
      <c r="B104" s="6"/>
      <c r="C104" s="7"/>
      <c r="D104" s="9"/>
      <c r="E104" s="8"/>
      <c r="F104" s="9"/>
      <c r="G104" s="9"/>
      <c r="H104" s="6"/>
      <c r="I104" s="9"/>
      <c r="J104" s="9" t="s">
        <v>145</v>
      </c>
    </row>
    <row r="105" spans="1:10">
      <c r="A105" s="5"/>
      <c r="B105" s="6"/>
      <c r="C105" s="7"/>
      <c r="D105" s="9"/>
      <c r="E105" s="8"/>
      <c r="F105" s="9"/>
      <c r="G105" s="9"/>
      <c r="H105" s="6"/>
      <c r="I105" s="9"/>
      <c r="J105" s="9" t="s">
        <v>145</v>
      </c>
    </row>
    <row r="106" spans="1:10">
      <c r="A106" s="5"/>
      <c r="B106" s="6"/>
      <c r="C106" s="7"/>
      <c r="D106" s="9"/>
      <c r="E106" s="8"/>
      <c r="F106" s="9"/>
      <c r="G106" s="9"/>
      <c r="H106" s="6"/>
      <c r="I106" s="9"/>
      <c r="J106" s="9" t="s">
        <v>145</v>
      </c>
    </row>
    <row r="107" spans="1:10">
      <c r="A107" s="5"/>
      <c r="B107" s="6"/>
      <c r="C107" s="7"/>
      <c r="D107" s="9"/>
      <c r="E107" s="8"/>
      <c r="F107" s="9"/>
      <c r="G107" s="9"/>
      <c r="H107" s="6"/>
      <c r="I107" s="9"/>
      <c r="J107" s="9" t="s">
        <v>145</v>
      </c>
    </row>
    <row r="108" spans="1:10">
      <c r="A108" s="5"/>
      <c r="B108" s="6"/>
      <c r="C108" s="7"/>
      <c r="D108" s="9"/>
      <c r="E108" s="8"/>
      <c r="F108" s="9"/>
      <c r="G108" s="9"/>
      <c r="H108" s="6"/>
      <c r="I108" s="9"/>
      <c r="J108" s="9" t="s">
        <v>145</v>
      </c>
    </row>
    <row r="109" spans="1:10">
      <c r="A109" s="5"/>
      <c r="B109" s="6"/>
      <c r="C109" s="7"/>
      <c r="D109" s="9"/>
      <c r="E109" s="4"/>
      <c r="F109" s="9"/>
      <c r="G109" s="9"/>
      <c r="H109" s="6"/>
      <c r="I109" s="9"/>
      <c r="J109" s="9" t="s">
        <v>145</v>
      </c>
    </row>
    <row r="110" spans="1:10">
      <c r="A110" s="5"/>
      <c r="B110" s="6"/>
      <c r="C110" s="7"/>
      <c r="D110" s="9"/>
      <c r="E110" s="8"/>
      <c r="F110" s="9"/>
      <c r="G110" s="9"/>
      <c r="H110" s="6"/>
      <c r="I110" s="9"/>
      <c r="J110" s="9" t="s">
        <v>145</v>
      </c>
    </row>
    <row r="111" spans="1:10" ht="15" customHeight="1">
      <c r="A111" s="5"/>
      <c r="B111" s="6"/>
      <c r="C111" s="7"/>
      <c r="D111" s="9"/>
      <c r="E111" s="8"/>
      <c r="F111" s="9"/>
      <c r="G111" s="9"/>
      <c r="H111" s="6"/>
      <c r="I111" s="9"/>
      <c r="J111" s="9" t="s">
        <v>145</v>
      </c>
    </row>
    <row r="112" spans="1:10">
      <c r="A112" s="5"/>
      <c r="B112" s="6"/>
      <c r="C112" s="7"/>
      <c r="D112" s="9"/>
      <c r="E112" s="4"/>
      <c r="F112" s="9"/>
      <c r="G112" s="9"/>
      <c r="H112" s="6"/>
      <c r="I112" s="9"/>
      <c r="J112" s="9" t="s">
        <v>145</v>
      </c>
    </row>
    <row r="113" spans="1:10">
      <c r="A113" s="5"/>
      <c r="B113" s="6"/>
      <c r="C113" s="7"/>
      <c r="D113" s="9"/>
      <c r="E113" s="8"/>
      <c r="F113" s="9"/>
      <c r="G113" s="9"/>
      <c r="H113" s="6"/>
      <c r="I113" s="9"/>
      <c r="J113" s="9" t="s">
        <v>145</v>
      </c>
    </row>
    <row r="114" spans="1:10">
      <c r="A114" s="5"/>
      <c r="B114" s="6"/>
      <c r="C114" s="7"/>
      <c r="D114" s="9"/>
      <c r="E114" s="8"/>
      <c r="F114" s="9"/>
      <c r="G114" s="9"/>
      <c r="H114" s="6"/>
      <c r="I114" s="9"/>
      <c r="J114" s="9" t="s">
        <v>145</v>
      </c>
    </row>
    <row r="115" spans="1:10">
      <c r="A115" s="5"/>
      <c r="B115" s="6"/>
      <c r="C115" s="7"/>
      <c r="D115" s="9"/>
      <c r="E115" s="4"/>
      <c r="F115" s="9"/>
      <c r="G115" s="9"/>
      <c r="H115" s="6"/>
      <c r="I115" s="9"/>
      <c r="J115" s="9" t="s">
        <v>145</v>
      </c>
    </row>
    <row r="116" spans="1:10">
      <c r="A116" s="5"/>
      <c r="B116" s="6"/>
      <c r="C116" s="7"/>
      <c r="D116" s="9"/>
      <c r="E116" s="8"/>
      <c r="F116" s="9"/>
      <c r="G116" s="9"/>
      <c r="H116" s="6"/>
      <c r="I116" s="9"/>
      <c r="J116" s="9" t="s">
        <v>145</v>
      </c>
    </row>
    <row r="117" spans="1:10">
      <c r="A117" s="5"/>
      <c r="B117" s="6"/>
      <c r="C117" s="7"/>
      <c r="D117" s="9"/>
      <c r="E117" s="8"/>
      <c r="F117" s="9"/>
      <c r="G117" s="9"/>
      <c r="H117" s="6"/>
      <c r="I117" s="9"/>
      <c r="J117" s="9" t="s">
        <v>145</v>
      </c>
    </row>
    <row r="118" spans="1:10">
      <c r="A118" s="5"/>
      <c r="B118" s="6"/>
      <c r="C118" s="7"/>
      <c r="D118" s="9"/>
      <c r="E118" s="8"/>
      <c r="F118" s="9"/>
      <c r="G118" s="9"/>
      <c r="H118" s="6"/>
      <c r="I118" s="9"/>
      <c r="J118" s="9" t="s">
        <v>145</v>
      </c>
    </row>
    <row r="119" spans="1:10">
      <c r="A119" s="5"/>
      <c r="B119" s="6"/>
      <c r="C119" s="7"/>
      <c r="D119" s="9"/>
      <c r="E119" s="8"/>
      <c r="F119" s="9"/>
      <c r="G119" s="9"/>
      <c r="H119" s="6"/>
      <c r="I119" s="9"/>
      <c r="J119" s="9" t="s">
        <v>145</v>
      </c>
    </row>
    <row r="120" spans="1:10">
      <c r="A120" s="5"/>
      <c r="B120" s="6"/>
      <c r="C120" s="7"/>
      <c r="D120" s="9"/>
      <c r="E120" s="8"/>
      <c r="F120" s="9"/>
      <c r="G120" s="9"/>
      <c r="H120" s="6"/>
      <c r="I120" s="9"/>
      <c r="J120" s="9" t="s">
        <v>145</v>
      </c>
    </row>
    <row r="121" spans="1:10">
      <c r="A121" s="5"/>
      <c r="B121" s="6"/>
      <c r="C121" s="7"/>
      <c r="D121" s="9"/>
      <c r="E121" s="4"/>
      <c r="F121" s="9"/>
      <c r="G121" s="9"/>
      <c r="H121" s="6"/>
      <c r="I121" s="9"/>
      <c r="J121" s="9" t="s">
        <v>145</v>
      </c>
    </row>
    <row r="122" spans="1:10">
      <c r="A122" s="5"/>
      <c r="B122" s="6"/>
      <c r="C122" s="7"/>
      <c r="D122" s="9"/>
      <c r="E122" s="8"/>
      <c r="F122" s="9"/>
      <c r="G122" s="9"/>
      <c r="H122" s="6"/>
      <c r="I122" s="9"/>
      <c r="J122" s="9" t="s">
        <v>145</v>
      </c>
    </row>
    <row r="123" spans="1:10">
      <c r="A123" s="5"/>
      <c r="B123" s="6"/>
      <c r="C123" s="7"/>
      <c r="D123" s="9"/>
      <c r="E123" s="8"/>
      <c r="F123" s="9"/>
      <c r="G123" s="9"/>
      <c r="H123" s="6"/>
      <c r="I123" s="9"/>
      <c r="J123" s="9" t="s">
        <v>145</v>
      </c>
    </row>
    <row r="124" spans="1:10">
      <c r="A124" s="5"/>
      <c r="B124" s="6"/>
      <c r="C124" s="7"/>
      <c r="D124" s="9"/>
      <c r="E124" s="8"/>
      <c r="F124" s="9"/>
      <c r="G124" s="9"/>
      <c r="H124" s="6"/>
      <c r="I124" s="9"/>
      <c r="J124" s="9" t="s">
        <v>145</v>
      </c>
    </row>
    <row r="125" spans="1:10">
      <c r="A125" s="5"/>
      <c r="B125" s="6"/>
      <c r="C125" s="7"/>
      <c r="D125" s="9"/>
      <c r="E125" s="8"/>
      <c r="F125" s="9"/>
      <c r="G125" s="9"/>
      <c r="H125" s="6"/>
      <c r="I125" s="9"/>
      <c r="J125" s="9" t="s">
        <v>145</v>
      </c>
    </row>
    <row r="126" spans="1:10">
      <c r="A126" s="5"/>
      <c r="B126" s="6"/>
      <c r="C126" s="7"/>
      <c r="D126" s="9"/>
      <c r="E126" s="8"/>
      <c r="F126" s="9"/>
      <c r="G126" s="9"/>
      <c r="H126" s="6"/>
      <c r="I126" s="9"/>
      <c r="J126" s="9" t="s">
        <v>145</v>
      </c>
    </row>
    <row r="127" spans="1:10">
      <c r="A127" s="5"/>
      <c r="B127" s="6"/>
      <c r="C127" s="7"/>
      <c r="D127" s="9"/>
      <c r="E127" s="8"/>
      <c r="F127" s="9"/>
      <c r="G127" s="9"/>
      <c r="H127" s="6"/>
      <c r="I127" s="9"/>
      <c r="J127" s="9" t="s">
        <v>145</v>
      </c>
    </row>
    <row r="128" spans="1:10">
      <c r="A128" s="5"/>
      <c r="B128" s="6"/>
      <c r="C128" s="7"/>
      <c r="D128" s="9"/>
      <c r="E128" s="8"/>
      <c r="F128" s="9"/>
      <c r="G128" s="9"/>
      <c r="H128" s="6"/>
      <c r="I128" s="9"/>
      <c r="J128" s="9" t="s">
        <v>145</v>
      </c>
    </row>
    <row r="129" spans="1:10">
      <c r="A129" s="5"/>
      <c r="B129" s="6"/>
      <c r="C129" s="7"/>
      <c r="D129" s="9"/>
      <c r="E129" s="8"/>
      <c r="F129" s="9"/>
      <c r="G129" s="9"/>
      <c r="H129" s="6"/>
      <c r="I129" s="9"/>
      <c r="J129" s="9" t="s">
        <v>145</v>
      </c>
    </row>
    <row r="130" spans="1:10">
      <c r="A130" s="5"/>
      <c r="B130" s="6"/>
      <c r="C130" s="7"/>
      <c r="D130" s="9"/>
      <c r="E130" s="8"/>
      <c r="F130" s="9"/>
      <c r="G130" s="9"/>
      <c r="H130" s="6"/>
      <c r="I130" s="9"/>
      <c r="J130" s="9" t="s">
        <v>145</v>
      </c>
    </row>
    <row r="131" spans="1:10">
      <c r="A131" s="5"/>
      <c r="B131" s="6"/>
      <c r="C131" s="7"/>
      <c r="D131" s="9"/>
      <c r="E131" s="8"/>
      <c r="F131" s="9"/>
      <c r="G131" s="9"/>
      <c r="H131" s="6"/>
      <c r="I131" s="9"/>
      <c r="J131" s="9" t="s">
        <v>145</v>
      </c>
    </row>
    <row r="132" spans="1:10">
      <c r="A132" s="5"/>
      <c r="B132" s="6"/>
      <c r="C132" s="7"/>
      <c r="D132" s="9"/>
      <c r="E132" s="8"/>
      <c r="F132" s="9"/>
      <c r="G132" s="9"/>
      <c r="H132" s="6"/>
      <c r="I132" s="9"/>
      <c r="J132" s="9" t="s">
        <v>145</v>
      </c>
    </row>
    <row r="133" spans="1:10">
      <c r="A133" s="5"/>
      <c r="B133" s="6"/>
      <c r="C133" s="7"/>
      <c r="D133" s="9"/>
      <c r="E133" s="8"/>
      <c r="F133" s="9"/>
      <c r="G133" s="9"/>
      <c r="H133" s="6"/>
      <c r="I133" s="9"/>
      <c r="J133" s="9" t="s">
        <v>145</v>
      </c>
    </row>
    <row r="134" spans="1:10">
      <c r="A134" s="5"/>
      <c r="B134" s="6"/>
      <c r="C134" s="7"/>
      <c r="D134" s="9"/>
      <c r="E134" s="8"/>
      <c r="F134" s="9"/>
      <c r="G134" s="9"/>
      <c r="H134" s="6"/>
      <c r="I134" s="9"/>
      <c r="J134" s="9" t="s">
        <v>145</v>
      </c>
    </row>
    <row r="135" spans="1:10">
      <c r="A135" s="5"/>
      <c r="B135" s="6"/>
      <c r="C135" s="7"/>
      <c r="D135" s="9"/>
      <c r="E135" s="4"/>
      <c r="F135" s="9"/>
      <c r="G135" s="9"/>
      <c r="H135" s="6"/>
      <c r="I135" s="9"/>
      <c r="J135" s="9" t="s">
        <v>145</v>
      </c>
    </row>
    <row r="136" spans="1:10">
      <c r="A136" s="5"/>
      <c r="B136" s="6"/>
      <c r="C136" s="7"/>
      <c r="D136" s="9"/>
      <c r="E136" s="8"/>
      <c r="F136" s="9"/>
      <c r="G136" s="9"/>
      <c r="H136" s="6"/>
      <c r="I136" s="9"/>
      <c r="J136" s="9" t="s">
        <v>145</v>
      </c>
    </row>
    <row r="137" spans="1:10">
      <c r="A137" s="5"/>
      <c r="B137" s="6"/>
      <c r="C137" s="7"/>
      <c r="D137" s="9"/>
      <c r="E137" s="8"/>
      <c r="F137" s="9"/>
      <c r="G137" s="9"/>
      <c r="H137" s="6"/>
      <c r="I137" s="9"/>
      <c r="J137" s="9" t="s">
        <v>145</v>
      </c>
    </row>
    <row r="138" spans="1:10">
      <c r="A138" s="5"/>
      <c r="B138" s="6"/>
      <c r="C138" s="7"/>
      <c r="D138" s="9"/>
      <c r="E138" s="8"/>
      <c r="F138" s="9"/>
      <c r="G138" s="9"/>
      <c r="H138" s="6"/>
      <c r="I138" s="9"/>
      <c r="J138" s="9" t="s">
        <v>145</v>
      </c>
    </row>
    <row r="139" spans="1:10">
      <c r="A139" s="5"/>
      <c r="B139" s="6"/>
      <c r="C139" s="7"/>
      <c r="D139" s="9"/>
      <c r="E139" s="8"/>
      <c r="F139" s="9"/>
      <c r="G139" s="9"/>
      <c r="H139" s="6"/>
      <c r="I139" s="9"/>
      <c r="J139" s="9" t="s">
        <v>145</v>
      </c>
    </row>
    <row r="140" spans="1:10">
      <c r="A140" s="5"/>
      <c r="B140" s="6"/>
      <c r="C140" s="7"/>
      <c r="D140" s="9"/>
      <c r="E140" s="8"/>
      <c r="F140" s="9"/>
      <c r="G140" s="9"/>
      <c r="H140" s="6"/>
      <c r="I140" s="9"/>
      <c r="J140" s="9" t="s">
        <v>145</v>
      </c>
    </row>
    <row r="141" spans="1:10">
      <c r="A141" s="5"/>
      <c r="B141" s="6"/>
      <c r="C141" s="7"/>
      <c r="D141" s="9"/>
      <c r="E141" s="8"/>
      <c r="F141" s="9"/>
      <c r="G141" s="9"/>
      <c r="H141" s="6"/>
      <c r="I141" s="9"/>
      <c r="J141" s="9" t="s">
        <v>145</v>
      </c>
    </row>
    <row r="142" spans="1:10">
      <c r="A142" s="5"/>
      <c r="B142" s="6"/>
      <c r="C142" s="7"/>
      <c r="D142" s="9"/>
      <c r="E142" s="4"/>
      <c r="F142" s="9"/>
      <c r="G142" s="9"/>
      <c r="H142" s="6"/>
      <c r="I142" s="9"/>
      <c r="J142" s="9" t="s">
        <v>145</v>
      </c>
    </row>
    <row r="143" spans="1:10">
      <c r="A143" s="5"/>
      <c r="B143" s="6"/>
      <c r="C143" s="7"/>
      <c r="D143" s="9"/>
      <c r="E143" s="4"/>
      <c r="F143" s="9"/>
      <c r="G143" s="9"/>
      <c r="H143" s="6"/>
      <c r="I143" s="9"/>
      <c r="J143" s="9" t="s">
        <v>145</v>
      </c>
    </row>
    <row r="144" spans="1:10">
      <c r="A144" s="5"/>
      <c r="B144" s="6"/>
      <c r="C144" s="7"/>
      <c r="D144" s="9"/>
      <c r="E144" s="8"/>
      <c r="F144" s="9"/>
      <c r="G144" s="9"/>
      <c r="H144" s="6"/>
      <c r="I144" s="9"/>
      <c r="J144" s="9" t="s">
        <v>145</v>
      </c>
    </row>
    <row r="145" spans="1:10">
      <c r="A145" s="5"/>
      <c r="B145" s="6"/>
      <c r="C145" s="7"/>
      <c r="D145" s="9"/>
      <c r="E145" s="8"/>
      <c r="F145" s="9"/>
      <c r="G145" s="9"/>
      <c r="H145" s="6"/>
      <c r="I145" s="9"/>
      <c r="J145" s="9" t="s">
        <v>145</v>
      </c>
    </row>
    <row r="146" spans="1:10">
      <c r="A146" s="5"/>
      <c r="B146" s="6"/>
      <c r="C146" s="7"/>
      <c r="D146" s="9"/>
      <c r="E146" s="8"/>
      <c r="F146" s="9"/>
      <c r="G146" s="9"/>
      <c r="H146" s="6"/>
      <c r="I146" s="9"/>
      <c r="J146" s="9" t="s">
        <v>145</v>
      </c>
    </row>
    <row r="147" spans="1:10">
      <c r="A147" s="5"/>
      <c r="B147" s="6"/>
      <c r="C147" s="7"/>
      <c r="D147" s="9"/>
      <c r="E147" s="4"/>
      <c r="F147" s="9"/>
      <c r="G147" s="9"/>
      <c r="H147" s="6"/>
      <c r="I147" s="9"/>
      <c r="J147" s="9" t="s">
        <v>145</v>
      </c>
    </row>
    <row r="148" spans="1:10">
      <c r="A148" s="5"/>
      <c r="B148" s="6"/>
      <c r="C148" s="7"/>
      <c r="D148" s="9"/>
      <c r="E148" s="8"/>
      <c r="F148" s="9"/>
      <c r="G148" s="9"/>
      <c r="H148" s="6"/>
      <c r="I148" s="9"/>
      <c r="J148" s="9" t="s">
        <v>145</v>
      </c>
    </row>
    <row r="149" spans="1:10">
      <c r="A149" s="5"/>
      <c r="B149" s="6"/>
      <c r="C149" s="7"/>
      <c r="D149" s="9"/>
      <c r="E149" s="8"/>
      <c r="F149" s="9"/>
      <c r="G149" s="9"/>
      <c r="H149" s="6"/>
      <c r="I149" s="9"/>
      <c r="J149" s="9" t="s">
        <v>145</v>
      </c>
    </row>
    <row r="150" spans="1:10">
      <c r="A150" s="5"/>
      <c r="B150" s="6"/>
      <c r="C150" s="7"/>
      <c r="D150" s="9"/>
      <c r="E150" s="8"/>
      <c r="F150" s="9"/>
      <c r="G150" s="9"/>
      <c r="H150" s="6"/>
      <c r="I150" s="9"/>
      <c r="J150" s="9" t="s">
        <v>145</v>
      </c>
    </row>
    <row r="151" spans="1:10">
      <c r="A151" s="5"/>
      <c r="B151" s="6"/>
      <c r="C151" s="7"/>
      <c r="D151" s="9"/>
      <c r="E151" s="4"/>
      <c r="F151" s="9"/>
      <c r="G151" s="9"/>
      <c r="H151" s="6"/>
      <c r="I151" s="9"/>
      <c r="J151" s="9" t="s">
        <v>145</v>
      </c>
    </row>
    <row r="152" spans="1:10">
      <c r="A152" s="5"/>
      <c r="B152" s="6"/>
      <c r="C152" s="7"/>
      <c r="D152" s="9"/>
      <c r="E152" s="8"/>
      <c r="F152" s="9"/>
      <c r="G152" s="9"/>
      <c r="H152" s="6"/>
      <c r="I152" s="9"/>
      <c r="J152" s="9" t="s">
        <v>145</v>
      </c>
    </row>
    <row r="153" spans="1:10">
      <c r="A153" s="5"/>
      <c r="B153" s="6"/>
      <c r="C153" s="7"/>
      <c r="D153" s="9"/>
      <c r="E153" s="4"/>
      <c r="F153" s="9"/>
      <c r="G153" s="9"/>
      <c r="H153" s="6"/>
      <c r="I153" s="9"/>
      <c r="J153" s="9" t="s">
        <v>145</v>
      </c>
    </row>
    <row r="154" spans="1:10">
      <c r="A154" s="5"/>
      <c r="B154" s="6"/>
      <c r="C154" s="7"/>
      <c r="D154" s="9"/>
      <c r="E154" s="8"/>
      <c r="F154" s="9"/>
      <c r="G154" s="9"/>
      <c r="H154" s="6"/>
      <c r="I154" s="9"/>
      <c r="J154" s="9" t="s">
        <v>145</v>
      </c>
    </row>
    <row r="155" spans="1:10">
      <c r="A155" s="5"/>
      <c r="B155" s="6"/>
      <c r="C155" s="7"/>
      <c r="D155" s="9"/>
      <c r="E155" s="4"/>
      <c r="F155" s="9"/>
      <c r="G155" s="9"/>
      <c r="H155" s="6"/>
      <c r="I155" s="9"/>
      <c r="J155" s="9" t="s">
        <v>145</v>
      </c>
    </row>
    <row r="156" spans="1:10">
      <c r="A156" s="5"/>
      <c r="B156" s="6"/>
      <c r="C156" s="7"/>
      <c r="D156" s="9"/>
      <c r="E156" s="8"/>
      <c r="F156" s="9"/>
      <c r="G156" s="9"/>
      <c r="H156" s="6"/>
      <c r="I156" s="9"/>
      <c r="J156" s="9" t="s">
        <v>145</v>
      </c>
    </row>
    <row r="157" spans="1:10">
      <c r="A157" s="5"/>
      <c r="B157" s="6"/>
      <c r="C157" s="7"/>
      <c r="D157" s="9"/>
      <c r="E157" s="8"/>
      <c r="F157" s="9"/>
      <c r="G157" s="9"/>
      <c r="H157" s="6"/>
      <c r="I157" s="9"/>
      <c r="J157" s="9" t="s">
        <v>145</v>
      </c>
    </row>
    <row r="158" spans="1:10">
      <c r="A158" s="5"/>
      <c r="B158" s="6"/>
      <c r="C158" s="7"/>
      <c r="D158" s="9"/>
      <c r="E158" s="4"/>
      <c r="F158" s="9"/>
      <c r="G158" s="9"/>
      <c r="H158" s="6"/>
      <c r="I158" s="9"/>
      <c r="J158" s="9" t="s">
        <v>145</v>
      </c>
    </row>
    <row r="159" spans="1:10">
      <c r="A159" s="5"/>
      <c r="B159" s="6"/>
      <c r="C159" s="7"/>
      <c r="D159" s="9"/>
      <c r="E159" s="8"/>
      <c r="F159" s="9"/>
      <c r="G159" s="9"/>
      <c r="H159" s="6"/>
      <c r="I159" s="9"/>
      <c r="J159" s="9" t="s">
        <v>145</v>
      </c>
    </row>
    <row r="160" spans="1:10">
      <c r="A160" s="5"/>
      <c r="B160" s="6"/>
      <c r="C160" s="7"/>
      <c r="D160" s="9"/>
      <c r="E160" s="4"/>
      <c r="F160" s="9"/>
      <c r="G160" s="9"/>
      <c r="H160" s="6"/>
      <c r="I160" s="9"/>
      <c r="J160" s="9" t="s">
        <v>145</v>
      </c>
    </row>
    <row r="161" spans="1:10">
      <c r="A161" s="5"/>
      <c r="B161" s="6"/>
      <c r="C161" s="7"/>
      <c r="D161" s="9"/>
      <c r="E161" s="8"/>
      <c r="F161" s="9"/>
      <c r="G161" s="9"/>
      <c r="H161" s="6"/>
      <c r="I161" s="9"/>
      <c r="J161" s="9" t="s">
        <v>145</v>
      </c>
    </row>
    <row r="162" spans="1:10">
      <c r="A162" s="5"/>
      <c r="B162" s="6"/>
      <c r="C162" s="7"/>
      <c r="D162" s="9"/>
      <c r="E162" s="4"/>
      <c r="F162" s="9"/>
      <c r="G162" s="9"/>
      <c r="H162" s="6"/>
      <c r="I162" s="9"/>
      <c r="J162" s="9" t="s">
        <v>145</v>
      </c>
    </row>
    <row r="163" spans="1:10">
      <c r="A163" s="5"/>
      <c r="B163" s="6"/>
      <c r="C163" s="7"/>
      <c r="D163" s="9"/>
      <c r="E163" s="8"/>
      <c r="F163" s="9"/>
      <c r="G163" s="9"/>
      <c r="H163" s="6"/>
      <c r="I163" s="9"/>
      <c r="J163" s="9" t="s">
        <v>145</v>
      </c>
    </row>
    <row r="164" spans="1:10">
      <c r="A164" s="5"/>
      <c r="B164" s="6"/>
      <c r="C164" s="7"/>
      <c r="D164" s="9"/>
      <c r="E164" s="8"/>
      <c r="F164" s="9"/>
      <c r="G164" s="9"/>
      <c r="H164" s="6"/>
      <c r="I164" s="9"/>
      <c r="J164" s="9" t="s">
        <v>145</v>
      </c>
    </row>
    <row r="165" spans="1:10">
      <c r="A165" s="5"/>
      <c r="B165" s="6"/>
      <c r="C165" s="7"/>
      <c r="D165" s="9"/>
      <c r="E165" s="8"/>
      <c r="F165" s="9"/>
      <c r="G165" s="9"/>
      <c r="H165" s="6"/>
      <c r="I165" s="9"/>
      <c r="J165" s="9" t="s">
        <v>145</v>
      </c>
    </row>
    <row r="166" spans="1:10">
      <c r="A166" s="5"/>
      <c r="B166" s="6"/>
      <c r="C166" s="7"/>
      <c r="D166" s="9"/>
      <c r="E166" s="8"/>
      <c r="F166" s="9"/>
      <c r="G166" s="9"/>
      <c r="H166" s="6"/>
      <c r="I166" s="9"/>
      <c r="J166" s="9" t="s">
        <v>145</v>
      </c>
    </row>
    <row r="167" spans="1:10">
      <c r="A167" s="5"/>
      <c r="B167" s="6"/>
      <c r="C167" s="7"/>
      <c r="D167" s="9"/>
      <c r="E167" s="8"/>
      <c r="F167" s="9"/>
      <c r="G167" s="9"/>
      <c r="H167" s="6"/>
      <c r="I167" s="9"/>
      <c r="J167" s="9" t="s">
        <v>145</v>
      </c>
    </row>
    <row r="168" spans="1:10">
      <c r="A168" s="5"/>
      <c r="B168" s="6"/>
      <c r="C168" s="7"/>
      <c r="D168" s="9"/>
      <c r="E168" s="8"/>
      <c r="F168" s="9"/>
      <c r="G168" s="9"/>
      <c r="H168" s="6"/>
      <c r="I168" s="9"/>
      <c r="J168" s="9" t="s">
        <v>145</v>
      </c>
    </row>
    <row r="169" spans="1:10">
      <c r="A169" s="5"/>
      <c r="B169" s="6"/>
      <c r="C169" s="7"/>
      <c r="D169" s="9"/>
      <c r="E169" s="8"/>
      <c r="F169" s="9"/>
      <c r="G169" s="9"/>
      <c r="H169" s="6"/>
      <c r="I169" s="9"/>
      <c r="J169" s="9" t="s">
        <v>145</v>
      </c>
    </row>
    <row r="170" spans="1:10">
      <c r="A170" s="5"/>
      <c r="B170" s="6"/>
      <c r="C170" s="7"/>
      <c r="D170" s="9"/>
      <c r="E170" s="4"/>
      <c r="F170" s="9"/>
      <c r="G170" s="9"/>
      <c r="H170" s="6"/>
      <c r="I170" s="9"/>
      <c r="J170" s="9" t="s">
        <v>145</v>
      </c>
    </row>
    <row r="171" spans="1:10">
      <c r="A171" s="5"/>
      <c r="B171" s="6"/>
      <c r="C171" s="7"/>
      <c r="D171" s="9"/>
      <c r="E171" s="8"/>
      <c r="F171" s="9"/>
      <c r="G171" s="9"/>
      <c r="H171" s="6"/>
      <c r="I171" s="9"/>
      <c r="J171" s="9" t="s">
        <v>145</v>
      </c>
    </row>
    <row r="172" spans="1:10">
      <c r="A172" s="5"/>
      <c r="B172" s="6"/>
      <c r="C172" s="7"/>
      <c r="D172" s="9"/>
      <c r="E172" s="8"/>
      <c r="F172" s="9"/>
      <c r="G172" s="9"/>
      <c r="H172" s="6"/>
      <c r="I172" s="9"/>
      <c r="J172" s="9" t="s">
        <v>145</v>
      </c>
    </row>
    <row r="173" spans="1:10">
      <c r="A173" s="5"/>
      <c r="B173" s="6"/>
      <c r="C173" s="7"/>
      <c r="D173" s="9"/>
      <c r="E173" s="8"/>
      <c r="F173" s="9"/>
      <c r="G173" s="9"/>
      <c r="H173" s="6"/>
      <c r="I173" s="9"/>
      <c r="J173" s="9" t="s">
        <v>145</v>
      </c>
    </row>
    <row r="174" spans="1:10">
      <c r="A174" s="5"/>
      <c r="B174" s="6"/>
      <c r="C174" s="7"/>
      <c r="D174" s="9"/>
      <c r="E174" s="4"/>
      <c r="F174" s="9"/>
      <c r="G174" s="9"/>
      <c r="H174" s="6"/>
      <c r="I174" s="9"/>
      <c r="J174" s="9" t="s">
        <v>145</v>
      </c>
    </row>
    <row r="175" spans="1:10">
      <c r="A175" s="5"/>
      <c r="B175" s="6"/>
      <c r="C175" s="7"/>
      <c r="D175" s="9"/>
      <c r="E175" s="8"/>
      <c r="F175" s="9"/>
      <c r="G175" s="9"/>
      <c r="H175" s="6"/>
      <c r="I175" s="9"/>
      <c r="J175" s="9" t="s">
        <v>145</v>
      </c>
    </row>
    <row r="176" spans="1:10">
      <c r="A176" s="5"/>
      <c r="B176" s="6"/>
      <c r="C176" s="7"/>
      <c r="D176" s="9"/>
      <c r="E176" s="8"/>
      <c r="F176" s="9"/>
      <c r="G176" s="9"/>
      <c r="H176" s="6"/>
      <c r="I176" s="9"/>
      <c r="J176" s="9" t="s">
        <v>145</v>
      </c>
    </row>
    <row r="177" spans="1:10">
      <c r="A177" s="5"/>
      <c r="B177" s="6"/>
      <c r="C177" s="7"/>
      <c r="D177" s="9"/>
      <c r="E177" s="8"/>
      <c r="F177" s="9"/>
      <c r="G177" s="9"/>
      <c r="H177" s="6"/>
      <c r="I177" s="9"/>
      <c r="J177" s="9" t="s">
        <v>145</v>
      </c>
    </row>
    <row r="178" spans="1:10">
      <c r="A178" s="5"/>
      <c r="B178" s="6"/>
      <c r="C178" s="7"/>
      <c r="D178" s="9"/>
      <c r="E178" s="8"/>
      <c r="F178" s="9"/>
      <c r="G178" s="9"/>
      <c r="H178" s="6"/>
      <c r="I178" s="9"/>
      <c r="J178" s="9" t="s">
        <v>145</v>
      </c>
    </row>
    <row r="179" spans="1:10">
      <c r="A179" s="5"/>
      <c r="B179" s="6"/>
      <c r="C179" s="7"/>
      <c r="D179" s="9"/>
      <c r="E179" s="8"/>
      <c r="F179" s="9"/>
      <c r="G179" s="9"/>
      <c r="H179" s="6"/>
      <c r="I179" s="9"/>
      <c r="J179" s="9" t="s">
        <v>145</v>
      </c>
    </row>
    <row r="180" spans="1:10">
      <c r="A180" s="5"/>
      <c r="B180" s="6"/>
      <c r="C180" s="7"/>
      <c r="D180" s="9"/>
      <c r="E180" s="8"/>
      <c r="F180" s="9"/>
      <c r="G180" s="9"/>
      <c r="H180" s="6"/>
      <c r="I180" s="9"/>
      <c r="J180" s="9" t="s">
        <v>145</v>
      </c>
    </row>
    <row r="181" spans="1:10">
      <c r="A181" s="5"/>
      <c r="B181" s="6"/>
      <c r="C181" s="7"/>
      <c r="D181" s="9"/>
      <c r="E181" s="4"/>
      <c r="F181" s="9"/>
      <c r="G181" s="9"/>
      <c r="H181" s="6"/>
      <c r="I181" s="9"/>
      <c r="J181" s="9" t="s">
        <v>145</v>
      </c>
    </row>
    <row r="182" spans="1:10">
      <c r="A182" s="5"/>
      <c r="B182" s="6"/>
      <c r="C182" s="7"/>
      <c r="D182" s="9"/>
      <c r="E182" s="8"/>
      <c r="F182" s="9"/>
      <c r="G182" s="9"/>
      <c r="H182" s="6"/>
      <c r="I182" s="9"/>
      <c r="J182" s="9" t="s">
        <v>145</v>
      </c>
    </row>
    <row r="183" spans="1:10">
      <c r="A183" s="5"/>
      <c r="B183" s="6"/>
      <c r="C183" s="7"/>
      <c r="D183" s="9"/>
      <c r="E183" s="4"/>
      <c r="F183" s="9"/>
      <c r="G183" s="9"/>
      <c r="H183" s="6"/>
      <c r="I183" s="9"/>
      <c r="J183" s="9" t="s">
        <v>145</v>
      </c>
    </row>
    <row r="184" spans="1:10">
      <c r="A184" s="5"/>
      <c r="B184" s="6"/>
      <c r="C184" s="7"/>
      <c r="D184" s="9"/>
      <c r="E184" s="8"/>
      <c r="F184" s="9"/>
      <c r="G184" s="9"/>
      <c r="H184" s="6"/>
      <c r="I184" s="9"/>
      <c r="J184" s="9" t="s">
        <v>145</v>
      </c>
    </row>
    <row r="185" spans="1:10">
      <c r="A185" s="5"/>
      <c r="B185" s="6"/>
      <c r="C185" s="7"/>
      <c r="D185" s="9"/>
      <c r="E185" s="8"/>
      <c r="F185" s="9"/>
      <c r="G185" s="9"/>
      <c r="H185" s="6"/>
      <c r="I185" s="9"/>
      <c r="J185" s="9" t="s">
        <v>145</v>
      </c>
    </row>
    <row r="186" spans="1:10">
      <c r="A186" s="5"/>
      <c r="B186" s="6"/>
      <c r="C186" s="7"/>
      <c r="D186" s="9"/>
      <c r="E186" s="8"/>
      <c r="F186" s="9"/>
      <c r="G186" s="9"/>
      <c r="H186" s="6"/>
      <c r="I186" s="9"/>
      <c r="J186" s="9" t="s">
        <v>145</v>
      </c>
    </row>
    <row r="187" spans="1:10">
      <c r="A187" s="5"/>
      <c r="B187" s="6"/>
      <c r="C187" s="7"/>
      <c r="D187" s="9"/>
      <c r="E187" s="8"/>
      <c r="F187" s="9"/>
      <c r="G187" s="9"/>
      <c r="H187" s="6"/>
      <c r="I187" s="9"/>
      <c r="J187" s="9" t="s">
        <v>145</v>
      </c>
    </row>
    <row r="188" spans="1:10">
      <c r="A188" s="5"/>
      <c r="B188" s="6"/>
      <c r="C188" s="7"/>
      <c r="D188" s="9"/>
      <c r="E188" s="8"/>
      <c r="F188" s="9"/>
      <c r="G188" s="9"/>
      <c r="H188" s="6"/>
      <c r="I188" s="9"/>
      <c r="J188" s="9" t="s">
        <v>145</v>
      </c>
    </row>
    <row r="189" spans="1:10">
      <c r="A189" s="5"/>
      <c r="B189" s="6"/>
      <c r="C189" s="7"/>
      <c r="D189" s="9"/>
      <c r="E189" s="8"/>
      <c r="F189" s="9"/>
      <c r="G189" s="9"/>
      <c r="H189" s="6"/>
      <c r="I189" s="9"/>
      <c r="J189" s="9" t="s">
        <v>145</v>
      </c>
    </row>
    <row r="190" spans="1:10">
      <c r="A190" s="5"/>
      <c r="B190" s="6"/>
      <c r="C190" s="7"/>
      <c r="D190" s="9"/>
      <c r="E190" s="8"/>
      <c r="F190" s="9"/>
      <c r="G190" s="9"/>
      <c r="H190" s="6"/>
      <c r="I190" s="9"/>
      <c r="J190" s="9" t="s">
        <v>145</v>
      </c>
    </row>
    <row r="191" spans="1:10">
      <c r="A191" s="5"/>
      <c r="B191" s="6"/>
      <c r="C191" s="7"/>
      <c r="D191" s="9"/>
      <c r="E191" s="8"/>
      <c r="F191" s="9"/>
      <c r="G191" s="9"/>
      <c r="H191" s="6"/>
      <c r="I191" s="9"/>
      <c r="J191" s="9" t="s">
        <v>145</v>
      </c>
    </row>
    <row r="192" spans="1:10">
      <c r="A192" s="5"/>
      <c r="B192" s="6"/>
      <c r="C192" s="7"/>
      <c r="D192" s="9"/>
      <c r="E192" s="4"/>
      <c r="F192" s="9"/>
      <c r="G192" s="9"/>
      <c r="H192" s="6"/>
      <c r="I192" s="9"/>
      <c r="J192" s="9" t="s">
        <v>145</v>
      </c>
    </row>
    <row r="193" spans="1:10">
      <c r="A193" s="5"/>
      <c r="B193" s="6"/>
      <c r="C193" s="7"/>
      <c r="D193" s="9"/>
      <c r="E193" s="8"/>
      <c r="F193" s="9"/>
      <c r="G193" s="9"/>
      <c r="H193" s="6"/>
      <c r="I193" s="9"/>
      <c r="J193" s="9" t="s">
        <v>145</v>
      </c>
    </row>
    <row r="194" spans="1:10">
      <c r="A194" s="5"/>
      <c r="B194" s="6"/>
      <c r="C194" s="7"/>
      <c r="D194" s="9"/>
      <c r="E194" s="8"/>
      <c r="F194" s="9"/>
      <c r="G194" s="9"/>
      <c r="H194" s="6"/>
      <c r="I194" s="9"/>
      <c r="J194" s="9" t="s">
        <v>145</v>
      </c>
    </row>
    <row r="195" spans="1:10">
      <c r="A195" s="5"/>
      <c r="B195" s="6"/>
      <c r="C195" s="7"/>
      <c r="D195" s="9"/>
      <c r="E195" s="8"/>
      <c r="F195" s="9"/>
      <c r="G195" s="9"/>
      <c r="H195" s="6"/>
      <c r="I195" s="9"/>
      <c r="J195" s="9" t="s">
        <v>145</v>
      </c>
    </row>
    <row r="196" spans="1:10">
      <c r="A196" s="5"/>
      <c r="B196" s="6"/>
      <c r="C196" s="7"/>
      <c r="D196" s="9"/>
      <c r="E196" s="8"/>
      <c r="F196" s="9"/>
      <c r="G196" s="9"/>
      <c r="H196" s="6"/>
      <c r="I196" s="9"/>
      <c r="J196" s="9" t="s">
        <v>145</v>
      </c>
    </row>
    <row r="197" spans="1:10">
      <c r="A197" s="5"/>
      <c r="B197" s="6"/>
      <c r="C197" s="7"/>
      <c r="D197" s="9"/>
      <c r="E197" s="8"/>
      <c r="F197" s="9"/>
      <c r="G197" s="9"/>
      <c r="H197" s="6"/>
      <c r="I197" s="9"/>
      <c r="J197" s="9" t="s">
        <v>145</v>
      </c>
    </row>
    <row r="198" spans="1:10">
      <c r="A198" s="5"/>
      <c r="B198" s="6"/>
      <c r="C198" s="7"/>
      <c r="D198" s="9"/>
      <c r="E198" s="4"/>
      <c r="F198" s="9"/>
      <c r="G198" s="9"/>
      <c r="H198" s="6"/>
      <c r="I198" s="9"/>
      <c r="J198" s="9" t="s">
        <v>145</v>
      </c>
    </row>
    <row r="199" spans="1:10">
      <c r="A199" s="5"/>
      <c r="B199" s="6"/>
      <c r="C199" s="7"/>
      <c r="D199" s="9"/>
      <c r="E199" s="8"/>
      <c r="F199" s="9"/>
      <c r="G199" s="9"/>
      <c r="H199" s="6"/>
      <c r="I199" s="9"/>
      <c r="J199" s="9" t="s">
        <v>145</v>
      </c>
    </row>
    <row r="200" spans="1:10">
      <c r="A200" s="5"/>
      <c r="B200" s="6"/>
      <c r="C200" s="7"/>
      <c r="D200" s="9"/>
      <c r="E200" s="8"/>
      <c r="F200" s="9"/>
      <c r="G200" s="9"/>
      <c r="H200" s="6"/>
      <c r="I200" s="9"/>
      <c r="J200" s="9" t="s">
        <v>145</v>
      </c>
    </row>
    <row r="201" spans="1:10">
      <c r="A201" s="5"/>
      <c r="B201" s="6"/>
      <c r="C201" s="7"/>
      <c r="D201" s="9"/>
      <c r="E201" s="8"/>
      <c r="F201" s="9"/>
      <c r="G201" s="9"/>
      <c r="H201" s="6"/>
      <c r="I201" s="9"/>
      <c r="J201" s="9" t="s">
        <v>145</v>
      </c>
    </row>
    <row r="202" spans="1:10">
      <c r="A202" s="5"/>
      <c r="B202" s="6"/>
      <c r="C202" s="7"/>
      <c r="D202" s="9"/>
      <c r="E202" s="8"/>
      <c r="F202" s="9"/>
      <c r="G202" s="9"/>
      <c r="H202" s="6"/>
      <c r="I202" s="9"/>
      <c r="J202" s="9" t="s">
        <v>145</v>
      </c>
    </row>
    <row r="203" spans="1:10">
      <c r="A203" s="5"/>
      <c r="B203" s="6"/>
      <c r="C203" s="7"/>
      <c r="D203" s="9"/>
      <c r="E203" s="4"/>
      <c r="F203" s="9"/>
      <c r="G203" s="9"/>
      <c r="H203" s="6"/>
      <c r="I203" s="9"/>
      <c r="J203" s="9" t="s">
        <v>145</v>
      </c>
    </row>
    <row r="204" spans="1:10">
      <c r="A204" s="5"/>
      <c r="B204" s="6"/>
      <c r="C204" s="7"/>
      <c r="D204" s="9"/>
      <c r="E204" s="8"/>
      <c r="F204" s="9"/>
      <c r="G204" s="9"/>
      <c r="H204" s="6"/>
      <c r="I204" s="9"/>
      <c r="J204" s="9" t="s">
        <v>145</v>
      </c>
    </row>
    <row r="205" spans="1:10">
      <c r="A205" s="5"/>
      <c r="B205" s="6"/>
      <c r="C205" s="7"/>
      <c r="D205" s="9"/>
      <c r="E205" s="8"/>
      <c r="F205" s="9"/>
      <c r="G205" s="9"/>
      <c r="H205" s="6"/>
      <c r="I205" s="9"/>
      <c r="J205" s="9" t="s">
        <v>145</v>
      </c>
    </row>
    <row r="206" spans="1:10">
      <c r="A206" s="5"/>
      <c r="B206" s="6"/>
      <c r="C206" s="7"/>
      <c r="D206" s="9"/>
      <c r="E206" s="8"/>
      <c r="F206" s="9"/>
      <c r="G206" s="9"/>
      <c r="H206" s="6"/>
      <c r="I206" s="9"/>
      <c r="J206" s="9" t="s">
        <v>145</v>
      </c>
    </row>
    <row r="207" spans="1:10">
      <c r="A207" s="5"/>
      <c r="B207" s="6"/>
      <c r="C207" s="7"/>
      <c r="D207" s="9"/>
      <c r="E207" s="8"/>
      <c r="F207" s="9"/>
      <c r="G207" s="9"/>
      <c r="H207" s="6"/>
      <c r="I207" s="9"/>
      <c r="J207" s="9" t="s">
        <v>145</v>
      </c>
    </row>
    <row r="208" spans="1:10">
      <c r="A208" s="5"/>
      <c r="B208" s="6"/>
      <c r="C208" s="7"/>
      <c r="D208" s="9"/>
      <c r="E208" s="8"/>
      <c r="F208" s="9"/>
      <c r="G208" s="9"/>
      <c r="H208" s="6"/>
      <c r="I208" s="9"/>
      <c r="J208" s="9" t="s">
        <v>145</v>
      </c>
    </row>
    <row r="209" spans="1:10">
      <c r="A209" s="5"/>
      <c r="B209" s="6"/>
      <c r="C209" s="7"/>
      <c r="D209" s="9"/>
      <c r="E209" s="8"/>
      <c r="F209" s="9"/>
      <c r="G209" s="9"/>
      <c r="H209" s="6"/>
      <c r="I209" s="9"/>
      <c r="J209" s="9" t="s">
        <v>145</v>
      </c>
    </row>
    <row r="210" spans="1:10">
      <c r="A210" s="5"/>
      <c r="B210" s="6"/>
      <c r="C210" s="7"/>
      <c r="D210" s="9"/>
      <c r="E210" s="8"/>
      <c r="F210" s="9"/>
      <c r="G210" s="9"/>
      <c r="H210" s="6"/>
      <c r="I210" s="9"/>
      <c r="J210" s="9" t="s">
        <v>145</v>
      </c>
    </row>
    <row r="211" spans="1:10">
      <c r="A211" s="5"/>
      <c r="B211" s="6"/>
      <c r="C211" s="7"/>
      <c r="D211" s="9"/>
      <c r="E211" s="8"/>
      <c r="F211" s="9"/>
      <c r="G211" s="9"/>
      <c r="H211" s="6"/>
      <c r="I211" s="9"/>
      <c r="J211" s="9" t="s">
        <v>145</v>
      </c>
    </row>
    <row r="212" spans="1:10">
      <c r="A212" s="5"/>
      <c r="B212" s="6"/>
      <c r="C212" s="7"/>
      <c r="D212" s="9"/>
      <c r="E212" s="8"/>
      <c r="F212" s="9"/>
      <c r="G212" s="9"/>
      <c r="H212" s="6"/>
      <c r="I212" s="9"/>
      <c r="J212" s="9" t="s">
        <v>145</v>
      </c>
    </row>
    <row r="213" spans="1:10">
      <c r="A213" s="5"/>
      <c r="B213" s="6"/>
      <c r="C213" s="7"/>
      <c r="D213" s="9"/>
      <c r="E213" s="8"/>
      <c r="F213" s="9"/>
      <c r="G213" s="9"/>
      <c r="H213" s="6"/>
      <c r="I213" s="9"/>
      <c r="J213" s="9" t="s">
        <v>145</v>
      </c>
    </row>
    <row r="214" spans="1:10">
      <c r="A214" s="5"/>
      <c r="B214" s="6"/>
      <c r="C214" s="7"/>
      <c r="D214" s="9"/>
      <c r="E214" s="8"/>
      <c r="F214" s="9"/>
      <c r="G214" s="9"/>
      <c r="H214" s="6"/>
      <c r="I214" s="9"/>
      <c r="J214" s="9" t="s">
        <v>145</v>
      </c>
    </row>
    <row r="215" spans="1:10">
      <c r="A215" s="5"/>
      <c r="B215" s="6"/>
      <c r="C215" s="7"/>
      <c r="D215" s="9"/>
      <c r="E215" s="8"/>
      <c r="F215" s="9"/>
      <c r="G215" s="9"/>
      <c r="H215" s="6"/>
      <c r="I215" s="9"/>
      <c r="J215" s="9" t="s">
        <v>145</v>
      </c>
    </row>
    <row r="216" spans="1:10">
      <c r="A216" s="5"/>
      <c r="B216" s="6"/>
      <c r="C216" s="7"/>
      <c r="D216" s="9"/>
      <c r="E216" s="8"/>
      <c r="F216" s="9"/>
      <c r="G216" s="9"/>
      <c r="H216" s="6"/>
      <c r="I216" s="9"/>
      <c r="J216" s="9" t="s">
        <v>145</v>
      </c>
    </row>
    <row r="217" spans="1:10">
      <c r="A217" s="5"/>
      <c r="B217" s="6"/>
      <c r="C217" s="7"/>
      <c r="D217" s="9"/>
      <c r="E217" s="8"/>
      <c r="F217" s="9"/>
      <c r="G217" s="9"/>
      <c r="H217" s="6"/>
      <c r="I217" s="9"/>
      <c r="J217" s="9" t="s">
        <v>145</v>
      </c>
    </row>
    <row r="218" spans="1:10">
      <c r="A218" s="5"/>
      <c r="B218" s="6"/>
      <c r="C218" s="7"/>
      <c r="D218" s="9"/>
      <c r="E218" s="8"/>
      <c r="F218" s="9"/>
      <c r="G218" s="9"/>
      <c r="H218" s="6"/>
      <c r="I218" s="9"/>
      <c r="J218" s="9" t="s">
        <v>145</v>
      </c>
    </row>
    <row r="219" spans="1:10">
      <c r="A219" s="5"/>
      <c r="B219" s="6"/>
      <c r="C219" s="7"/>
      <c r="D219" s="9"/>
      <c r="E219" s="8"/>
      <c r="F219" s="9"/>
      <c r="G219" s="9"/>
      <c r="H219" s="6"/>
      <c r="I219" s="9"/>
      <c r="J219" s="9" t="s">
        <v>145</v>
      </c>
    </row>
    <row r="220" spans="1:10">
      <c r="A220" s="5"/>
      <c r="B220" s="6"/>
      <c r="C220" s="7"/>
      <c r="D220" s="9"/>
      <c r="E220" s="8"/>
      <c r="F220" s="9"/>
      <c r="G220" s="9"/>
      <c r="H220" s="6"/>
      <c r="I220" s="9"/>
      <c r="J220" s="9" t="s">
        <v>145</v>
      </c>
    </row>
    <row r="221" spans="1:10">
      <c r="A221" s="5"/>
      <c r="B221" s="6"/>
      <c r="C221" s="7"/>
      <c r="D221" s="9"/>
      <c r="E221" s="8"/>
      <c r="F221" s="9"/>
      <c r="G221" s="9"/>
      <c r="H221" s="6"/>
      <c r="I221" s="9"/>
      <c r="J221" s="9" t="s">
        <v>145</v>
      </c>
    </row>
    <row r="222" spans="1:10">
      <c r="A222" s="5"/>
      <c r="B222" s="6"/>
      <c r="C222" s="7"/>
      <c r="D222" s="9"/>
      <c r="E222" s="8"/>
      <c r="F222" s="9"/>
      <c r="G222" s="9"/>
      <c r="H222" s="6"/>
      <c r="I222" s="9"/>
      <c r="J222" s="9" t="s">
        <v>145</v>
      </c>
    </row>
    <row r="223" spans="1:10">
      <c r="A223" s="5"/>
      <c r="B223" s="6"/>
      <c r="C223" s="7"/>
      <c r="D223" s="9"/>
      <c r="E223" s="8"/>
      <c r="F223" s="9"/>
      <c r="G223" s="9"/>
      <c r="H223" s="6"/>
      <c r="I223" s="9"/>
      <c r="J223" s="9" t="s">
        <v>145</v>
      </c>
    </row>
    <row r="224" spans="1:10">
      <c r="A224" s="5"/>
      <c r="B224" s="6"/>
      <c r="C224" s="7"/>
      <c r="D224" s="9"/>
      <c r="E224" s="4"/>
      <c r="F224" s="9"/>
      <c r="G224" s="9"/>
      <c r="H224" s="6"/>
      <c r="I224" s="9"/>
      <c r="J224" s="9" t="s">
        <v>145</v>
      </c>
    </row>
    <row r="225" spans="1:10">
      <c r="A225" s="5"/>
      <c r="B225" s="6"/>
      <c r="C225" s="7"/>
      <c r="D225" s="9"/>
      <c r="E225" s="8"/>
      <c r="F225" s="9"/>
      <c r="G225" s="9"/>
      <c r="H225" s="6"/>
      <c r="I225" s="9"/>
      <c r="J225" s="9" t="s">
        <v>145</v>
      </c>
    </row>
    <row r="226" spans="1:10">
      <c r="A226" s="5"/>
      <c r="B226" s="6"/>
      <c r="C226" s="7"/>
      <c r="D226" s="9"/>
      <c r="E226" s="8"/>
      <c r="F226" s="9"/>
      <c r="G226" s="9"/>
      <c r="H226" s="6"/>
      <c r="I226" s="9"/>
      <c r="J226" s="9" t="s">
        <v>145</v>
      </c>
    </row>
    <row r="227" spans="1:10">
      <c r="A227" s="5"/>
      <c r="B227" s="6"/>
      <c r="C227" s="7"/>
      <c r="D227" s="9"/>
      <c r="E227" s="8"/>
      <c r="F227" s="9"/>
      <c r="G227" s="9"/>
      <c r="H227" s="6"/>
      <c r="I227" s="9"/>
      <c r="J227" s="9" t="s">
        <v>145</v>
      </c>
    </row>
    <row r="228" spans="1:10">
      <c r="A228" s="5"/>
      <c r="B228" s="6"/>
      <c r="C228" s="7"/>
      <c r="D228" s="9"/>
      <c r="E228" s="4"/>
      <c r="F228" s="9"/>
      <c r="G228" s="9"/>
      <c r="H228" s="6"/>
      <c r="I228" s="9"/>
      <c r="J228" s="9" t="s">
        <v>145</v>
      </c>
    </row>
    <row r="229" spans="1:10">
      <c r="A229" s="5"/>
      <c r="B229" s="6"/>
      <c r="C229" s="7"/>
      <c r="D229" s="9"/>
      <c r="E229" s="8"/>
      <c r="F229" s="9"/>
      <c r="G229" s="9"/>
      <c r="H229" s="6"/>
      <c r="I229" s="9"/>
      <c r="J229" s="9" t="s">
        <v>145</v>
      </c>
    </row>
    <row r="230" spans="1:10">
      <c r="A230" s="5"/>
      <c r="B230" s="6"/>
      <c r="C230" s="7"/>
      <c r="D230" s="9"/>
      <c r="E230" s="4"/>
      <c r="F230" s="9"/>
      <c r="G230" s="9"/>
      <c r="H230" s="6"/>
      <c r="I230" s="9"/>
      <c r="J230" s="9" t="s">
        <v>145</v>
      </c>
    </row>
    <row r="231" spans="1:10">
      <c r="A231" s="5"/>
      <c r="B231" s="6"/>
      <c r="C231" s="7"/>
      <c r="D231" s="9"/>
      <c r="E231" s="8"/>
      <c r="F231" s="9"/>
      <c r="G231" s="9"/>
      <c r="H231" s="6"/>
      <c r="I231" s="9"/>
      <c r="J231" s="9" t="s">
        <v>145</v>
      </c>
    </row>
    <row r="232" spans="1:10">
      <c r="A232" s="5"/>
      <c r="B232" s="6"/>
      <c r="C232" s="7"/>
      <c r="D232" s="9"/>
      <c r="E232" s="4"/>
      <c r="F232" s="9"/>
      <c r="G232" s="9"/>
      <c r="H232" s="6"/>
      <c r="I232" s="9"/>
      <c r="J232" s="9" t="s">
        <v>145</v>
      </c>
    </row>
    <row r="233" spans="1:10">
      <c r="A233" s="5"/>
      <c r="B233" s="6"/>
      <c r="C233" s="7"/>
      <c r="D233" s="9"/>
      <c r="E233" s="8"/>
      <c r="F233" s="9"/>
      <c r="G233" s="9"/>
      <c r="H233" s="6"/>
      <c r="I233" s="9"/>
      <c r="J233" s="9" t="s">
        <v>145</v>
      </c>
    </row>
    <row r="234" spans="1:10">
      <c r="A234" s="5"/>
      <c r="B234" s="6"/>
      <c r="C234" s="7"/>
      <c r="D234" s="9"/>
      <c r="E234" s="8"/>
      <c r="F234" s="9"/>
      <c r="G234" s="9"/>
      <c r="H234" s="6"/>
      <c r="I234" s="9"/>
      <c r="J234" s="9" t="s">
        <v>145</v>
      </c>
    </row>
    <row r="235" spans="1:10">
      <c r="A235" s="5"/>
      <c r="B235" s="6"/>
      <c r="C235" s="7"/>
      <c r="D235" s="9"/>
      <c r="E235" s="8"/>
      <c r="F235" s="9"/>
      <c r="G235" s="9"/>
      <c r="H235" s="6"/>
      <c r="I235" s="9"/>
      <c r="J235" s="9" t="s">
        <v>145</v>
      </c>
    </row>
    <row r="236" spans="1:10">
      <c r="A236" s="5"/>
      <c r="B236" s="6"/>
      <c r="C236" s="7"/>
      <c r="D236" s="9"/>
      <c r="E236" s="4"/>
      <c r="F236" s="9"/>
      <c r="G236" s="9"/>
      <c r="H236" s="6"/>
      <c r="I236" s="9"/>
      <c r="J236" s="9" t="s">
        <v>145</v>
      </c>
    </row>
    <row r="237" spans="1:10">
      <c r="A237" s="5"/>
      <c r="B237" s="6"/>
      <c r="C237" s="7"/>
      <c r="D237" s="9"/>
      <c r="E237" s="8"/>
      <c r="F237" s="9"/>
      <c r="G237" s="9"/>
      <c r="H237" s="6"/>
      <c r="I237" s="9"/>
      <c r="J237" s="9" t="s">
        <v>145</v>
      </c>
    </row>
    <row r="238" spans="1:10">
      <c r="A238" s="5"/>
      <c r="B238" s="6"/>
      <c r="C238" s="7"/>
      <c r="D238" s="9"/>
      <c r="E238" s="8"/>
      <c r="F238" s="9"/>
      <c r="G238" s="9"/>
      <c r="H238" s="6"/>
      <c r="I238" s="9"/>
      <c r="J238" s="9" t="s">
        <v>145</v>
      </c>
    </row>
    <row r="239" spans="1:10">
      <c r="A239" s="5"/>
      <c r="B239" s="6"/>
      <c r="C239" s="7"/>
      <c r="D239" s="9"/>
      <c r="E239" s="8"/>
      <c r="F239" s="9"/>
      <c r="G239" s="9"/>
      <c r="H239" s="6"/>
      <c r="I239" s="9"/>
      <c r="J239" s="9" t="s">
        <v>145</v>
      </c>
    </row>
    <row r="240" spans="1:10">
      <c r="A240" s="5"/>
      <c r="B240" s="6"/>
      <c r="C240" s="7"/>
      <c r="D240" s="9"/>
      <c r="E240" s="8"/>
      <c r="F240" s="9"/>
      <c r="G240" s="9"/>
      <c r="H240" s="6"/>
      <c r="I240" s="9"/>
      <c r="J240" s="9" t="s">
        <v>145</v>
      </c>
    </row>
    <row r="241" spans="1:10">
      <c r="A241" s="5"/>
      <c r="B241" s="6"/>
      <c r="C241" s="7"/>
      <c r="D241" s="9"/>
      <c r="E241" s="4"/>
      <c r="F241" s="9"/>
      <c r="G241" s="9"/>
      <c r="H241" s="6"/>
      <c r="I241" s="9"/>
      <c r="J241" s="9" t="s">
        <v>145</v>
      </c>
    </row>
    <row r="242" spans="1:10">
      <c r="A242" s="5"/>
      <c r="B242" s="6"/>
      <c r="C242" s="7"/>
      <c r="D242" s="9"/>
      <c r="E242" s="4"/>
      <c r="F242" s="9"/>
      <c r="G242" s="9"/>
      <c r="H242" s="6"/>
      <c r="I242" s="9"/>
      <c r="J242" s="9" t="s">
        <v>145</v>
      </c>
    </row>
    <row r="243" spans="1:10">
      <c r="A243" s="5"/>
      <c r="B243" s="6"/>
      <c r="C243" s="7"/>
      <c r="D243" s="9"/>
      <c r="E243" s="8"/>
      <c r="F243" s="9"/>
      <c r="G243" s="9"/>
      <c r="H243" s="6"/>
      <c r="I243" s="9"/>
      <c r="J243" s="9" t="s">
        <v>145</v>
      </c>
    </row>
    <row r="244" spans="1:10">
      <c r="A244" s="5"/>
      <c r="B244" s="6"/>
      <c r="C244" s="7"/>
      <c r="D244" s="9"/>
      <c r="E244" s="8"/>
      <c r="F244" s="9"/>
      <c r="G244" s="9"/>
      <c r="H244" s="6"/>
      <c r="I244" s="9"/>
      <c r="J244" s="9" t="s">
        <v>145</v>
      </c>
    </row>
    <row r="245" spans="1:10">
      <c r="A245" s="5"/>
      <c r="B245" s="6"/>
      <c r="C245" s="7"/>
      <c r="D245" s="9"/>
      <c r="E245" s="4"/>
      <c r="F245" s="9"/>
      <c r="G245" s="9"/>
      <c r="H245" s="6"/>
      <c r="I245" s="9"/>
      <c r="J245" s="9" t="s">
        <v>145</v>
      </c>
    </row>
    <row r="246" spans="1:10">
      <c r="A246" s="5"/>
      <c r="B246" s="6"/>
      <c r="C246" s="7"/>
      <c r="D246" s="9"/>
      <c r="E246" s="8"/>
      <c r="F246" s="9"/>
      <c r="G246" s="9"/>
      <c r="H246" s="6"/>
      <c r="I246" s="9"/>
      <c r="J246" s="9" t="s">
        <v>145</v>
      </c>
    </row>
    <row r="247" spans="1:10">
      <c r="A247" s="5"/>
      <c r="B247" s="6"/>
      <c r="C247" s="7"/>
      <c r="D247" s="9"/>
      <c r="E247" s="8"/>
      <c r="F247" s="9"/>
      <c r="G247" s="9"/>
      <c r="H247" s="6"/>
      <c r="I247" s="9"/>
      <c r="J247" s="9" t="s">
        <v>145</v>
      </c>
    </row>
    <row r="248" spans="1:10">
      <c r="A248" s="5"/>
      <c r="B248" s="6"/>
      <c r="C248" s="7"/>
      <c r="D248" s="9"/>
      <c r="E248" s="8"/>
      <c r="F248" s="9"/>
      <c r="G248" s="9"/>
      <c r="H248" s="6"/>
      <c r="I248" s="9"/>
      <c r="J248" s="9" t="s">
        <v>145</v>
      </c>
    </row>
    <row r="249" spans="1:10">
      <c r="A249" s="5"/>
      <c r="B249" s="6"/>
      <c r="C249" s="7"/>
      <c r="D249" s="9"/>
      <c r="E249" s="8"/>
      <c r="F249" s="9"/>
      <c r="G249" s="9"/>
      <c r="H249" s="6"/>
      <c r="I249" s="9"/>
      <c r="J249" s="9" t="s">
        <v>145</v>
      </c>
    </row>
    <row r="250" spans="1:10">
      <c r="A250" s="5"/>
      <c r="B250" s="6"/>
      <c r="C250" s="7"/>
      <c r="D250" s="9"/>
      <c r="E250" s="4"/>
      <c r="F250" s="9"/>
      <c r="G250" s="9"/>
      <c r="H250" s="6"/>
      <c r="I250" s="9"/>
      <c r="J250" s="9" t="s">
        <v>145</v>
      </c>
    </row>
    <row r="251" spans="1:10">
      <c r="A251" s="5"/>
      <c r="B251" s="6"/>
      <c r="C251" s="7"/>
      <c r="D251" s="9"/>
      <c r="E251" s="8"/>
      <c r="F251" s="9"/>
      <c r="G251" s="9"/>
      <c r="H251" s="6"/>
      <c r="I251" s="9"/>
      <c r="J251" s="9" t="s">
        <v>145</v>
      </c>
    </row>
    <row r="252" spans="1:10">
      <c r="A252" s="5"/>
      <c r="B252" s="6"/>
      <c r="C252" s="7"/>
      <c r="D252" s="9"/>
      <c r="E252" s="8"/>
      <c r="F252" s="9"/>
      <c r="G252" s="9"/>
      <c r="H252" s="6"/>
      <c r="I252" s="9"/>
      <c r="J252" s="9" t="s">
        <v>145</v>
      </c>
    </row>
    <row r="253" spans="1:10">
      <c r="A253" s="5"/>
      <c r="B253" s="6"/>
      <c r="C253" s="7"/>
      <c r="D253" s="9"/>
      <c r="E253" s="8"/>
      <c r="F253" s="9"/>
      <c r="G253" s="9"/>
      <c r="H253" s="6"/>
      <c r="I253" s="9"/>
      <c r="J253" s="9" t="s">
        <v>145</v>
      </c>
    </row>
    <row r="254" spans="1:10">
      <c r="A254" s="5"/>
      <c r="B254" s="6"/>
      <c r="C254" s="7"/>
      <c r="D254" s="9"/>
      <c r="E254" s="8"/>
      <c r="F254" s="9"/>
      <c r="G254" s="9"/>
      <c r="H254" s="6"/>
      <c r="I254" s="9"/>
      <c r="J254" s="9" t="s">
        <v>145</v>
      </c>
    </row>
    <row r="255" spans="1:10">
      <c r="A255" s="5"/>
      <c r="B255" s="6"/>
      <c r="C255" s="7"/>
      <c r="D255" s="9"/>
      <c r="E255" s="8"/>
      <c r="F255" s="9"/>
      <c r="G255" s="9"/>
      <c r="H255" s="6"/>
      <c r="I255" s="9"/>
      <c r="J255" s="9" t="s">
        <v>145</v>
      </c>
    </row>
    <row r="256" spans="1:10">
      <c r="A256" s="5"/>
      <c r="B256" s="6"/>
      <c r="C256" s="7"/>
      <c r="D256" s="9"/>
      <c r="E256" s="8"/>
      <c r="F256" s="9"/>
      <c r="G256" s="9"/>
      <c r="H256" s="6"/>
      <c r="I256" s="9"/>
      <c r="J256" s="9" t="s">
        <v>145</v>
      </c>
    </row>
    <row r="257" spans="1:10">
      <c r="A257" s="5"/>
      <c r="B257" s="6"/>
      <c r="C257" s="7"/>
      <c r="D257" s="9"/>
      <c r="E257" s="8"/>
      <c r="F257" s="9"/>
      <c r="G257" s="9"/>
      <c r="H257" s="6"/>
      <c r="I257" s="9"/>
      <c r="J257" s="9" t="s">
        <v>145</v>
      </c>
    </row>
    <row r="258" spans="1:10">
      <c r="A258" s="5"/>
      <c r="B258" s="6"/>
      <c r="C258" s="7"/>
      <c r="D258" s="9"/>
      <c r="E258" s="8"/>
      <c r="F258" s="9"/>
      <c r="G258" s="9"/>
      <c r="H258" s="6"/>
      <c r="I258" s="9"/>
      <c r="J258" s="9" t="s">
        <v>145</v>
      </c>
    </row>
    <row r="259" spans="1:10">
      <c r="A259" s="5"/>
      <c r="B259" s="6"/>
      <c r="C259" s="7"/>
      <c r="D259" s="9"/>
      <c r="E259" s="8"/>
      <c r="F259" s="9"/>
      <c r="G259" s="9"/>
      <c r="H259" s="6"/>
      <c r="I259" s="9"/>
      <c r="J259" s="9" t="s">
        <v>145</v>
      </c>
    </row>
    <row r="260" spans="1:10">
      <c r="A260" s="5"/>
      <c r="B260" s="6"/>
      <c r="C260" s="7"/>
      <c r="D260" s="9"/>
      <c r="E260" s="8"/>
      <c r="F260" s="9"/>
      <c r="G260" s="9"/>
      <c r="H260" s="6"/>
      <c r="I260" s="9"/>
      <c r="J260" s="9" t="s">
        <v>145</v>
      </c>
    </row>
    <row r="261" spans="1:10">
      <c r="A261" s="5"/>
      <c r="B261" s="6"/>
      <c r="C261" s="7"/>
      <c r="D261" s="9"/>
      <c r="E261" s="8"/>
      <c r="F261" s="9"/>
      <c r="G261" s="9"/>
      <c r="H261" s="6"/>
      <c r="I261" s="9"/>
      <c r="J261" s="9" t="s">
        <v>145</v>
      </c>
    </row>
    <row r="262" spans="1:10">
      <c r="A262" s="5"/>
      <c r="B262" s="6"/>
      <c r="C262" s="7"/>
      <c r="D262" s="9"/>
      <c r="E262" s="8"/>
      <c r="F262" s="9"/>
      <c r="G262" s="9"/>
      <c r="H262" s="6"/>
      <c r="I262" s="9"/>
      <c r="J262" s="9" t="s">
        <v>145</v>
      </c>
    </row>
    <row r="263" spans="1:10">
      <c r="A263" s="5"/>
      <c r="B263" s="6"/>
      <c r="C263" s="7"/>
      <c r="D263" s="9"/>
      <c r="E263" s="8"/>
      <c r="F263" s="9"/>
      <c r="G263" s="9"/>
      <c r="H263" s="6"/>
      <c r="I263" s="9"/>
      <c r="J263" s="9" t="s">
        <v>145</v>
      </c>
    </row>
    <row r="264" spans="1:10">
      <c r="A264" s="5"/>
      <c r="B264" s="6"/>
      <c r="C264" s="7"/>
      <c r="D264" s="9"/>
      <c r="E264" s="8"/>
      <c r="F264" s="9"/>
      <c r="G264" s="9"/>
      <c r="H264" s="6"/>
      <c r="I264" s="9"/>
      <c r="J264" s="9" t="s">
        <v>145</v>
      </c>
    </row>
    <row r="265" spans="1:10">
      <c r="A265" s="5"/>
      <c r="B265" s="6"/>
      <c r="C265" s="7"/>
      <c r="D265" s="9"/>
      <c r="E265" s="8"/>
      <c r="F265" s="9"/>
      <c r="G265" s="9"/>
      <c r="H265" s="6"/>
      <c r="I265" s="9"/>
      <c r="J265" s="9" t="s">
        <v>145</v>
      </c>
    </row>
    <row r="266" spans="1:10">
      <c r="A266" s="5"/>
      <c r="B266" s="6"/>
      <c r="C266" s="7"/>
      <c r="D266" s="9"/>
      <c r="E266" s="8"/>
      <c r="F266" s="9"/>
      <c r="G266" s="9"/>
      <c r="H266" s="6"/>
      <c r="I266" s="9"/>
      <c r="J266" s="9" t="s">
        <v>145</v>
      </c>
    </row>
    <row r="267" spans="1:10">
      <c r="A267" s="5"/>
      <c r="B267" s="6"/>
      <c r="C267" s="7"/>
      <c r="D267" s="9"/>
      <c r="E267" s="4"/>
      <c r="F267" s="9"/>
      <c r="G267" s="9"/>
      <c r="H267" s="6"/>
      <c r="I267" s="9"/>
      <c r="J267" s="9" t="s">
        <v>145</v>
      </c>
    </row>
    <row r="268" spans="1:10">
      <c r="A268" s="5"/>
      <c r="B268" s="6"/>
      <c r="C268" s="7"/>
      <c r="D268" s="9"/>
      <c r="E268" s="8"/>
      <c r="F268" s="9"/>
      <c r="G268" s="9"/>
      <c r="H268" s="6"/>
      <c r="I268" s="9"/>
      <c r="J268" s="9" t="s">
        <v>145</v>
      </c>
    </row>
    <row r="269" spans="1:10">
      <c r="A269" s="5"/>
      <c r="B269" s="6"/>
      <c r="C269" s="7"/>
      <c r="D269" s="9"/>
      <c r="E269" s="8"/>
      <c r="F269" s="9"/>
      <c r="G269" s="9"/>
      <c r="H269" s="6"/>
      <c r="I269" s="9"/>
      <c r="J269" s="9" t="s">
        <v>145</v>
      </c>
    </row>
    <row r="270" spans="1:10">
      <c r="A270" s="5"/>
      <c r="B270" s="6"/>
      <c r="C270" s="7"/>
      <c r="D270" s="9"/>
      <c r="E270" s="8"/>
      <c r="F270" s="9"/>
      <c r="G270" s="9"/>
      <c r="H270" s="6"/>
      <c r="I270" s="9"/>
      <c r="J270" s="9" t="s">
        <v>145</v>
      </c>
    </row>
    <row r="271" spans="1:10">
      <c r="A271" s="5"/>
      <c r="B271" s="6"/>
      <c r="C271" s="7"/>
      <c r="D271" s="9"/>
      <c r="E271" s="8"/>
      <c r="F271" s="9"/>
      <c r="G271" s="9"/>
      <c r="H271" s="6"/>
      <c r="I271" s="9"/>
      <c r="J271" s="9" t="s">
        <v>145</v>
      </c>
    </row>
    <row r="272" spans="1:10">
      <c r="A272" s="5"/>
      <c r="B272" s="6"/>
      <c r="C272" s="7"/>
      <c r="D272" s="9"/>
      <c r="E272" s="8"/>
      <c r="F272" s="9"/>
      <c r="G272" s="9"/>
      <c r="H272" s="6"/>
      <c r="I272" s="9"/>
      <c r="J272" s="9" t="s">
        <v>145</v>
      </c>
    </row>
    <row r="273" spans="1:10">
      <c r="A273" s="5"/>
      <c r="B273" s="6"/>
      <c r="C273" s="7"/>
      <c r="D273" s="9"/>
      <c r="E273" s="8"/>
      <c r="F273" s="9"/>
      <c r="G273" s="9"/>
      <c r="H273" s="6"/>
      <c r="I273" s="9"/>
      <c r="J273" s="9" t="s">
        <v>145</v>
      </c>
    </row>
    <row r="274" spans="1:10">
      <c r="A274" s="5"/>
      <c r="B274" s="6"/>
      <c r="C274" s="7"/>
      <c r="D274" s="9"/>
      <c r="E274" s="8"/>
      <c r="F274" s="9"/>
      <c r="G274" s="9"/>
      <c r="H274" s="6"/>
      <c r="I274" s="9"/>
      <c r="J274" s="9" t="s">
        <v>145</v>
      </c>
    </row>
    <row r="275" spans="1:10">
      <c r="A275" s="5"/>
      <c r="B275" s="6"/>
      <c r="C275" s="7"/>
      <c r="D275" s="9"/>
      <c r="E275" s="8"/>
      <c r="F275" s="9"/>
      <c r="G275" s="9"/>
      <c r="H275" s="6"/>
      <c r="I275" s="9"/>
      <c r="J275" s="9" t="s">
        <v>145</v>
      </c>
    </row>
    <row r="276" spans="1:10">
      <c r="A276" s="5"/>
      <c r="B276" s="6"/>
      <c r="C276" s="7"/>
      <c r="D276" s="9"/>
      <c r="E276" s="8"/>
      <c r="F276" s="9"/>
      <c r="G276" s="9"/>
      <c r="H276" s="6"/>
      <c r="I276" s="9"/>
      <c r="J276" s="9" t="s">
        <v>145</v>
      </c>
    </row>
    <row r="277" spans="1:10">
      <c r="A277" s="5"/>
      <c r="B277" s="6"/>
      <c r="C277" s="7"/>
      <c r="D277" s="9"/>
      <c r="E277" s="8"/>
      <c r="F277" s="9"/>
      <c r="G277" s="9"/>
      <c r="H277" s="6"/>
      <c r="I277" s="9"/>
      <c r="J277" s="9" t="s">
        <v>145</v>
      </c>
    </row>
    <row r="278" spans="1:10">
      <c r="A278" s="5"/>
      <c r="B278" s="6"/>
      <c r="C278" s="7"/>
      <c r="D278" s="9"/>
      <c r="E278" s="8"/>
      <c r="F278" s="9"/>
      <c r="G278" s="9"/>
      <c r="H278" s="6"/>
      <c r="I278" s="9"/>
      <c r="J278" s="9" t="s">
        <v>145</v>
      </c>
    </row>
    <row r="279" spans="1:10">
      <c r="A279" s="5"/>
      <c r="B279" s="6"/>
      <c r="C279" s="7"/>
      <c r="D279" s="9"/>
      <c r="E279" s="8"/>
      <c r="F279" s="9"/>
      <c r="G279" s="9"/>
      <c r="H279" s="6"/>
      <c r="I279" s="9"/>
      <c r="J279" s="9" t="s">
        <v>145</v>
      </c>
    </row>
    <row r="280" spans="1:10">
      <c r="A280" s="5"/>
      <c r="B280" s="6"/>
      <c r="C280" s="7"/>
      <c r="D280" s="9"/>
      <c r="E280" s="8"/>
      <c r="F280" s="9"/>
      <c r="G280" s="9"/>
      <c r="H280" s="6"/>
      <c r="I280" s="9"/>
      <c r="J280" s="9" t="s">
        <v>145</v>
      </c>
    </row>
    <row r="281" spans="1:10">
      <c r="A281" s="5"/>
      <c r="B281" s="6"/>
      <c r="C281" s="7"/>
      <c r="D281" s="9"/>
      <c r="E281" s="8"/>
      <c r="F281" s="9"/>
      <c r="G281" s="9"/>
      <c r="H281" s="6"/>
      <c r="I281" s="9"/>
      <c r="J281" s="9" t="s">
        <v>145</v>
      </c>
    </row>
    <row r="282" spans="1:10">
      <c r="A282" s="5"/>
      <c r="B282" s="6"/>
      <c r="C282" s="7"/>
      <c r="D282" s="9"/>
      <c r="E282" s="8"/>
      <c r="F282" s="9"/>
      <c r="G282" s="9"/>
      <c r="H282" s="6"/>
      <c r="I282" s="9"/>
      <c r="J282" s="9" t="s">
        <v>145</v>
      </c>
    </row>
    <row r="283" spans="1:10">
      <c r="A283" s="5"/>
      <c r="B283" s="6"/>
      <c r="C283" s="7"/>
      <c r="D283" s="9"/>
      <c r="E283" s="8"/>
      <c r="F283" s="9"/>
      <c r="G283" s="9"/>
      <c r="H283" s="6"/>
      <c r="I283" s="9"/>
      <c r="J283" s="9" t="s">
        <v>145</v>
      </c>
    </row>
    <row r="284" spans="1:10">
      <c r="A284" s="5"/>
      <c r="B284" s="6"/>
      <c r="C284" s="7"/>
      <c r="D284" s="9"/>
      <c r="E284" s="8"/>
      <c r="F284" s="9"/>
      <c r="G284" s="9"/>
      <c r="H284" s="6"/>
      <c r="I284" s="9"/>
      <c r="J284" s="9" t="s">
        <v>145</v>
      </c>
    </row>
    <row r="285" spans="1:10">
      <c r="A285" s="5"/>
      <c r="B285" s="6"/>
      <c r="C285" s="7"/>
      <c r="D285" s="9"/>
      <c r="E285" s="4"/>
      <c r="F285" s="9"/>
      <c r="G285" s="9"/>
      <c r="H285" s="6"/>
      <c r="I285" s="9"/>
      <c r="J285" s="9" t="s">
        <v>145</v>
      </c>
    </row>
    <row r="286" spans="1:10">
      <c r="A286" s="5"/>
      <c r="B286" s="6"/>
      <c r="C286" s="7"/>
      <c r="D286" s="9"/>
      <c r="E286" s="4"/>
      <c r="F286" s="9"/>
      <c r="G286" s="9"/>
      <c r="H286" s="6"/>
      <c r="I286" s="9"/>
      <c r="J286" s="9" t="s">
        <v>145</v>
      </c>
    </row>
    <row r="287" spans="1:10">
      <c r="A287" s="5"/>
      <c r="B287" s="6"/>
      <c r="C287" s="7"/>
      <c r="D287" s="9"/>
      <c r="E287" s="8"/>
      <c r="F287" s="9"/>
      <c r="G287" s="9"/>
      <c r="H287" s="6"/>
      <c r="I287" s="9"/>
      <c r="J287" s="9" t="s">
        <v>145</v>
      </c>
    </row>
    <row r="288" spans="1:10">
      <c r="A288" s="5"/>
      <c r="B288" s="6"/>
      <c r="C288" s="7"/>
      <c r="D288" s="9"/>
      <c r="E288" s="8"/>
      <c r="F288" s="9"/>
      <c r="G288" s="9"/>
      <c r="H288" s="6"/>
      <c r="I288" s="9"/>
      <c r="J288" s="9" t="s">
        <v>145</v>
      </c>
    </row>
    <row r="289" spans="1:10">
      <c r="A289" s="5"/>
      <c r="B289" s="6"/>
      <c r="C289" s="7"/>
      <c r="D289" s="9"/>
      <c r="E289" s="8"/>
      <c r="F289" s="9"/>
      <c r="G289" s="9"/>
      <c r="H289" s="6"/>
      <c r="I289" s="9"/>
      <c r="J289" s="9" t="s">
        <v>145</v>
      </c>
    </row>
    <row r="290" spans="1:10">
      <c r="A290" s="5"/>
      <c r="B290" s="6"/>
      <c r="C290" s="7"/>
      <c r="D290" s="9"/>
      <c r="E290" s="8"/>
      <c r="F290" s="9"/>
      <c r="G290" s="9"/>
      <c r="H290" s="6"/>
      <c r="I290" s="9"/>
      <c r="J290" s="9" t="s">
        <v>145</v>
      </c>
    </row>
    <row r="291" spans="1:10">
      <c r="A291" s="5"/>
      <c r="B291" s="6"/>
      <c r="C291" s="7"/>
      <c r="D291" s="9"/>
      <c r="E291" s="4"/>
      <c r="F291" s="9"/>
      <c r="G291" s="9"/>
      <c r="H291" s="6"/>
      <c r="I291" s="9"/>
      <c r="J291" s="9" t="s">
        <v>145</v>
      </c>
    </row>
    <row r="292" spans="1:10">
      <c r="A292" s="5"/>
      <c r="B292" s="6"/>
      <c r="C292" s="7"/>
      <c r="D292" s="9"/>
      <c r="E292" s="8"/>
      <c r="F292" s="9"/>
      <c r="G292" s="9"/>
      <c r="H292" s="6"/>
      <c r="I292" s="9"/>
      <c r="J292" s="9" t="s">
        <v>145</v>
      </c>
    </row>
    <row r="293" spans="1:10">
      <c r="A293" s="5"/>
      <c r="B293" s="6"/>
      <c r="C293" s="7"/>
      <c r="D293" s="9"/>
      <c r="E293" s="8"/>
      <c r="F293" s="9"/>
      <c r="G293" s="9"/>
      <c r="H293" s="6"/>
      <c r="I293" s="9"/>
      <c r="J293" s="9" t="s">
        <v>145</v>
      </c>
    </row>
    <row r="294" spans="1:10">
      <c r="A294" s="5"/>
      <c r="B294" s="6"/>
      <c r="C294" s="7"/>
      <c r="D294" s="9"/>
      <c r="E294" s="4"/>
      <c r="F294" s="9"/>
      <c r="G294" s="9"/>
      <c r="H294" s="6"/>
      <c r="I294" s="9"/>
      <c r="J294" s="9" t="s">
        <v>145</v>
      </c>
    </row>
    <row r="295" spans="1:10">
      <c r="A295" s="5"/>
      <c r="B295" s="6"/>
      <c r="C295" s="7"/>
      <c r="D295" s="9"/>
      <c r="E295" s="8"/>
      <c r="F295" s="9"/>
      <c r="G295" s="9"/>
      <c r="H295" s="6"/>
      <c r="I295" s="9"/>
      <c r="J295" s="9" t="s">
        <v>145</v>
      </c>
    </row>
    <row r="296" spans="1:10">
      <c r="A296" s="5"/>
      <c r="B296" s="6"/>
      <c r="C296" s="7"/>
      <c r="D296" s="9"/>
      <c r="E296" s="8"/>
      <c r="F296" s="9"/>
      <c r="G296" s="9"/>
      <c r="H296" s="6"/>
      <c r="I296" s="9"/>
      <c r="J296" s="9" t="s">
        <v>145</v>
      </c>
    </row>
    <row r="297" spans="1:10">
      <c r="A297" s="5"/>
      <c r="B297" s="6"/>
      <c r="C297" s="7"/>
      <c r="D297" s="9"/>
      <c r="E297" s="8"/>
      <c r="F297" s="9"/>
      <c r="G297" s="9"/>
      <c r="H297" s="6"/>
      <c r="I297" s="9"/>
      <c r="J297" s="9" t="s">
        <v>145</v>
      </c>
    </row>
    <row r="298" spans="1:10">
      <c r="A298" s="5"/>
      <c r="B298" s="6"/>
      <c r="C298" s="7"/>
      <c r="D298" s="9"/>
      <c r="E298" s="8"/>
      <c r="F298" s="9"/>
      <c r="G298" s="9"/>
      <c r="H298" s="6"/>
      <c r="I298" s="9"/>
      <c r="J298" s="9" t="s">
        <v>145</v>
      </c>
    </row>
    <row r="299" spans="1:10">
      <c r="A299" s="5"/>
      <c r="B299" s="6"/>
      <c r="C299" s="7"/>
      <c r="D299" s="9"/>
      <c r="E299" s="8"/>
      <c r="F299" s="9"/>
      <c r="G299" s="9"/>
      <c r="H299" s="6"/>
      <c r="I299" s="9"/>
      <c r="J299" s="9" t="s">
        <v>145</v>
      </c>
    </row>
    <row r="300" spans="1:10">
      <c r="A300" s="5"/>
      <c r="B300" s="6"/>
      <c r="C300" s="7"/>
      <c r="D300" s="9"/>
      <c r="E300" s="8"/>
      <c r="F300" s="9"/>
      <c r="G300" s="9"/>
      <c r="H300" s="6"/>
      <c r="I300" s="9"/>
      <c r="J300" s="9" t="s">
        <v>145</v>
      </c>
    </row>
    <row r="301" spans="1:10">
      <c r="A301" s="5"/>
      <c r="B301" s="6"/>
      <c r="C301" s="7"/>
      <c r="D301" s="9"/>
      <c r="E301" s="8"/>
      <c r="F301" s="9"/>
      <c r="G301" s="9"/>
      <c r="H301" s="6"/>
      <c r="I301" s="9"/>
      <c r="J301" s="9" t="s">
        <v>145</v>
      </c>
    </row>
    <row r="302" spans="1:10">
      <c r="A302" s="5"/>
      <c r="B302" s="6"/>
      <c r="C302" s="7"/>
      <c r="D302" s="9"/>
      <c r="E302" s="8"/>
      <c r="F302" s="9"/>
      <c r="G302" s="9"/>
      <c r="H302" s="6"/>
      <c r="I302" s="9"/>
      <c r="J302" s="9" t="s">
        <v>145</v>
      </c>
    </row>
    <row r="303" spans="1:10">
      <c r="A303" s="5"/>
      <c r="B303" s="6"/>
      <c r="C303" s="7"/>
      <c r="D303" s="9"/>
      <c r="E303" s="8"/>
      <c r="F303" s="9"/>
      <c r="G303" s="9"/>
      <c r="H303" s="6"/>
      <c r="I303" s="9"/>
      <c r="J303" s="9" t="s">
        <v>145</v>
      </c>
    </row>
    <row r="304" spans="1:10">
      <c r="A304" s="5"/>
      <c r="B304" s="6"/>
      <c r="C304" s="7"/>
      <c r="D304" s="9"/>
      <c r="E304" s="4"/>
      <c r="F304" s="9"/>
      <c r="G304" s="9"/>
      <c r="H304" s="6"/>
      <c r="I304" s="9"/>
      <c r="J304" s="9" t="s">
        <v>145</v>
      </c>
    </row>
    <row r="305" spans="1:10">
      <c r="A305" s="5"/>
      <c r="B305" s="6"/>
      <c r="C305" s="7"/>
      <c r="D305" s="9"/>
      <c r="E305" s="8"/>
      <c r="F305" s="9"/>
      <c r="G305" s="9"/>
      <c r="H305" s="6"/>
      <c r="I305" s="9"/>
      <c r="J305" s="9" t="s">
        <v>145</v>
      </c>
    </row>
    <row r="306" spans="1:10">
      <c r="A306" s="5"/>
      <c r="B306" s="6"/>
      <c r="C306" s="7"/>
      <c r="D306" s="9"/>
      <c r="E306" s="4"/>
      <c r="F306" s="9"/>
      <c r="G306" s="9"/>
      <c r="H306" s="6"/>
      <c r="I306" s="9"/>
      <c r="J306" s="9" t="s">
        <v>145</v>
      </c>
    </row>
    <row r="307" spans="1:10">
      <c r="A307" s="5"/>
      <c r="B307" s="6"/>
      <c r="C307" s="7"/>
      <c r="D307" s="9"/>
      <c r="E307" s="8"/>
      <c r="F307" s="9"/>
      <c r="G307" s="9"/>
      <c r="H307" s="6"/>
      <c r="I307" s="9"/>
      <c r="J307" s="9" t="s">
        <v>145</v>
      </c>
    </row>
    <row r="308" spans="1:10">
      <c r="A308" s="5"/>
      <c r="B308" s="6"/>
      <c r="C308" s="7"/>
      <c r="D308" s="9"/>
      <c r="E308" s="8"/>
      <c r="F308" s="9"/>
      <c r="G308" s="9"/>
      <c r="H308" s="6"/>
      <c r="I308" s="9"/>
      <c r="J308" s="9" t="s">
        <v>145</v>
      </c>
    </row>
    <row r="309" spans="1:10">
      <c r="A309" s="5"/>
      <c r="B309" s="6"/>
      <c r="C309" s="7"/>
      <c r="D309" s="9"/>
      <c r="E309" s="8"/>
      <c r="F309" s="9"/>
      <c r="G309" s="9"/>
      <c r="H309" s="6"/>
      <c r="I309" s="9"/>
      <c r="J309" s="9" t="s">
        <v>145</v>
      </c>
    </row>
    <row r="310" spans="1:10">
      <c r="A310" s="5"/>
      <c r="B310" s="6"/>
      <c r="C310" s="7"/>
      <c r="D310" s="9"/>
      <c r="E310" s="8"/>
      <c r="F310" s="9"/>
      <c r="G310" s="9"/>
      <c r="H310" s="6"/>
      <c r="I310" s="9"/>
      <c r="J310" s="9" t="s">
        <v>145</v>
      </c>
    </row>
    <row r="311" spans="1:10">
      <c r="A311" s="5"/>
      <c r="B311" s="6"/>
      <c r="C311" s="7"/>
      <c r="D311" s="9"/>
      <c r="E311" s="8"/>
      <c r="F311" s="9"/>
      <c r="G311" s="9"/>
      <c r="H311" s="6"/>
      <c r="I311" s="9"/>
      <c r="J311" s="9" t="s">
        <v>145</v>
      </c>
    </row>
    <row r="312" spans="1:10">
      <c r="A312" s="5"/>
      <c r="B312" s="6"/>
      <c r="C312" s="7"/>
      <c r="D312" s="9"/>
      <c r="E312" s="8"/>
      <c r="F312" s="9"/>
      <c r="G312" s="9"/>
      <c r="H312" s="6"/>
      <c r="I312" s="9"/>
      <c r="J312" s="9" t="s">
        <v>145</v>
      </c>
    </row>
    <row r="313" spans="1:10">
      <c r="A313" s="5"/>
      <c r="B313" s="6"/>
      <c r="C313" s="7"/>
      <c r="D313" s="9"/>
      <c r="E313" s="8"/>
      <c r="F313" s="9"/>
      <c r="G313" s="9"/>
      <c r="H313" s="6"/>
      <c r="I313" s="9"/>
      <c r="J313" s="9" t="s">
        <v>145</v>
      </c>
    </row>
    <row r="314" spans="1:10">
      <c r="A314" s="5"/>
      <c r="B314" s="6"/>
      <c r="C314" s="7"/>
      <c r="D314" s="9"/>
      <c r="E314" s="8"/>
      <c r="F314" s="9"/>
      <c r="G314" s="9"/>
      <c r="H314" s="6"/>
      <c r="I314" s="9"/>
      <c r="J314" s="9" t="s">
        <v>145</v>
      </c>
    </row>
    <row r="315" spans="1:10">
      <c r="A315" s="5"/>
      <c r="B315" s="6"/>
      <c r="C315" s="7"/>
      <c r="D315" s="9"/>
      <c r="E315" s="8"/>
      <c r="F315" s="9"/>
      <c r="G315" s="9"/>
      <c r="H315" s="6"/>
      <c r="I315" s="9"/>
      <c r="J315" s="9" t="s">
        <v>145</v>
      </c>
    </row>
    <row r="316" spans="1:10">
      <c r="A316" s="5"/>
      <c r="B316" s="6"/>
      <c r="C316" s="7"/>
      <c r="D316" s="9"/>
      <c r="E316" s="4"/>
      <c r="F316" s="9"/>
      <c r="G316" s="9"/>
      <c r="H316" s="6"/>
      <c r="I316" s="9"/>
      <c r="J316" s="9" t="s">
        <v>145</v>
      </c>
    </row>
    <row r="317" spans="1:10">
      <c r="A317" s="5"/>
      <c r="B317" s="6"/>
      <c r="C317" s="7"/>
      <c r="D317" s="9"/>
      <c r="E317" s="8"/>
      <c r="F317" s="9"/>
      <c r="G317" s="9"/>
      <c r="H317" s="6"/>
      <c r="I317" s="9"/>
      <c r="J317" s="9" t="s">
        <v>145</v>
      </c>
    </row>
    <row r="318" spans="1:10">
      <c r="A318" s="5"/>
      <c r="B318" s="6"/>
      <c r="C318" s="7"/>
      <c r="D318" s="9"/>
      <c r="E318" s="8"/>
      <c r="F318" s="9"/>
      <c r="G318" s="9"/>
      <c r="H318" s="6"/>
      <c r="I318" s="9"/>
      <c r="J318" s="9" t="s">
        <v>145</v>
      </c>
    </row>
    <row r="319" spans="1:10">
      <c r="A319" s="5"/>
      <c r="B319" s="6"/>
      <c r="C319" s="7"/>
      <c r="D319" s="9"/>
      <c r="E319" s="8"/>
      <c r="F319" s="9"/>
      <c r="G319" s="9"/>
      <c r="H319" s="6"/>
      <c r="I319" s="9"/>
      <c r="J319" s="9" t="s">
        <v>145</v>
      </c>
    </row>
    <row r="320" spans="1:10">
      <c r="A320" s="5"/>
      <c r="B320" s="6"/>
      <c r="C320" s="7"/>
      <c r="D320" s="9"/>
      <c r="E320" s="8"/>
      <c r="F320" s="9"/>
      <c r="G320" s="9"/>
      <c r="H320" s="6"/>
      <c r="I320" s="9"/>
      <c r="J320" s="9" t="s">
        <v>145</v>
      </c>
    </row>
    <row r="321" spans="1:10">
      <c r="A321" s="5"/>
      <c r="B321" s="6"/>
      <c r="C321" s="7"/>
      <c r="D321" s="9"/>
      <c r="E321" s="8"/>
      <c r="F321" s="9"/>
      <c r="G321" s="9"/>
      <c r="H321" s="6"/>
      <c r="I321" s="9"/>
      <c r="J321" s="9" t="s">
        <v>145</v>
      </c>
    </row>
    <row r="322" spans="1:10">
      <c r="A322" s="5"/>
      <c r="B322" s="6"/>
      <c r="C322" s="7"/>
      <c r="D322" s="9"/>
      <c r="E322" s="4"/>
      <c r="F322" s="9"/>
      <c r="G322" s="9"/>
      <c r="H322" s="6"/>
      <c r="I322" s="9"/>
      <c r="J322" s="9" t="s">
        <v>145</v>
      </c>
    </row>
    <row r="323" spans="1:10">
      <c r="A323" s="5"/>
      <c r="B323" s="6"/>
      <c r="C323" s="7"/>
      <c r="D323" s="9"/>
      <c r="E323" s="8"/>
      <c r="F323" s="9"/>
      <c r="G323" s="9"/>
      <c r="H323" s="6"/>
      <c r="I323" s="9"/>
      <c r="J323" s="9" t="s">
        <v>145</v>
      </c>
    </row>
    <row r="324" spans="1:10">
      <c r="A324" s="5"/>
      <c r="B324" s="6"/>
      <c r="C324" s="7"/>
      <c r="D324" s="9"/>
      <c r="E324" s="8"/>
      <c r="F324" s="9"/>
      <c r="G324" s="9"/>
      <c r="H324" s="6"/>
      <c r="I324" s="9"/>
      <c r="J324" s="9" t="s">
        <v>145</v>
      </c>
    </row>
    <row r="325" spans="1:10">
      <c r="A325" s="5"/>
      <c r="B325" s="6"/>
      <c r="C325" s="7"/>
      <c r="D325" s="9"/>
      <c r="E325" s="8"/>
      <c r="F325" s="9"/>
      <c r="G325" s="9"/>
      <c r="H325" s="6"/>
      <c r="I325" s="9"/>
      <c r="J325" s="9" t="s">
        <v>145</v>
      </c>
    </row>
    <row r="326" spans="1:10">
      <c r="A326" s="5"/>
      <c r="B326" s="6"/>
      <c r="C326" s="7"/>
      <c r="D326" s="9"/>
      <c r="E326" s="4"/>
      <c r="F326" s="9"/>
      <c r="G326" s="9"/>
      <c r="H326" s="6"/>
      <c r="I326" s="9"/>
      <c r="J326" s="9" t="s">
        <v>145</v>
      </c>
    </row>
    <row r="327" spans="1:10">
      <c r="A327" s="5"/>
      <c r="B327" s="6"/>
      <c r="C327" s="7"/>
      <c r="D327" s="9"/>
      <c r="E327" s="8"/>
      <c r="F327" s="9"/>
      <c r="G327" s="9"/>
      <c r="H327" s="6"/>
      <c r="I327" s="9"/>
      <c r="J327" s="9" t="s">
        <v>145</v>
      </c>
    </row>
    <row r="328" spans="1:10">
      <c r="A328" s="5"/>
      <c r="B328" s="6"/>
      <c r="C328" s="7"/>
      <c r="D328" s="9"/>
      <c r="E328" s="8"/>
      <c r="F328" s="9"/>
      <c r="G328" s="9"/>
      <c r="H328" s="6"/>
      <c r="I328" s="9"/>
      <c r="J328" s="9" t="s">
        <v>145</v>
      </c>
    </row>
    <row r="329" spans="1:10">
      <c r="A329" s="5"/>
      <c r="B329" s="6"/>
      <c r="C329" s="7"/>
      <c r="D329" s="9"/>
      <c r="E329" s="8"/>
      <c r="F329" s="9"/>
      <c r="G329" s="9"/>
      <c r="H329" s="6"/>
      <c r="I329" s="9"/>
      <c r="J329" s="9" t="s">
        <v>145</v>
      </c>
    </row>
    <row r="330" spans="1:10">
      <c r="A330" s="5"/>
      <c r="B330" s="6"/>
      <c r="C330" s="7"/>
      <c r="D330" s="9"/>
      <c r="E330" s="8"/>
      <c r="F330" s="9"/>
      <c r="G330" s="9"/>
      <c r="H330" s="6"/>
      <c r="I330" s="9"/>
      <c r="J330" s="9" t="s">
        <v>145</v>
      </c>
    </row>
    <row r="331" spans="1:10">
      <c r="A331" s="5"/>
      <c r="B331" s="6"/>
      <c r="C331" s="7"/>
      <c r="D331" s="9"/>
      <c r="E331" s="8"/>
      <c r="F331" s="9"/>
      <c r="G331" s="9"/>
      <c r="H331" s="6"/>
      <c r="I331" s="9"/>
      <c r="J331" s="9" t="s">
        <v>145</v>
      </c>
    </row>
    <row r="332" spans="1:10">
      <c r="A332" s="5"/>
      <c r="B332" s="6"/>
      <c r="C332" s="7"/>
      <c r="D332" s="9"/>
      <c r="E332" s="8"/>
      <c r="F332" s="9"/>
      <c r="G332" s="9"/>
      <c r="H332" s="6"/>
      <c r="I332" s="9"/>
      <c r="J332" s="9" t="s">
        <v>145</v>
      </c>
    </row>
    <row r="333" spans="1:10">
      <c r="A333" s="5"/>
      <c r="B333" s="6"/>
      <c r="C333" s="7"/>
      <c r="D333" s="9"/>
      <c r="E333" s="8"/>
      <c r="F333" s="9"/>
      <c r="G333" s="9"/>
      <c r="H333" s="6"/>
      <c r="I333" s="9"/>
      <c r="J333" s="9" t="s">
        <v>145</v>
      </c>
    </row>
    <row r="334" spans="1:10">
      <c r="A334" s="5"/>
      <c r="B334" s="6"/>
      <c r="C334" s="7"/>
      <c r="D334" s="9"/>
      <c r="E334" s="8"/>
      <c r="F334" s="9"/>
      <c r="G334" s="9"/>
      <c r="H334" s="6"/>
      <c r="I334" s="9"/>
      <c r="J334" s="9" t="s">
        <v>145</v>
      </c>
    </row>
    <row r="335" spans="1:10">
      <c r="A335" s="5"/>
      <c r="B335" s="6"/>
      <c r="C335" s="7"/>
      <c r="D335" s="9"/>
      <c r="E335" s="8"/>
      <c r="F335" s="9"/>
      <c r="G335" s="9"/>
      <c r="H335" s="6"/>
      <c r="I335" s="9"/>
      <c r="J335" s="9" t="s">
        <v>145</v>
      </c>
    </row>
    <row r="336" spans="1:10">
      <c r="A336" s="5"/>
      <c r="B336" s="6"/>
      <c r="C336" s="7"/>
      <c r="D336" s="9"/>
      <c r="E336" s="8"/>
      <c r="F336" s="9"/>
      <c r="G336" s="9"/>
      <c r="H336" s="6"/>
      <c r="I336" s="9"/>
      <c r="J336" s="9" t="s">
        <v>145</v>
      </c>
    </row>
    <row r="337" spans="1:10">
      <c r="A337" s="5"/>
      <c r="B337" s="6"/>
      <c r="C337" s="7"/>
      <c r="D337" s="9"/>
      <c r="E337" s="8"/>
      <c r="F337" s="9"/>
      <c r="G337" s="9"/>
      <c r="H337" s="6"/>
      <c r="I337" s="9"/>
      <c r="J337" s="9" t="s">
        <v>145</v>
      </c>
    </row>
    <row r="338" spans="1:10">
      <c r="A338" s="5"/>
      <c r="B338" s="6"/>
      <c r="C338" s="7"/>
      <c r="D338" s="9"/>
      <c r="E338" s="8"/>
      <c r="F338" s="9"/>
      <c r="G338" s="9"/>
      <c r="H338" s="6"/>
      <c r="I338" s="9"/>
      <c r="J338" s="9" t="s">
        <v>145</v>
      </c>
    </row>
    <row r="339" spans="1:10">
      <c r="A339" s="5"/>
      <c r="B339" s="6"/>
      <c r="C339" s="7"/>
      <c r="D339" s="9"/>
      <c r="E339" s="8"/>
      <c r="F339" s="9"/>
      <c r="G339" s="9"/>
      <c r="H339" s="6"/>
      <c r="I339" s="9"/>
      <c r="J339" s="9" t="s">
        <v>145</v>
      </c>
    </row>
    <row r="340" spans="1:10">
      <c r="A340" s="5"/>
      <c r="B340" s="6"/>
      <c r="C340" s="7"/>
      <c r="D340" s="9"/>
      <c r="E340" s="8"/>
      <c r="F340" s="9"/>
      <c r="G340" s="9"/>
      <c r="H340" s="6"/>
      <c r="I340" s="9"/>
      <c r="J340" s="9" t="s">
        <v>145</v>
      </c>
    </row>
    <row r="341" spans="1:10">
      <c r="A341" s="5"/>
      <c r="B341" s="6"/>
      <c r="C341" s="7"/>
      <c r="D341" s="9"/>
      <c r="E341" s="8"/>
      <c r="F341" s="9"/>
      <c r="G341" s="9"/>
      <c r="H341" s="6"/>
      <c r="I341" s="9"/>
      <c r="J341" s="9" t="s">
        <v>145</v>
      </c>
    </row>
    <row r="342" spans="1:10">
      <c r="A342" s="5"/>
      <c r="B342" s="6"/>
      <c r="C342" s="7"/>
      <c r="D342" s="9"/>
      <c r="E342" s="8"/>
      <c r="F342" s="9"/>
      <c r="G342" s="9"/>
      <c r="H342" s="6"/>
      <c r="I342" s="9"/>
      <c r="J342" s="9" t="s">
        <v>145</v>
      </c>
    </row>
    <row r="343" spans="1:10">
      <c r="A343" s="5"/>
      <c r="B343" s="6"/>
      <c r="C343" s="7"/>
      <c r="D343" s="9"/>
      <c r="E343" s="8"/>
      <c r="F343" s="9"/>
      <c r="G343" s="9"/>
      <c r="H343" s="6"/>
      <c r="I343" s="9"/>
      <c r="J343" s="9" t="s">
        <v>145</v>
      </c>
    </row>
    <row r="344" spans="1:10">
      <c r="A344" s="5"/>
      <c r="B344" s="6"/>
      <c r="C344" s="7"/>
      <c r="D344" s="9"/>
      <c r="E344" s="4"/>
      <c r="F344" s="9"/>
      <c r="G344" s="9"/>
      <c r="H344" s="6"/>
      <c r="I344" s="9"/>
      <c r="J344" s="9" t="s">
        <v>145</v>
      </c>
    </row>
    <row r="345" spans="1:10">
      <c r="A345" s="5"/>
      <c r="B345" s="6"/>
      <c r="C345" s="7"/>
      <c r="D345" s="9"/>
      <c r="E345" s="4"/>
      <c r="F345" s="9"/>
      <c r="G345" s="9"/>
      <c r="H345" s="6"/>
      <c r="I345" s="9"/>
      <c r="J345" s="9" t="s">
        <v>145</v>
      </c>
    </row>
    <row r="346" spans="1:10">
      <c r="A346" s="5"/>
      <c r="B346" s="6"/>
      <c r="C346" s="7"/>
      <c r="D346" s="9"/>
      <c r="E346" s="8"/>
      <c r="F346" s="9"/>
      <c r="G346" s="9"/>
      <c r="H346" s="6"/>
      <c r="I346" s="9"/>
      <c r="J346" s="9" t="s">
        <v>145</v>
      </c>
    </row>
    <row r="347" spans="1:10">
      <c r="A347" s="5"/>
      <c r="B347" s="6"/>
      <c r="C347" s="7"/>
      <c r="D347" s="9"/>
      <c r="E347" s="8"/>
      <c r="F347" s="9"/>
      <c r="G347" s="9"/>
      <c r="H347" s="6"/>
      <c r="I347" s="9"/>
      <c r="J347" s="9" t="s">
        <v>145</v>
      </c>
    </row>
    <row r="348" spans="1:10">
      <c r="A348" s="5"/>
      <c r="B348" s="6"/>
      <c r="C348" s="7"/>
      <c r="D348" s="9"/>
      <c r="E348" s="8"/>
      <c r="F348" s="9"/>
      <c r="G348" s="9"/>
      <c r="H348" s="6"/>
      <c r="I348" s="9"/>
      <c r="J348" s="9" t="s">
        <v>145</v>
      </c>
    </row>
    <row r="349" spans="1:10">
      <c r="A349" s="5"/>
      <c r="B349" s="6"/>
      <c r="C349" s="7"/>
      <c r="D349" s="9"/>
      <c r="E349" s="4"/>
      <c r="F349" s="9"/>
      <c r="G349" s="9"/>
      <c r="H349" s="6"/>
      <c r="I349" s="9"/>
      <c r="J349" s="9" t="s">
        <v>145</v>
      </c>
    </row>
    <row r="350" spans="1:10">
      <c r="A350" s="5"/>
      <c r="B350" s="6"/>
      <c r="C350" s="7"/>
      <c r="D350" s="9"/>
      <c r="E350" s="8"/>
      <c r="F350" s="9"/>
      <c r="G350" s="9"/>
      <c r="H350" s="6"/>
      <c r="I350" s="9"/>
      <c r="J350" s="9" t="s">
        <v>145</v>
      </c>
    </row>
    <row r="351" spans="1:10">
      <c r="A351" s="5"/>
      <c r="B351" s="6"/>
      <c r="C351" s="7"/>
      <c r="D351" s="9"/>
      <c r="E351" s="4"/>
      <c r="F351" s="9"/>
      <c r="G351" s="9"/>
      <c r="H351" s="6"/>
      <c r="I351" s="9"/>
      <c r="J351" s="9" t="s">
        <v>145</v>
      </c>
    </row>
    <row r="352" spans="1:10">
      <c r="A352" s="5"/>
      <c r="B352" s="6"/>
      <c r="C352" s="7"/>
      <c r="D352" s="9"/>
      <c r="E352" s="8"/>
      <c r="F352" s="9"/>
      <c r="G352" s="9"/>
      <c r="H352" s="6"/>
      <c r="I352" s="9"/>
      <c r="J352" s="9" t="s">
        <v>145</v>
      </c>
    </row>
    <row r="353" spans="1:10">
      <c r="A353" s="5"/>
      <c r="B353" s="6"/>
      <c r="C353" s="7"/>
      <c r="D353" s="9"/>
      <c r="E353" s="4"/>
      <c r="F353" s="9"/>
      <c r="G353" s="9"/>
      <c r="H353" s="6"/>
      <c r="I353" s="9"/>
      <c r="J353" s="9" t="s">
        <v>145</v>
      </c>
    </row>
    <row r="354" spans="1:10">
      <c r="A354" s="5"/>
      <c r="B354" s="6"/>
      <c r="C354" s="7"/>
      <c r="D354" s="9"/>
      <c r="E354" s="8"/>
      <c r="F354" s="9"/>
      <c r="G354" s="9"/>
      <c r="H354" s="6"/>
      <c r="I354" s="9"/>
      <c r="J354" s="9" t="s">
        <v>145</v>
      </c>
    </row>
    <row r="355" spans="1:10">
      <c r="A355" s="5"/>
      <c r="B355" s="6"/>
      <c r="C355" s="7"/>
      <c r="D355" s="9"/>
      <c r="E355" s="8"/>
      <c r="F355" s="9"/>
      <c r="G355" s="9"/>
      <c r="H355" s="6"/>
      <c r="I355" s="9"/>
      <c r="J355" s="9" t="s">
        <v>145</v>
      </c>
    </row>
    <row r="356" spans="1:10">
      <c r="A356" s="5"/>
      <c r="B356" s="6"/>
      <c r="C356" s="7"/>
      <c r="D356" s="9"/>
      <c r="E356" s="8"/>
      <c r="F356" s="9"/>
      <c r="G356" s="9"/>
      <c r="H356" s="6"/>
      <c r="I356" s="9"/>
      <c r="J356" s="9" t="s">
        <v>145</v>
      </c>
    </row>
    <row r="357" spans="1:10">
      <c r="A357" s="5"/>
      <c r="B357" s="6"/>
      <c r="C357" s="7"/>
      <c r="D357" s="9"/>
      <c r="E357" s="8"/>
      <c r="F357" s="9"/>
      <c r="G357" s="9"/>
      <c r="H357" s="6"/>
      <c r="I357" s="9"/>
      <c r="J357" s="9" t="s">
        <v>145</v>
      </c>
    </row>
    <row r="358" spans="1:10">
      <c r="A358" s="5"/>
      <c r="B358" s="6"/>
      <c r="C358" s="7"/>
      <c r="D358" s="9"/>
      <c r="E358" s="8"/>
      <c r="F358" s="9"/>
      <c r="G358" s="9"/>
      <c r="H358" s="6"/>
      <c r="I358" s="9"/>
      <c r="J358" s="9" t="s">
        <v>145</v>
      </c>
    </row>
    <row r="359" spans="1:10">
      <c r="A359" s="5"/>
      <c r="B359" s="6"/>
      <c r="C359" s="7"/>
      <c r="D359" s="9"/>
      <c r="E359" s="4"/>
      <c r="F359" s="9"/>
      <c r="G359" s="9"/>
      <c r="H359" s="6"/>
      <c r="I359" s="9"/>
      <c r="J359" s="9" t="s">
        <v>145</v>
      </c>
    </row>
    <row r="360" spans="1:10">
      <c r="A360" s="5"/>
      <c r="B360" s="6"/>
      <c r="C360" s="7"/>
      <c r="D360" s="9"/>
      <c r="E360" s="8"/>
      <c r="F360" s="9"/>
      <c r="G360" s="9"/>
      <c r="H360" s="6"/>
      <c r="I360" s="9"/>
      <c r="J360" s="9" t="s">
        <v>145</v>
      </c>
    </row>
    <row r="361" spans="1:10">
      <c r="A361" s="5"/>
      <c r="B361" s="6"/>
      <c r="C361" s="7"/>
      <c r="D361" s="9"/>
      <c r="E361" s="8"/>
      <c r="F361" s="9"/>
      <c r="G361" s="9"/>
      <c r="H361" s="6"/>
      <c r="I361" s="9"/>
      <c r="J361" s="9" t="s">
        <v>145</v>
      </c>
    </row>
    <row r="362" spans="1:10">
      <c r="A362" s="5"/>
      <c r="B362" s="6"/>
      <c r="C362" s="7"/>
      <c r="D362" s="9"/>
      <c r="E362" s="8"/>
      <c r="F362" s="9"/>
      <c r="G362" s="9"/>
      <c r="H362" s="6"/>
      <c r="I362" s="9"/>
      <c r="J362" s="9" t="s">
        <v>145</v>
      </c>
    </row>
    <row r="363" spans="1:10">
      <c r="A363" s="5"/>
      <c r="B363" s="6"/>
      <c r="C363" s="7"/>
      <c r="D363" s="9"/>
      <c r="E363" s="8"/>
      <c r="F363" s="9"/>
      <c r="G363" s="9"/>
      <c r="H363" s="6"/>
      <c r="I363" s="9"/>
      <c r="J363" s="9" t="s">
        <v>145</v>
      </c>
    </row>
    <row r="364" spans="1:10">
      <c r="A364" s="5"/>
      <c r="B364" s="6"/>
      <c r="C364" s="7"/>
      <c r="D364" s="9"/>
      <c r="E364" s="8"/>
      <c r="F364" s="9"/>
      <c r="G364" s="9"/>
      <c r="H364" s="6"/>
      <c r="I364" s="9"/>
      <c r="J364" s="9" t="s">
        <v>145</v>
      </c>
    </row>
    <row r="365" spans="1:10">
      <c r="A365" s="5"/>
      <c r="B365" s="6"/>
      <c r="C365" s="7"/>
      <c r="D365" s="9"/>
      <c r="E365" s="8"/>
      <c r="F365" s="9"/>
      <c r="G365" s="9"/>
      <c r="H365" s="6"/>
      <c r="I365" s="9"/>
      <c r="J365" s="9" t="s">
        <v>145</v>
      </c>
    </row>
    <row r="366" spans="1:10">
      <c r="A366" s="5"/>
      <c r="B366" s="6"/>
      <c r="C366" s="7"/>
      <c r="D366" s="9"/>
      <c r="E366" s="8"/>
      <c r="F366" s="9"/>
      <c r="G366" s="9"/>
      <c r="H366" s="6"/>
      <c r="I366" s="9"/>
      <c r="J366" s="9" t="s">
        <v>145</v>
      </c>
    </row>
    <row r="367" spans="1:10">
      <c r="A367" s="5"/>
      <c r="B367" s="6"/>
      <c r="C367" s="7"/>
      <c r="D367" s="9"/>
      <c r="E367" s="8"/>
      <c r="F367" s="9"/>
      <c r="G367" s="9"/>
      <c r="H367" s="6"/>
      <c r="I367" s="9"/>
      <c r="J367" s="9" t="s">
        <v>145</v>
      </c>
    </row>
    <row r="368" spans="1:10">
      <c r="A368" s="5"/>
      <c r="B368" s="6"/>
      <c r="C368" s="7"/>
      <c r="D368" s="9"/>
      <c r="E368" s="4"/>
      <c r="F368" s="9"/>
      <c r="G368" s="9"/>
      <c r="H368" s="6"/>
      <c r="I368" s="9"/>
      <c r="J368" s="9" t="s">
        <v>145</v>
      </c>
    </row>
    <row r="369" spans="1:10">
      <c r="A369" s="5"/>
      <c r="B369" s="6"/>
      <c r="C369" s="7"/>
      <c r="D369" s="9"/>
      <c r="E369" s="8"/>
      <c r="F369" s="9"/>
      <c r="G369" s="9"/>
      <c r="H369" s="6"/>
      <c r="I369" s="9"/>
      <c r="J369" s="9" t="s">
        <v>145</v>
      </c>
    </row>
    <row r="370" spans="1:10">
      <c r="A370" s="5"/>
      <c r="B370" s="6"/>
      <c r="C370" s="7"/>
      <c r="D370" s="9"/>
      <c r="E370" s="8"/>
      <c r="F370" s="9"/>
      <c r="G370" s="9"/>
      <c r="H370" s="6"/>
      <c r="I370" s="9"/>
      <c r="J370" s="9" t="s">
        <v>145</v>
      </c>
    </row>
    <row r="371" spans="1:10">
      <c r="A371" s="5"/>
      <c r="B371" s="6"/>
      <c r="C371" s="7"/>
      <c r="D371" s="9"/>
      <c r="E371" s="8"/>
      <c r="F371" s="9"/>
      <c r="G371" s="9"/>
      <c r="H371" s="6"/>
      <c r="I371" s="9"/>
      <c r="J371" s="9" t="s">
        <v>145</v>
      </c>
    </row>
    <row r="372" spans="1:10">
      <c r="A372" s="5"/>
      <c r="B372" s="6"/>
      <c r="C372" s="7"/>
      <c r="D372" s="9"/>
      <c r="E372" s="8"/>
      <c r="F372" s="9"/>
      <c r="G372" s="9"/>
      <c r="H372" s="6"/>
      <c r="I372" s="9"/>
      <c r="J372" s="9" t="s">
        <v>145</v>
      </c>
    </row>
    <row r="373" spans="1:10">
      <c r="A373" s="5"/>
      <c r="B373" s="6"/>
      <c r="C373" s="7"/>
      <c r="D373" s="9"/>
      <c r="E373" s="8"/>
      <c r="F373" s="9"/>
      <c r="G373" s="9"/>
      <c r="H373" s="6"/>
      <c r="I373" s="9"/>
      <c r="J373" s="9" t="s">
        <v>145</v>
      </c>
    </row>
    <row r="374" spans="1:10">
      <c r="A374" s="5"/>
      <c r="B374" s="6"/>
      <c r="C374" s="7"/>
      <c r="D374" s="9"/>
      <c r="E374" s="8"/>
      <c r="F374" s="9"/>
      <c r="G374" s="9"/>
      <c r="H374" s="6"/>
      <c r="I374" s="9"/>
      <c r="J374" s="9" t="s">
        <v>145</v>
      </c>
    </row>
    <row r="375" spans="1:10">
      <c r="A375" s="5"/>
      <c r="B375" s="6"/>
      <c r="C375" s="7"/>
      <c r="D375" s="9"/>
      <c r="E375" s="8"/>
      <c r="F375" s="9"/>
      <c r="G375" s="9"/>
      <c r="H375" s="6"/>
      <c r="I375" s="9"/>
      <c r="J375" s="9" t="s">
        <v>145</v>
      </c>
    </row>
    <row r="376" spans="1:10">
      <c r="A376" s="5"/>
      <c r="B376" s="6"/>
      <c r="C376" s="7"/>
      <c r="D376" s="9"/>
      <c r="E376" s="4"/>
      <c r="F376" s="9"/>
      <c r="G376" s="9"/>
      <c r="H376" s="6"/>
      <c r="I376" s="9"/>
      <c r="J376" s="9" t="s">
        <v>145</v>
      </c>
    </row>
    <row r="377" spans="1:10">
      <c r="A377" s="5"/>
      <c r="B377" s="6"/>
      <c r="C377" s="7"/>
      <c r="D377" s="9"/>
      <c r="E377" s="8"/>
      <c r="F377" s="9"/>
      <c r="G377" s="9"/>
      <c r="H377" s="6"/>
      <c r="I377" s="9"/>
      <c r="J377" s="9" t="s">
        <v>145</v>
      </c>
    </row>
    <row r="378" spans="1:10">
      <c r="A378" s="5"/>
      <c r="B378" s="6"/>
      <c r="C378" s="7"/>
      <c r="D378" s="9"/>
      <c r="E378" s="8"/>
      <c r="F378" s="9"/>
      <c r="G378" s="9"/>
      <c r="H378" s="6"/>
      <c r="I378" s="9"/>
      <c r="J378" s="9" t="s">
        <v>145</v>
      </c>
    </row>
    <row r="379" spans="1:10">
      <c r="A379" s="5"/>
      <c r="B379" s="6"/>
      <c r="C379" s="7"/>
      <c r="D379" s="9"/>
      <c r="E379" s="8"/>
      <c r="F379" s="9"/>
      <c r="G379" s="9"/>
      <c r="H379" s="6"/>
      <c r="I379" s="9"/>
      <c r="J379" s="9" t="s">
        <v>145</v>
      </c>
    </row>
    <row r="380" spans="1:10">
      <c r="A380" s="5"/>
      <c r="B380" s="6"/>
      <c r="C380" s="7"/>
      <c r="D380" s="9"/>
      <c r="E380" s="8"/>
      <c r="F380" s="9"/>
      <c r="G380" s="9"/>
      <c r="H380" s="6"/>
      <c r="I380" s="9"/>
      <c r="J380" s="9" t="s">
        <v>145</v>
      </c>
    </row>
    <row r="381" spans="1:10">
      <c r="A381" s="5"/>
      <c r="B381" s="6"/>
      <c r="C381" s="7"/>
      <c r="D381" s="9"/>
      <c r="E381" s="8"/>
      <c r="F381" s="9"/>
      <c r="G381" s="9"/>
      <c r="H381" s="6"/>
      <c r="I381" s="9"/>
      <c r="J381" s="9" t="s">
        <v>145</v>
      </c>
    </row>
    <row r="382" spans="1:10">
      <c r="A382" s="5"/>
      <c r="B382" s="6"/>
      <c r="C382" s="7"/>
      <c r="D382" s="9"/>
      <c r="E382" s="8"/>
      <c r="F382" s="9"/>
      <c r="G382" s="9"/>
      <c r="H382" s="6"/>
      <c r="I382" s="9"/>
      <c r="J382" s="9" t="s">
        <v>145</v>
      </c>
    </row>
    <row r="383" spans="1:10">
      <c r="A383" s="5"/>
      <c r="B383" s="6"/>
      <c r="C383" s="7"/>
      <c r="D383" s="9"/>
      <c r="E383" s="8"/>
      <c r="F383" s="9"/>
      <c r="G383" s="9"/>
      <c r="H383" s="6"/>
      <c r="I383" s="9"/>
      <c r="J383" s="9" t="s">
        <v>145</v>
      </c>
    </row>
    <row r="384" spans="1:10">
      <c r="A384" s="5"/>
      <c r="B384" s="6"/>
      <c r="C384" s="7"/>
      <c r="D384" s="9"/>
      <c r="E384" s="8"/>
      <c r="F384" s="9"/>
      <c r="G384" s="9"/>
      <c r="H384" s="6"/>
      <c r="I384" s="9"/>
      <c r="J384" s="9" t="s">
        <v>145</v>
      </c>
    </row>
    <row r="385" spans="1:10">
      <c r="A385" s="5"/>
      <c r="B385" s="6"/>
      <c r="C385" s="7"/>
      <c r="D385" s="9"/>
      <c r="E385" s="8"/>
      <c r="F385" s="9"/>
      <c r="G385" s="9"/>
      <c r="H385" s="6"/>
      <c r="I385" s="9"/>
      <c r="J385" s="9" t="s">
        <v>145</v>
      </c>
    </row>
    <row r="386" spans="1:10">
      <c r="A386" s="5"/>
      <c r="B386" s="6"/>
      <c r="C386" s="7"/>
      <c r="D386" s="9"/>
      <c r="E386" s="8"/>
      <c r="F386" s="9"/>
      <c r="G386" s="9"/>
      <c r="H386" s="6"/>
      <c r="I386" s="9"/>
      <c r="J386" s="9" t="s">
        <v>145</v>
      </c>
    </row>
    <row r="387" spans="1:10">
      <c r="A387" s="5"/>
      <c r="B387" s="6"/>
      <c r="C387" s="7"/>
      <c r="D387" s="9"/>
      <c r="E387" s="8"/>
      <c r="F387" s="9"/>
      <c r="G387" s="9"/>
      <c r="H387" s="6"/>
      <c r="I387" s="9"/>
      <c r="J387" s="9" t="s">
        <v>145</v>
      </c>
    </row>
    <row r="388" spans="1:10">
      <c r="A388" s="5"/>
      <c r="B388" s="6"/>
      <c r="C388" s="7"/>
      <c r="D388" s="9"/>
      <c r="E388" s="8"/>
      <c r="F388" s="9"/>
      <c r="G388" s="9"/>
      <c r="H388" s="6"/>
      <c r="I388" s="9"/>
      <c r="J388" s="9" t="s">
        <v>145</v>
      </c>
    </row>
    <row r="389" spans="1:10">
      <c r="A389" s="5"/>
      <c r="B389" s="6"/>
      <c r="C389" s="7"/>
      <c r="D389" s="9"/>
      <c r="E389" s="4"/>
      <c r="F389" s="9"/>
      <c r="G389" s="9"/>
      <c r="H389" s="6"/>
      <c r="I389" s="9"/>
      <c r="J389" s="9" t="s">
        <v>145</v>
      </c>
    </row>
    <row r="390" spans="1:10">
      <c r="A390" s="5"/>
      <c r="B390" s="6"/>
      <c r="C390" s="7"/>
      <c r="D390" s="9"/>
      <c r="E390" s="8"/>
      <c r="F390" s="9"/>
      <c r="G390" s="9"/>
      <c r="H390" s="6"/>
      <c r="I390" s="9"/>
      <c r="J390" s="9" t="s">
        <v>145</v>
      </c>
    </row>
    <row r="391" spans="1:10">
      <c r="A391" s="5"/>
      <c r="B391" s="6"/>
      <c r="C391" s="7"/>
      <c r="D391" s="9"/>
      <c r="E391" s="8"/>
      <c r="F391" s="9"/>
      <c r="G391" s="9"/>
      <c r="H391" s="6"/>
      <c r="I391" s="9"/>
      <c r="J391" s="9" t="s">
        <v>145</v>
      </c>
    </row>
    <row r="392" spans="1:10">
      <c r="A392" s="5"/>
      <c r="B392" s="6"/>
      <c r="C392" s="7"/>
      <c r="D392" s="9"/>
      <c r="E392" s="8"/>
      <c r="F392" s="9"/>
      <c r="G392" s="9"/>
      <c r="H392" s="6"/>
      <c r="I392" s="9"/>
      <c r="J392" s="9" t="s">
        <v>145</v>
      </c>
    </row>
    <row r="393" spans="1:10">
      <c r="A393" s="5"/>
      <c r="B393" s="6"/>
      <c r="C393" s="7"/>
      <c r="D393" s="9"/>
      <c r="E393" s="8"/>
      <c r="F393" s="9"/>
      <c r="G393" s="9"/>
      <c r="H393" s="6"/>
      <c r="I393" s="9"/>
      <c r="J393" s="9" t="s">
        <v>145</v>
      </c>
    </row>
    <row r="394" spans="1:10">
      <c r="A394" s="5"/>
      <c r="B394" s="6"/>
      <c r="C394" s="7"/>
      <c r="D394" s="9"/>
      <c r="E394" s="8"/>
      <c r="F394" s="9"/>
      <c r="G394" s="9"/>
      <c r="H394" s="6"/>
      <c r="I394" s="9"/>
      <c r="J394" s="9" t="s">
        <v>145</v>
      </c>
    </row>
    <row r="395" spans="1:10">
      <c r="A395" s="5"/>
      <c r="B395" s="6"/>
      <c r="C395" s="7"/>
      <c r="D395" s="9"/>
      <c r="E395" s="8"/>
      <c r="F395" s="9"/>
      <c r="G395" s="9"/>
      <c r="H395" s="6"/>
      <c r="I395" s="9"/>
      <c r="J395" s="9" t="s">
        <v>145</v>
      </c>
    </row>
    <row r="396" spans="1:10">
      <c r="A396" s="5"/>
      <c r="B396" s="6"/>
      <c r="C396" s="7"/>
      <c r="D396" s="9"/>
      <c r="E396" s="8"/>
      <c r="F396" s="9"/>
      <c r="G396" s="9"/>
      <c r="H396" s="6"/>
      <c r="I396" s="9"/>
      <c r="J396" s="9" t="s">
        <v>145</v>
      </c>
    </row>
    <row r="397" spans="1:10">
      <c r="A397" s="5"/>
      <c r="B397" s="6"/>
      <c r="C397" s="7"/>
      <c r="D397" s="9"/>
      <c r="E397" s="8"/>
      <c r="F397" s="9"/>
      <c r="G397" s="9"/>
      <c r="H397" s="6"/>
      <c r="I397" s="9"/>
      <c r="J397" s="9" t="s">
        <v>145</v>
      </c>
    </row>
    <row r="398" spans="1:10">
      <c r="A398" s="5"/>
      <c r="B398" s="6"/>
      <c r="C398" s="7"/>
      <c r="D398" s="9"/>
      <c r="E398" s="8"/>
      <c r="F398" s="9"/>
      <c r="G398" s="9"/>
      <c r="H398" s="6"/>
      <c r="I398" s="9"/>
      <c r="J398" s="9" t="s">
        <v>145</v>
      </c>
    </row>
    <row r="399" spans="1:10">
      <c r="A399" s="5"/>
      <c r="B399" s="6"/>
      <c r="C399" s="7"/>
      <c r="D399" s="9"/>
      <c r="E399" s="8"/>
      <c r="F399" s="9"/>
      <c r="G399" s="9"/>
      <c r="H399" s="6"/>
      <c r="I399" s="9"/>
      <c r="J399" s="9" t="s">
        <v>145</v>
      </c>
    </row>
    <row r="400" spans="1:10">
      <c r="A400" s="5"/>
      <c r="B400" s="6"/>
      <c r="C400" s="7"/>
      <c r="D400" s="9"/>
      <c r="E400" s="8"/>
      <c r="F400" s="9"/>
      <c r="G400" s="9"/>
      <c r="H400" s="6"/>
      <c r="I400" s="9"/>
      <c r="J400" s="9" t="s">
        <v>145</v>
      </c>
    </row>
    <row r="401" spans="1:10">
      <c r="A401" s="5"/>
      <c r="B401" s="6"/>
      <c r="C401" s="7"/>
      <c r="D401" s="9"/>
      <c r="E401" s="8"/>
      <c r="F401" s="9"/>
      <c r="G401" s="9"/>
      <c r="H401" s="6"/>
      <c r="I401" s="9"/>
      <c r="J401" s="9" t="s">
        <v>145</v>
      </c>
    </row>
    <row r="402" spans="1:10">
      <c r="A402" s="5"/>
      <c r="B402" s="6"/>
      <c r="C402" s="7"/>
      <c r="D402" s="9"/>
      <c r="E402" s="8"/>
      <c r="F402" s="9"/>
      <c r="G402" s="9"/>
      <c r="H402" s="6"/>
      <c r="I402" s="9"/>
      <c r="J402" s="9" t="s">
        <v>145</v>
      </c>
    </row>
    <row r="403" spans="1:10">
      <c r="A403" s="5"/>
      <c r="B403" s="6"/>
      <c r="C403" s="7"/>
      <c r="D403" s="9"/>
      <c r="E403" s="8"/>
      <c r="F403" s="9"/>
      <c r="G403" s="9"/>
      <c r="H403" s="6"/>
      <c r="I403" s="9"/>
      <c r="J403" s="9" t="s">
        <v>145</v>
      </c>
    </row>
    <row r="404" spans="1:10">
      <c r="A404" s="5"/>
      <c r="B404" s="6"/>
      <c r="C404" s="7"/>
      <c r="D404" s="9"/>
      <c r="E404" s="8"/>
      <c r="F404" s="9"/>
      <c r="G404" s="9"/>
      <c r="H404" s="6"/>
      <c r="I404" s="9"/>
      <c r="J404" s="9" t="s">
        <v>145</v>
      </c>
    </row>
    <row r="405" spans="1:10">
      <c r="A405" s="5"/>
      <c r="B405" s="6"/>
      <c r="C405" s="7"/>
      <c r="D405" s="9"/>
      <c r="E405" s="4"/>
      <c r="F405" s="9"/>
      <c r="G405" s="9"/>
      <c r="H405" s="6"/>
      <c r="I405" s="9"/>
      <c r="J405" s="9" t="s">
        <v>145</v>
      </c>
    </row>
    <row r="406" spans="1:10">
      <c r="A406" s="5"/>
      <c r="B406" s="6"/>
      <c r="C406" s="7"/>
      <c r="D406" s="9"/>
      <c r="E406" s="8"/>
      <c r="F406" s="9"/>
      <c r="G406" s="9"/>
      <c r="H406" s="6"/>
      <c r="I406" s="9"/>
      <c r="J406" s="9" t="s">
        <v>145</v>
      </c>
    </row>
    <row r="407" spans="1:10">
      <c r="A407" s="5"/>
      <c r="B407" s="6"/>
      <c r="C407" s="7"/>
      <c r="D407" s="9"/>
      <c r="E407" s="8"/>
      <c r="F407" s="9"/>
      <c r="G407" s="9"/>
      <c r="H407" s="6"/>
      <c r="I407" s="9"/>
      <c r="J407" s="9" t="s">
        <v>145</v>
      </c>
    </row>
    <row r="408" spans="1:10">
      <c r="A408" s="5"/>
      <c r="B408" s="6"/>
      <c r="C408" s="7"/>
      <c r="D408" s="9"/>
      <c r="E408" s="4"/>
      <c r="F408" s="9"/>
      <c r="G408" s="9"/>
      <c r="H408" s="6"/>
      <c r="I408" s="9"/>
      <c r="J408" s="9" t="s">
        <v>145</v>
      </c>
    </row>
    <row r="409" spans="1:10">
      <c r="A409" s="5"/>
      <c r="B409" s="6"/>
      <c r="C409" s="7"/>
      <c r="D409" s="9"/>
      <c r="E409" s="8"/>
      <c r="F409" s="9"/>
      <c r="G409" s="9"/>
      <c r="H409" s="6"/>
      <c r="I409" s="9"/>
      <c r="J409" s="9" t="s">
        <v>145</v>
      </c>
    </row>
    <row r="410" spans="1:10">
      <c r="A410" s="5"/>
      <c r="B410" s="6"/>
      <c r="C410" s="7"/>
      <c r="D410" s="9"/>
      <c r="E410" s="8"/>
      <c r="F410" s="9"/>
      <c r="G410" s="9"/>
      <c r="H410" s="6"/>
      <c r="I410" s="9"/>
      <c r="J410" s="9" t="s">
        <v>145</v>
      </c>
    </row>
    <row r="411" spans="1:10">
      <c r="A411" s="5"/>
      <c r="B411" s="6"/>
      <c r="C411" s="7"/>
      <c r="D411" s="9"/>
      <c r="E411" s="4"/>
      <c r="F411" s="9"/>
      <c r="G411" s="9"/>
      <c r="H411" s="6"/>
      <c r="I411" s="9"/>
      <c r="J411" s="9" t="s">
        <v>145</v>
      </c>
    </row>
    <row r="412" spans="1:10">
      <c r="A412" s="5"/>
      <c r="B412" s="6"/>
      <c r="C412" s="7"/>
      <c r="D412" s="9"/>
      <c r="E412" s="8"/>
      <c r="F412" s="9"/>
      <c r="G412" s="9"/>
      <c r="H412" s="6"/>
      <c r="I412" s="9"/>
      <c r="J412" s="9" t="s">
        <v>145</v>
      </c>
    </row>
    <row r="413" spans="1:10">
      <c r="A413" s="5"/>
      <c r="B413" s="6"/>
      <c r="C413" s="7"/>
      <c r="D413" s="9"/>
      <c r="E413" s="8"/>
      <c r="F413" s="9"/>
      <c r="G413" s="9"/>
      <c r="H413" s="6"/>
      <c r="I413" s="9"/>
      <c r="J413" s="9" t="s">
        <v>145</v>
      </c>
    </row>
    <row r="414" spans="1:10">
      <c r="A414" s="5"/>
      <c r="B414" s="6"/>
      <c r="C414" s="7"/>
      <c r="D414" s="9"/>
      <c r="E414" s="8"/>
      <c r="F414" s="9"/>
      <c r="G414" s="9"/>
      <c r="H414" s="6"/>
      <c r="I414" s="9"/>
      <c r="J414" s="9" t="s">
        <v>145</v>
      </c>
    </row>
    <row r="415" spans="1:10">
      <c r="A415" s="5"/>
      <c r="B415" s="6"/>
      <c r="C415" s="7"/>
      <c r="D415" s="9"/>
      <c r="E415" s="8"/>
      <c r="F415" s="9"/>
      <c r="G415" s="9"/>
      <c r="H415" s="6"/>
      <c r="I415" s="9"/>
      <c r="J415" s="9" t="s">
        <v>145</v>
      </c>
    </row>
    <row r="416" spans="1:10">
      <c r="A416" s="5"/>
      <c r="B416" s="6"/>
      <c r="C416" s="7"/>
      <c r="D416" s="9"/>
      <c r="E416" s="8"/>
      <c r="F416" s="9"/>
      <c r="G416" s="9"/>
      <c r="H416" s="6"/>
      <c r="I416" s="9"/>
      <c r="J416" s="9" t="s">
        <v>145</v>
      </c>
    </row>
    <row r="417" spans="1:10">
      <c r="A417" s="5"/>
      <c r="B417" s="6"/>
      <c r="C417" s="7"/>
      <c r="D417" s="9"/>
      <c r="E417" s="4"/>
      <c r="F417" s="9"/>
      <c r="G417" s="9"/>
      <c r="H417" s="6"/>
      <c r="I417" s="9"/>
      <c r="J417" s="9" t="s">
        <v>145</v>
      </c>
    </row>
    <row r="418" spans="1:10">
      <c r="A418" s="5"/>
      <c r="B418" s="6"/>
      <c r="C418" s="7"/>
      <c r="D418" s="9"/>
      <c r="E418" s="8"/>
      <c r="F418" s="9"/>
      <c r="G418" s="9"/>
      <c r="H418" s="6"/>
      <c r="I418" s="9"/>
      <c r="J418" s="9" t="s">
        <v>145</v>
      </c>
    </row>
    <row r="419" spans="1:10">
      <c r="A419" s="5"/>
      <c r="B419" s="6"/>
      <c r="C419" s="7"/>
      <c r="D419" s="9"/>
      <c r="E419" s="8"/>
      <c r="F419" s="9"/>
      <c r="G419" s="9"/>
      <c r="H419" s="6"/>
      <c r="I419" s="9"/>
      <c r="J419" s="9" t="s">
        <v>145</v>
      </c>
    </row>
    <row r="420" spans="1:10">
      <c r="A420" s="5"/>
      <c r="B420" s="6"/>
      <c r="C420" s="7"/>
      <c r="D420" s="9"/>
      <c r="E420" s="8"/>
      <c r="F420" s="9"/>
      <c r="G420" s="9"/>
      <c r="H420" s="6"/>
      <c r="I420" s="9"/>
      <c r="J420" s="9" t="s">
        <v>145</v>
      </c>
    </row>
    <row r="421" spans="1:10">
      <c r="A421" s="5"/>
      <c r="B421" s="6"/>
      <c r="C421" s="7"/>
      <c r="D421" s="9"/>
      <c r="E421" s="8"/>
      <c r="F421" s="9"/>
      <c r="G421" s="9"/>
      <c r="H421" s="6"/>
      <c r="I421" s="9"/>
      <c r="J421" s="9" t="s">
        <v>145</v>
      </c>
    </row>
    <row r="422" spans="1:10">
      <c r="A422" s="5"/>
      <c r="B422" s="6"/>
      <c r="C422" s="7"/>
      <c r="D422" s="9"/>
      <c r="E422" s="8"/>
      <c r="F422" s="9"/>
      <c r="G422" s="9"/>
      <c r="H422" s="6"/>
      <c r="I422" s="9"/>
      <c r="J422" s="9" t="s">
        <v>145</v>
      </c>
    </row>
    <row r="423" spans="1:10">
      <c r="A423" s="5"/>
      <c r="B423" s="6"/>
      <c r="C423" s="7"/>
      <c r="D423" s="9"/>
      <c r="E423" s="8"/>
      <c r="F423" s="9"/>
      <c r="G423" s="9"/>
      <c r="H423" s="6"/>
      <c r="I423" s="9"/>
      <c r="J423" s="9" t="s">
        <v>145</v>
      </c>
    </row>
    <row r="424" spans="1:10">
      <c r="A424" s="5"/>
      <c r="B424" s="6"/>
      <c r="C424" s="7"/>
      <c r="D424" s="9"/>
      <c r="E424" s="8"/>
      <c r="F424" s="9"/>
      <c r="G424" s="9"/>
      <c r="H424" s="6"/>
      <c r="I424" s="9"/>
      <c r="J424" s="9" t="s">
        <v>145</v>
      </c>
    </row>
    <row r="425" spans="1:10">
      <c r="A425" s="5"/>
      <c r="B425" s="6"/>
      <c r="C425" s="7"/>
      <c r="D425" s="9"/>
      <c r="E425" s="8"/>
      <c r="F425" s="9"/>
      <c r="G425" s="9"/>
      <c r="H425" s="6"/>
      <c r="I425" s="9"/>
      <c r="J425" s="9" t="s">
        <v>145</v>
      </c>
    </row>
    <row r="426" spans="1:10">
      <c r="A426" s="5"/>
      <c r="B426" s="6"/>
      <c r="C426" s="7"/>
      <c r="D426" s="9"/>
      <c r="E426" s="8"/>
      <c r="F426" s="9"/>
      <c r="G426" s="9"/>
      <c r="H426" s="6"/>
      <c r="I426" s="9"/>
      <c r="J426" s="9" t="s">
        <v>145</v>
      </c>
    </row>
    <row r="427" spans="1:10">
      <c r="A427" s="5"/>
      <c r="B427" s="6"/>
      <c r="C427" s="7"/>
      <c r="D427" s="9"/>
      <c r="E427" s="8"/>
      <c r="F427" s="9"/>
      <c r="G427" s="9"/>
      <c r="H427" s="6"/>
      <c r="I427" s="9"/>
      <c r="J427" s="9" t="s">
        <v>145</v>
      </c>
    </row>
    <row r="428" spans="1:10">
      <c r="A428" s="5"/>
      <c r="B428" s="6"/>
      <c r="C428" s="7"/>
      <c r="D428" s="9"/>
      <c r="E428" s="8"/>
      <c r="F428" s="9"/>
      <c r="G428" s="9"/>
      <c r="H428" s="6"/>
      <c r="I428" s="9"/>
      <c r="J428" s="9" t="s">
        <v>145</v>
      </c>
    </row>
    <row r="429" spans="1:10">
      <c r="A429" s="5"/>
      <c r="B429" s="6"/>
      <c r="C429" s="7"/>
      <c r="D429" s="9"/>
      <c r="E429" s="8"/>
      <c r="F429" s="9"/>
      <c r="G429" s="9"/>
      <c r="H429" s="6"/>
      <c r="I429" s="9"/>
      <c r="J429" s="9" t="s">
        <v>145</v>
      </c>
    </row>
    <row r="430" spans="1:10">
      <c r="A430" s="5"/>
      <c r="B430" s="6"/>
      <c r="C430" s="7"/>
      <c r="D430" s="9"/>
      <c r="E430" s="8"/>
      <c r="F430" s="9"/>
      <c r="G430" s="9"/>
      <c r="H430" s="6"/>
      <c r="I430" s="9"/>
      <c r="J430" s="9" t="s">
        <v>145</v>
      </c>
    </row>
    <row r="431" spans="1:10">
      <c r="A431" s="5"/>
      <c r="B431" s="6"/>
      <c r="C431" s="7"/>
      <c r="D431" s="9"/>
      <c r="E431" s="4"/>
      <c r="F431" s="9"/>
      <c r="G431" s="9"/>
      <c r="H431" s="6"/>
      <c r="I431" s="9"/>
      <c r="J431" s="9" t="s">
        <v>145</v>
      </c>
    </row>
    <row r="432" spans="1:10">
      <c r="A432" s="5"/>
      <c r="B432" s="6"/>
      <c r="C432" s="7"/>
      <c r="D432" s="9"/>
      <c r="E432" s="8"/>
      <c r="F432" s="9"/>
      <c r="G432" s="9"/>
      <c r="H432" s="6"/>
      <c r="I432" s="9"/>
      <c r="J432" s="9" t="s">
        <v>145</v>
      </c>
    </row>
    <row r="433" spans="1:10">
      <c r="A433" s="5"/>
      <c r="B433" s="6"/>
      <c r="C433" s="7"/>
      <c r="D433" s="9"/>
      <c r="E433" s="8"/>
      <c r="F433" s="9"/>
      <c r="G433" s="9"/>
      <c r="H433" s="6"/>
      <c r="I433" s="9"/>
      <c r="J433" s="9" t="s">
        <v>145</v>
      </c>
    </row>
    <row r="434" spans="1:10">
      <c r="A434" s="5"/>
      <c r="B434" s="6"/>
      <c r="C434" s="7"/>
      <c r="D434" s="9"/>
      <c r="E434" s="8"/>
      <c r="F434" s="9"/>
      <c r="G434" s="9"/>
      <c r="H434" s="6"/>
      <c r="I434" s="9"/>
      <c r="J434" s="9" t="s">
        <v>145</v>
      </c>
    </row>
    <row r="435" spans="1:10">
      <c r="A435" s="5"/>
      <c r="B435" s="6"/>
      <c r="C435" s="7"/>
      <c r="D435" s="9"/>
      <c r="E435" s="8"/>
      <c r="F435" s="9"/>
      <c r="G435" s="9"/>
      <c r="H435" s="6"/>
      <c r="I435" s="9"/>
      <c r="J435" s="9" t="s">
        <v>145</v>
      </c>
    </row>
    <row r="436" spans="1:10">
      <c r="A436" s="5"/>
      <c r="B436" s="6"/>
      <c r="C436" s="7"/>
      <c r="D436" s="9"/>
      <c r="E436" s="8"/>
      <c r="F436" s="9"/>
      <c r="G436" s="9"/>
      <c r="H436" s="6"/>
      <c r="I436" s="9"/>
      <c r="J436" s="9" t="s">
        <v>145</v>
      </c>
    </row>
    <row r="437" spans="1:10">
      <c r="A437" s="5"/>
      <c r="B437" s="6"/>
      <c r="C437" s="7"/>
      <c r="D437" s="9"/>
      <c r="E437" s="8"/>
      <c r="F437" s="9"/>
      <c r="G437" s="9"/>
      <c r="H437" s="6"/>
      <c r="I437" s="9"/>
      <c r="J437" s="9" t="s">
        <v>145</v>
      </c>
    </row>
    <row r="438" spans="1:10">
      <c r="A438" s="5"/>
      <c r="B438" s="6"/>
      <c r="C438" s="7"/>
      <c r="D438" s="9"/>
      <c r="E438" s="4"/>
      <c r="F438" s="9"/>
      <c r="G438" s="9"/>
      <c r="H438" s="6"/>
      <c r="I438" s="9"/>
      <c r="J438" s="9" t="s">
        <v>145</v>
      </c>
    </row>
    <row r="439" spans="1:10">
      <c r="A439" s="5"/>
      <c r="B439" s="6"/>
      <c r="C439" s="7"/>
      <c r="D439" s="9"/>
      <c r="E439" s="4"/>
      <c r="F439" s="9"/>
      <c r="G439" s="9"/>
      <c r="H439" s="6"/>
      <c r="I439" s="9"/>
      <c r="J439" s="9" t="s">
        <v>145</v>
      </c>
    </row>
    <row r="440" spans="1:10">
      <c r="A440" s="5"/>
      <c r="B440" s="6"/>
      <c r="C440" s="7"/>
      <c r="D440" s="9"/>
      <c r="E440" s="8"/>
      <c r="F440" s="9"/>
      <c r="G440" s="9"/>
      <c r="H440" s="6"/>
      <c r="I440" s="9"/>
      <c r="J440" s="9" t="s">
        <v>145</v>
      </c>
    </row>
    <row r="441" spans="1:10">
      <c r="A441" s="5"/>
      <c r="B441" s="6"/>
      <c r="C441" s="7"/>
      <c r="D441" s="9"/>
      <c r="E441" s="8"/>
      <c r="F441" s="9"/>
      <c r="G441" s="9"/>
      <c r="H441" s="6"/>
      <c r="I441" s="9"/>
      <c r="J441" s="9" t="s">
        <v>145</v>
      </c>
    </row>
    <row r="442" spans="1:10">
      <c r="A442" s="5"/>
      <c r="B442" s="6"/>
      <c r="C442" s="7"/>
      <c r="D442" s="9"/>
      <c r="E442" s="8"/>
      <c r="F442" s="9"/>
      <c r="G442" s="9"/>
      <c r="H442" s="6"/>
      <c r="I442" s="9"/>
      <c r="J442" s="9" t="s">
        <v>145</v>
      </c>
    </row>
    <row r="443" spans="1:10">
      <c r="A443" s="5"/>
      <c r="B443" s="6"/>
      <c r="C443" s="7"/>
      <c r="D443" s="9"/>
      <c r="E443" s="4"/>
      <c r="F443" s="9"/>
      <c r="G443" s="9"/>
      <c r="H443" s="6"/>
      <c r="I443" s="9"/>
      <c r="J443" s="9" t="s">
        <v>145</v>
      </c>
    </row>
    <row r="444" spans="1:10">
      <c r="A444" s="5"/>
      <c r="B444" s="6"/>
      <c r="C444" s="7"/>
      <c r="D444" s="9"/>
      <c r="E444" s="8"/>
      <c r="F444" s="9"/>
      <c r="G444" s="9"/>
      <c r="H444" s="6"/>
      <c r="I444" s="9"/>
      <c r="J444" s="9" t="s">
        <v>145</v>
      </c>
    </row>
    <row r="445" spans="1:10">
      <c r="A445" s="5"/>
      <c r="B445" s="6"/>
      <c r="C445" s="7"/>
      <c r="D445" s="9"/>
      <c r="E445" s="8"/>
      <c r="F445" s="9"/>
      <c r="G445" s="9"/>
      <c r="H445" s="6"/>
      <c r="I445" s="9"/>
      <c r="J445" s="9" t="s">
        <v>145</v>
      </c>
    </row>
    <row r="446" spans="1:10">
      <c r="A446" s="5"/>
      <c r="B446" s="6"/>
      <c r="C446" s="7"/>
      <c r="D446" s="9"/>
      <c r="E446" s="8"/>
      <c r="F446" s="9"/>
      <c r="G446" s="9"/>
      <c r="H446" s="6"/>
      <c r="I446" s="9"/>
      <c r="J446" s="9" t="s">
        <v>145</v>
      </c>
    </row>
    <row r="447" spans="1:10">
      <c r="A447" s="5"/>
      <c r="B447" s="6"/>
      <c r="C447" s="7"/>
      <c r="D447" s="9"/>
      <c r="E447" s="4"/>
      <c r="F447" s="9"/>
      <c r="G447" s="9"/>
      <c r="H447" s="6"/>
      <c r="I447" s="9"/>
      <c r="J447" s="9" t="s">
        <v>145</v>
      </c>
    </row>
    <row r="448" spans="1:10">
      <c r="A448" s="5"/>
      <c r="B448" s="6"/>
      <c r="C448" s="7"/>
      <c r="D448" s="9"/>
      <c r="E448" s="8"/>
      <c r="F448" s="9"/>
      <c r="G448" s="9"/>
      <c r="H448" s="6"/>
      <c r="I448" s="9"/>
      <c r="J448" s="9" t="s">
        <v>145</v>
      </c>
    </row>
    <row r="449" spans="1:10">
      <c r="A449" s="5"/>
      <c r="B449" s="6"/>
      <c r="C449" s="7"/>
      <c r="D449" s="9"/>
      <c r="E449" s="4"/>
      <c r="F449" s="9"/>
      <c r="G449" s="9"/>
      <c r="H449" s="6"/>
      <c r="I449" s="9"/>
      <c r="J449" s="9" t="s">
        <v>145</v>
      </c>
    </row>
    <row r="450" spans="1:10">
      <c r="A450" s="5"/>
      <c r="B450" s="6"/>
      <c r="C450" s="7"/>
      <c r="D450" s="9"/>
      <c r="E450" s="8"/>
      <c r="F450" s="9"/>
      <c r="G450" s="9"/>
      <c r="H450" s="6"/>
      <c r="I450" s="9"/>
      <c r="J450" s="9" t="s">
        <v>145</v>
      </c>
    </row>
    <row r="451" spans="1:10">
      <c r="A451" s="5"/>
      <c r="B451" s="6"/>
      <c r="C451" s="7"/>
      <c r="D451" s="9"/>
      <c r="E451" s="4"/>
      <c r="F451" s="9"/>
      <c r="G451" s="9"/>
      <c r="H451" s="6"/>
      <c r="I451" s="9"/>
      <c r="J451" s="9" t="s">
        <v>145</v>
      </c>
    </row>
    <row r="452" spans="1:10">
      <c r="A452" s="5"/>
      <c r="B452" s="6"/>
      <c r="C452" s="7"/>
      <c r="D452" s="9"/>
      <c r="E452" s="8"/>
      <c r="F452" s="9"/>
      <c r="G452" s="9"/>
      <c r="H452" s="6"/>
      <c r="I452" s="9"/>
      <c r="J452" s="9" t="s">
        <v>145</v>
      </c>
    </row>
    <row r="453" spans="1:10">
      <c r="A453" s="5"/>
      <c r="B453" s="6"/>
      <c r="C453" s="7"/>
      <c r="D453" s="9"/>
      <c r="E453" s="8"/>
      <c r="F453" s="9"/>
      <c r="G453" s="9"/>
      <c r="H453" s="6"/>
      <c r="I453" s="9"/>
      <c r="J453" s="9" t="s">
        <v>145</v>
      </c>
    </row>
    <row r="454" spans="1:10">
      <c r="A454" s="5"/>
      <c r="B454" s="6"/>
      <c r="C454" s="7"/>
      <c r="D454" s="9"/>
      <c r="E454" s="4"/>
      <c r="F454" s="9"/>
      <c r="G454" s="9"/>
      <c r="H454" s="6"/>
      <c r="I454" s="9"/>
      <c r="J454" s="9" t="s">
        <v>145</v>
      </c>
    </row>
    <row r="455" spans="1:10">
      <c r="A455" s="5"/>
      <c r="B455" s="6"/>
      <c r="C455" s="7"/>
      <c r="D455" s="9"/>
      <c r="E455" s="8"/>
      <c r="F455" s="9"/>
      <c r="G455" s="9"/>
      <c r="H455" s="6"/>
      <c r="I455" s="9"/>
      <c r="J455" s="9" t="s">
        <v>145</v>
      </c>
    </row>
    <row r="456" spans="1:10">
      <c r="A456" s="5"/>
      <c r="B456" s="6"/>
      <c r="C456" s="7"/>
      <c r="D456" s="9"/>
      <c r="E456" s="8"/>
      <c r="F456" s="9"/>
      <c r="G456" s="9"/>
      <c r="H456" s="6"/>
      <c r="I456" s="9"/>
      <c r="J456" s="9" t="s">
        <v>145</v>
      </c>
    </row>
    <row r="457" spans="1:10">
      <c r="A457" s="5"/>
      <c r="B457" s="6"/>
      <c r="C457" s="7"/>
      <c r="D457" s="9"/>
      <c r="E457" s="8"/>
      <c r="F457" s="9"/>
      <c r="G457" s="9"/>
      <c r="H457" s="6"/>
      <c r="I457" s="9"/>
      <c r="J457" s="9" t="s">
        <v>145</v>
      </c>
    </row>
    <row r="458" spans="1:10">
      <c r="A458" s="5"/>
      <c r="B458" s="6"/>
      <c r="C458" s="7"/>
      <c r="D458" s="9"/>
      <c r="E458" s="8"/>
      <c r="F458" s="9"/>
      <c r="G458" s="9"/>
      <c r="H458" s="6"/>
      <c r="I458" s="9"/>
      <c r="J458" s="9" t="s">
        <v>145</v>
      </c>
    </row>
    <row r="459" spans="1:10">
      <c r="A459" s="5"/>
      <c r="B459" s="6"/>
      <c r="C459" s="7"/>
      <c r="D459" s="9"/>
      <c r="E459" s="8"/>
      <c r="F459" s="9"/>
      <c r="G459" s="9"/>
      <c r="H459" s="6"/>
      <c r="I459" s="9"/>
      <c r="J459" s="9" t="s">
        <v>145</v>
      </c>
    </row>
    <row r="460" spans="1:10">
      <c r="A460" s="5"/>
      <c r="B460" s="6"/>
      <c r="C460" s="7"/>
      <c r="D460" s="9"/>
      <c r="E460" s="8"/>
      <c r="F460" s="9"/>
      <c r="G460" s="9"/>
      <c r="H460" s="6"/>
      <c r="I460" s="9"/>
      <c r="J460" s="9" t="s">
        <v>145</v>
      </c>
    </row>
    <row r="461" spans="1:10">
      <c r="A461" s="5"/>
      <c r="B461" s="6"/>
      <c r="C461" s="7"/>
      <c r="D461" s="9"/>
      <c r="E461" s="4"/>
      <c r="F461" s="9"/>
      <c r="G461" s="9"/>
      <c r="H461" s="6"/>
      <c r="I461" s="9"/>
      <c r="J461" s="9" t="s">
        <v>145</v>
      </c>
    </row>
    <row r="462" spans="1:10">
      <c r="A462" s="5"/>
      <c r="B462" s="6"/>
      <c r="C462" s="7"/>
      <c r="D462" s="9"/>
      <c r="E462" s="4"/>
      <c r="F462" s="9"/>
      <c r="G462" s="9"/>
      <c r="H462" s="6"/>
      <c r="I462" s="9"/>
      <c r="J462" s="9" t="s">
        <v>145</v>
      </c>
    </row>
    <row r="463" spans="1:10">
      <c r="A463" s="5"/>
      <c r="B463" s="6"/>
      <c r="C463" s="7"/>
      <c r="D463" s="9"/>
      <c r="E463" s="8"/>
      <c r="F463" s="9"/>
      <c r="G463" s="9"/>
      <c r="H463" s="6"/>
      <c r="I463" s="9"/>
      <c r="J463" s="9" t="s">
        <v>145</v>
      </c>
    </row>
    <row r="464" spans="1:10">
      <c r="A464" s="5"/>
      <c r="B464" s="6"/>
      <c r="C464" s="7"/>
      <c r="D464" s="9"/>
      <c r="E464" s="8"/>
      <c r="F464" s="9"/>
      <c r="G464" s="9"/>
      <c r="H464" s="6"/>
      <c r="I464" s="9"/>
      <c r="J464" s="9" t="s">
        <v>145</v>
      </c>
    </row>
    <row r="465" spans="1:10">
      <c r="A465" s="5"/>
      <c r="B465" s="6"/>
      <c r="C465" s="7"/>
      <c r="D465" s="9"/>
      <c r="E465" s="8"/>
      <c r="F465" s="9"/>
      <c r="G465" s="9"/>
      <c r="H465" s="6"/>
      <c r="I465" s="9"/>
      <c r="J465" s="9" t="s">
        <v>145</v>
      </c>
    </row>
    <row r="466" spans="1:10">
      <c r="A466" s="5"/>
      <c r="B466" s="6"/>
      <c r="C466" s="7"/>
      <c r="D466" s="9"/>
      <c r="E466" s="4"/>
      <c r="F466" s="9"/>
      <c r="G466" s="9"/>
      <c r="H466" s="6"/>
      <c r="I466" s="9"/>
      <c r="J466" s="9" t="s">
        <v>145</v>
      </c>
    </row>
    <row r="467" spans="1:10">
      <c r="A467" s="5"/>
      <c r="B467" s="6"/>
      <c r="C467" s="7"/>
      <c r="D467" s="9"/>
      <c r="E467" s="8"/>
      <c r="F467" s="9"/>
      <c r="G467" s="9"/>
      <c r="H467" s="6"/>
      <c r="I467" s="9"/>
      <c r="J467" s="9" t="s">
        <v>145</v>
      </c>
    </row>
    <row r="468" spans="1:10">
      <c r="A468" s="5"/>
      <c r="B468" s="6"/>
      <c r="C468" s="7"/>
      <c r="D468" s="9"/>
      <c r="E468" s="8"/>
      <c r="F468" s="9"/>
      <c r="G468" s="9"/>
      <c r="H468" s="6"/>
      <c r="I468" s="9"/>
      <c r="J468" s="9" t="s">
        <v>145</v>
      </c>
    </row>
    <row r="469" spans="1:10">
      <c r="A469" s="5"/>
      <c r="B469" s="6"/>
      <c r="C469" s="7"/>
      <c r="D469" s="9"/>
      <c r="E469" s="8"/>
      <c r="F469" s="9"/>
      <c r="G469" s="9"/>
      <c r="H469" s="6"/>
      <c r="I469" s="9"/>
      <c r="J469" s="9" t="s">
        <v>145</v>
      </c>
    </row>
    <row r="470" spans="1:10">
      <c r="A470" s="5"/>
      <c r="B470" s="6"/>
      <c r="C470" s="7"/>
      <c r="D470" s="9"/>
      <c r="E470" s="4"/>
      <c r="F470" s="9"/>
      <c r="G470" s="9"/>
      <c r="H470" s="6"/>
      <c r="I470" s="9"/>
      <c r="J470" s="9" t="s">
        <v>145</v>
      </c>
    </row>
    <row r="471" spans="1:10">
      <c r="A471" s="5"/>
      <c r="B471" s="6"/>
      <c r="C471" s="7"/>
      <c r="D471" s="9"/>
      <c r="E471" s="8"/>
      <c r="F471" s="9"/>
      <c r="G471" s="9"/>
      <c r="H471" s="6"/>
      <c r="I471" s="9"/>
      <c r="J471" s="9" t="s">
        <v>145</v>
      </c>
    </row>
    <row r="472" spans="1:10">
      <c r="A472" s="5"/>
      <c r="B472" s="6"/>
      <c r="C472" s="7"/>
      <c r="D472" s="9"/>
      <c r="E472" s="4"/>
      <c r="F472" s="9"/>
      <c r="G472" s="9"/>
      <c r="H472" s="6"/>
      <c r="I472" s="9"/>
      <c r="J472" s="9" t="s">
        <v>145</v>
      </c>
    </row>
    <row r="473" spans="1:10">
      <c r="A473" s="5"/>
      <c r="B473" s="6"/>
      <c r="C473" s="7"/>
      <c r="D473" s="9"/>
      <c r="E473" s="8"/>
      <c r="F473" s="9"/>
      <c r="G473" s="9"/>
      <c r="H473" s="6"/>
      <c r="I473" s="9"/>
      <c r="J473" s="9" t="s">
        <v>145</v>
      </c>
    </row>
    <row r="474" spans="1:10">
      <c r="A474" s="5"/>
      <c r="B474" s="6"/>
      <c r="C474" s="7"/>
      <c r="D474" s="9"/>
      <c r="E474" s="4"/>
      <c r="F474" s="9"/>
      <c r="G474" s="9"/>
      <c r="H474" s="6"/>
      <c r="I474" s="9"/>
      <c r="J474" s="9" t="s">
        <v>145</v>
      </c>
    </row>
    <row r="475" spans="1:10">
      <c r="A475" s="5"/>
      <c r="B475" s="6"/>
      <c r="C475" s="7"/>
      <c r="D475" s="9"/>
      <c r="E475" s="4"/>
      <c r="F475" s="9"/>
      <c r="G475" s="9"/>
      <c r="H475" s="6"/>
      <c r="I475" s="9"/>
    </row>
    <row r="476" spans="1:10">
      <c r="A476" s="5"/>
      <c r="B476" s="6"/>
      <c r="C476" s="7"/>
      <c r="D476" s="9"/>
      <c r="E476" s="4"/>
      <c r="F476" s="9"/>
      <c r="G476" s="9"/>
      <c r="H476" s="6"/>
      <c r="I476" s="9"/>
    </row>
    <row r="477" spans="1:10">
      <c r="A477" s="5"/>
      <c r="B477" s="6"/>
      <c r="C477" s="7"/>
      <c r="D477" s="9"/>
      <c r="E477" s="4"/>
      <c r="F477" s="9"/>
      <c r="G477" s="9"/>
      <c r="H477" s="6"/>
      <c r="I477" s="9"/>
    </row>
    <row r="478" spans="1:10">
      <c r="A478" s="5"/>
      <c r="B478" s="6"/>
      <c r="C478" s="7"/>
      <c r="D478" s="9"/>
      <c r="E478" s="4"/>
      <c r="F478" s="9"/>
      <c r="G478" s="9"/>
      <c r="H478" s="6"/>
      <c r="I478" s="9"/>
    </row>
    <row r="479" spans="1:10">
      <c r="A479" s="5"/>
      <c r="B479" s="6"/>
      <c r="C479" s="7"/>
      <c r="D479" s="9"/>
      <c r="E479" s="4"/>
      <c r="F479" s="9"/>
      <c r="G479" s="9"/>
      <c r="H479" s="6"/>
      <c r="I479" s="9"/>
    </row>
    <row r="480" spans="1:10">
      <c r="A480" s="5"/>
      <c r="B480" s="6"/>
      <c r="C480" s="7"/>
      <c r="D480" s="9"/>
      <c r="E480" s="4"/>
      <c r="F480" s="9"/>
      <c r="G480" s="9"/>
      <c r="H480" s="6"/>
      <c r="I480" s="9"/>
    </row>
    <row r="481" spans="1:9">
      <c r="A481" s="5"/>
      <c r="B481" s="6"/>
      <c r="C481" s="7"/>
      <c r="D481" s="9"/>
      <c r="E481" s="4"/>
      <c r="F481" s="9"/>
      <c r="G481" s="9"/>
      <c r="H481" s="6"/>
      <c r="I481" s="9"/>
    </row>
    <row r="482" spans="1:9">
      <c r="A482" s="5"/>
      <c r="B482" s="6"/>
      <c r="C482" s="7"/>
      <c r="D482" s="9"/>
      <c r="E482" s="4"/>
      <c r="F482" s="9"/>
      <c r="G482" s="9"/>
      <c r="H482" s="6"/>
      <c r="I482" s="9"/>
    </row>
    <row r="483" spans="1:9">
      <c r="A483" s="5"/>
      <c r="B483" s="6"/>
      <c r="C483" s="7"/>
      <c r="D483" s="9"/>
      <c r="E483" s="4"/>
      <c r="F483" s="9"/>
      <c r="G483" s="9"/>
      <c r="H483" s="6"/>
      <c r="I483" s="9"/>
    </row>
    <row r="484" spans="1:9">
      <c r="A484" s="5"/>
      <c r="B484" s="6"/>
      <c r="C484" s="7"/>
      <c r="D484" s="9"/>
      <c r="E484" s="4"/>
      <c r="F484" s="9"/>
      <c r="G484" s="9"/>
      <c r="H484" s="6"/>
      <c r="I484" s="9"/>
    </row>
    <row r="485" spans="1:9">
      <c r="A485" s="5"/>
      <c r="B485" s="6"/>
      <c r="C485" s="7"/>
      <c r="D485" s="9"/>
      <c r="E485" s="4"/>
      <c r="F485" s="9"/>
      <c r="G485" s="9"/>
      <c r="H485" s="6"/>
      <c r="I485" s="9"/>
    </row>
    <row r="486" spans="1:9">
      <c r="A486" s="5"/>
      <c r="B486" s="6"/>
      <c r="C486" s="7"/>
      <c r="D486" s="9"/>
      <c r="E486" s="4"/>
      <c r="F486" s="9"/>
      <c r="G486" s="9"/>
      <c r="H486" s="6"/>
      <c r="I486" s="9"/>
    </row>
    <row r="487" spans="1:9">
      <c r="A487" s="5"/>
      <c r="B487" s="6"/>
      <c r="C487" s="7"/>
      <c r="D487" s="9"/>
      <c r="E487" s="4"/>
      <c r="F487" s="9"/>
      <c r="G487" s="9"/>
      <c r="H487" s="6"/>
      <c r="I487" s="9"/>
    </row>
    <row r="488" spans="1:9">
      <c r="A488" s="5"/>
      <c r="B488" s="6"/>
      <c r="C488" s="7"/>
      <c r="D488" s="9"/>
      <c r="E488" s="4"/>
      <c r="F488" s="9"/>
      <c r="G488" s="9"/>
      <c r="H488" s="6"/>
      <c r="I488" s="9"/>
    </row>
    <row r="489" spans="1:9">
      <c r="A489" s="5"/>
      <c r="B489" s="6"/>
      <c r="C489" s="7"/>
      <c r="D489" s="9"/>
      <c r="E489" s="4"/>
      <c r="F489" s="9"/>
      <c r="G489" s="9"/>
      <c r="H489" s="6"/>
      <c r="I489" s="9"/>
    </row>
    <row r="490" spans="1:9">
      <c r="A490" s="5"/>
      <c r="B490" s="6"/>
      <c r="C490" s="7"/>
      <c r="D490" s="9"/>
      <c r="E490" s="4"/>
      <c r="F490" s="9"/>
      <c r="G490" s="9"/>
      <c r="H490" s="6"/>
      <c r="I490" s="9"/>
    </row>
    <row r="491" spans="1:9">
      <c r="A491" s="5"/>
      <c r="B491" s="6"/>
      <c r="C491" s="7"/>
      <c r="D491" s="9"/>
      <c r="E491" s="4"/>
      <c r="F491" s="9"/>
      <c r="G491" s="9"/>
      <c r="H491" s="6"/>
      <c r="I491" s="9"/>
    </row>
    <row r="492" spans="1:9">
      <c r="A492" s="5"/>
      <c r="B492" s="6"/>
      <c r="C492" s="7"/>
      <c r="D492" s="9"/>
      <c r="E492" s="4"/>
      <c r="F492" s="9"/>
      <c r="G492" s="9"/>
      <c r="H492" s="6"/>
      <c r="I492" s="9"/>
    </row>
    <row r="493" spans="1:9">
      <c r="A493" s="5"/>
      <c r="B493" s="6"/>
      <c r="C493" s="7"/>
      <c r="D493" s="9"/>
      <c r="E493" s="4"/>
      <c r="F493" s="9"/>
      <c r="G493" s="9"/>
      <c r="H493" s="6"/>
      <c r="I493" s="9"/>
    </row>
    <row r="494" spans="1:9">
      <c r="A494" s="5"/>
      <c r="B494" s="6"/>
      <c r="C494" s="7"/>
      <c r="D494" s="9"/>
      <c r="E494" s="4"/>
      <c r="F494" s="9"/>
      <c r="G494" s="9"/>
      <c r="H494" s="6"/>
      <c r="I494" s="9"/>
    </row>
    <row r="495" spans="1:9">
      <c r="A495" s="5"/>
      <c r="B495" s="6"/>
      <c r="C495" s="7"/>
      <c r="D495" s="9"/>
      <c r="E495" s="4"/>
      <c r="F495" s="9"/>
      <c r="G495" s="9"/>
      <c r="H495" s="6"/>
      <c r="I495" s="9"/>
    </row>
    <row r="496" spans="1:9">
      <c r="A496" s="5"/>
      <c r="B496" s="6"/>
      <c r="C496" s="7"/>
      <c r="D496" s="9"/>
      <c r="E496" s="4"/>
      <c r="F496" s="9"/>
      <c r="G496" s="9"/>
      <c r="H496" s="6"/>
      <c r="I496" s="9"/>
    </row>
    <row r="497" spans="1:9">
      <c r="A497" s="5"/>
      <c r="B497" s="6"/>
      <c r="C497" s="7"/>
      <c r="D497" s="9"/>
      <c r="E497" s="4"/>
      <c r="F497" s="9"/>
      <c r="G497" s="9"/>
      <c r="H497" s="6"/>
      <c r="I497" s="9"/>
    </row>
    <row r="498" spans="1:9">
      <c r="A498" s="5"/>
      <c r="B498" s="6"/>
      <c r="C498" s="7"/>
      <c r="D498" s="9"/>
      <c r="E498" s="4"/>
      <c r="F498" s="9"/>
      <c r="G498" s="9"/>
      <c r="H498" s="6"/>
      <c r="I498" s="9"/>
    </row>
    <row r="499" spans="1:9">
      <c r="A499" s="5"/>
      <c r="B499" s="6"/>
      <c r="C499" s="7"/>
      <c r="D499" s="9"/>
      <c r="E499" s="4"/>
      <c r="F499" s="9"/>
      <c r="G499" s="9"/>
      <c r="H499" s="6"/>
      <c r="I499" s="9"/>
    </row>
    <row r="500" spans="1:9">
      <c r="A500" s="5"/>
      <c r="B500" s="6"/>
      <c r="C500" s="7"/>
      <c r="D500" s="9"/>
      <c r="E500" s="4"/>
      <c r="F500" s="9"/>
      <c r="G500" s="9"/>
      <c r="H500" s="6"/>
      <c r="I500" s="9"/>
    </row>
    <row r="501" spans="1:9">
      <c r="A501" s="5"/>
      <c r="B501" s="6"/>
      <c r="C501" s="7"/>
      <c r="D501" s="9"/>
      <c r="E501" s="4"/>
      <c r="F501" s="9"/>
      <c r="G501" s="9"/>
      <c r="H501" s="6"/>
      <c r="I501" s="9"/>
    </row>
    <row r="502" spans="1:9">
      <c r="A502" s="5"/>
      <c r="B502" s="6"/>
      <c r="C502" s="7"/>
      <c r="D502" s="9"/>
      <c r="E502" s="4"/>
      <c r="F502" s="9"/>
      <c r="G502" s="9"/>
      <c r="H502" s="6"/>
      <c r="I502" s="9"/>
    </row>
    <row r="503" spans="1:9">
      <c r="A503" s="5"/>
      <c r="B503" s="6"/>
      <c r="C503" s="7"/>
      <c r="D503" s="9"/>
      <c r="E503" s="4"/>
      <c r="F503" s="9"/>
      <c r="G503" s="9"/>
      <c r="H503" s="6"/>
      <c r="I503" s="9"/>
    </row>
    <row r="504" spans="1:9">
      <c r="A504" s="5"/>
      <c r="B504" s="6"/>
      <c r="C504" s="7"/>
      <c r="D504" s="9"/>
      <c r="E504" s="4"/>
      <c r="F504" s="9"/>
      <c r="G504" s="9"/>
      <c r="H504" s="6"/>
      <c r="I504" s="9"/>
    </row>
    <row r="505" spans="1:9">
      <c r="A505" s="5"/>
      <c r="B505" s="6"/>
      <c r="C505" s="7"/>
      <c r="D505" s="9"/>
      <c r="E505" s="4"/>
      <c r="F505" s="9"/>
      <c r="G505" s="9"/>
      <c r="H505" s="6"/>
      <c r="I505" s="9"/>
    </row>
    <row r="506" spans="1:9">
      <c r="A506" s="5"/>
      <c r="B506" s="6"/>
      <c r="C506" s="7"/>
      <c r="D506" s="9"/>
      <c r="E506" s="4"/>
      <c r="F506" s="9"/>
      <c r="G506" s="9"/>
      <c r="H506" s="6"/>
      <c r="I506" s="9"/>
    </row>
    <row r="507" spans="1:9">
      <c r="A507" s="5"/>
      <c r="B507" s="6"/>
      <c r="C507" s="7"/>
      <c r="D507" s="9"/>
      <c r="E507" s="4"/>
      <c r="F507" s="9"/>
      <c r="G507" s="9"/>
      <c r="H507" s="6"/>
      <c r="I507" s="9"/>
    </row>
    <row r="508" spans="1:9">
      <c r="A508" s="5"/>
      <c r="B508" s="6"/>
      <c r="C508" s="7"/>
      <c r="D508" s="9"/>
      <c r="E508" s="4"/>
      <c r="F508" s="9"/>
      <c r="G508" s="9"/>
      <c r="H508" s="6"/>
      <c r="I508" s="9"/>
    </row>
    <row r="509" spans="1:9">
      <c r="A509" s="5"/>
      <c r="B509" s="6"/>
      <c r="C509" s="7"/>
      <c r="D509" s="9"/>
      <c r="E509" s="4"/>
      <c r="F509" s="9"/>
      <c r="G509" s="9"/>
      <c r="H509" s="6"/>
      <c r="I509" s="9"/>
    </row>
    <row r="510" spans="1:9">
      <c r="A510" s="5"/>
      <c r="B510" s="6"/>
      <c r="C510" s="7"/>
      <c r="D510" s="9"/>
      <c r="E510" s="4"/>
      <c r="F510" s="9"/>
      <c r="G510" s="9"/>
      <c r="H510" s="6"/>
      <c r="I510" s="9"/>
    </row>
    <row r="511" spans="1:9">
      <c r="A511" s="5"/>
      <c r="B511" s="6"/>
      <c r="C511" s="7"/>
      <c r="D511" s="9"/>
      <c r="E511" s="4"/>
      <c r="F511" s="9"/>
      <c r="G511" s="9"/>
      <c r="H511" s="6"/>
      <c r="I511" s="9"/>
    </row>
    <row r="512" spans="1:9">
      <c r="A512" s="5"/>
      <c r="B512" s="6"/>
      <c r="C512" s="7"/>
      <c r="D512" s="9"/>
      <c r="E512" s="4"/>
      <c r="F512" s="9"/>
      <c r="G512" s="9"/>
      <c r="H512" s="6"/>
      <c r="I512" s="9"/>
    </row>
    <row r="513" spans="1:9">
      <c r="A513" s="5"/>
      <c r="B513" s="6"/>
      <c r="C513" s="7"/>
      <c r="D513" s="9"/>
      <c r="E513" s="4"/>
      <c r="F513" s="9"/>
      <c r="G513" s="9"/>
      <c r="H513" s="6"/>
      <c r="I513" s="9"/>
    </row>
    <row r="514" spans="1:9">
      <c r="A514" s="5"/>
      <c r="B514" s="6"/>
      <c r="C514" s="7"/>
      <c r="D514" s="9"/>
      <c r="E514" s="4"/>
      <c r="F514" s="9"/>
      <c r="G514" s="9"/>
      <c r="H514" s="6"/>
      <c r="I514" s="9"/>
    </row>
    <row r="515" spans="1:9">
      <c r="A515" s="5"/>
      <c r="B515" s="6"/>
      <c r="C515" s="7"/>
      <c r="D515" s="9"/>
      <c r="E515" s="4"/>
      <c r="F515" s="9"/>
      <c r="G515" s="9"/>
      <c r="H515" s="6"/>
      <c r="I515" s="9"/>
    </row>
    <row r="516" spans="1:9">
      <c r="A516" s="5"/>
      <c r="B516" s="6"/>
      <c r="C516" s="7"/>
      <c r="D516" s="9"/>
      <c r="E516" s="4"/>
      <c r="F516" s="9"/>
      <c r="G516" s="9"/>
      <c r="H516" s="6"/>
      <c r="I516" s="9"/>
    </row>
    <row r="517" spans="1:9">
      <c r="A517" s="5"/>
      <c r="B517" s="6"/>
      <c r="C517" s="7"/>
      <c r="D517" s="9"/>
      <c r="E517" s="4"/>
      <c r="F517" s="9"/>
      <c r="G517" s="9"/>
      <c r="H517" s="6"/>
      <c r="I517" s="9"/>
    </row>
    <row r="518" spans="1:9">
      <c r="A518" s="5"/>
      <c r="B518" s="6"/>
      <c r="C518" s="7"/>
      <c r="D518" s="9"/>
      <c r="E518" s="4"/>
      <c r="F518" s="9"/>
      <c r="G518" s="9"/>
      <c r="H518" s="6"/>
      <c r="I518" s="9"/>
    </row>
    <row r="519" spans="1:9">
      <c r="A519" s="5"/>
      <c r="B519" s="6"/>
      <c r="C519" s="7"/>
      <c r="D519" s="9"/>
      <c r="E519" s="4"/>
      <c r="F519" s="9"/>
      <c r="G519" s="9"/>
      <c r="H519" s="6"/>
      <c r="I519" s="9"/>
    </row>
    <row r="520" spans="1:9">
      <c r="A520" s="5"/>
      <c r="B520" s="6"/>
      <c r="C520" s="7"/>
      <c r="D520" s="9"/>
      <c r="E520" s="4"/>
      <c r="F520" s="9"/>
      <c r="G520" s="9"/>
      <c r="H520" s="6"/>
      <c r="I520" s="9"/>
    </row>
    <row r="521" spans="1:9">
      <c r="A521" s="5"/>
      <c r="B521" s="6"/>
      <c r="C521" s="7"/>
      <c r="D521" s="9"/>
      <c r="E521" s="4"/>
      <c r="F521" s="9"/>
      <c r="G521" s="9"/>
      <c r="H521" s="6"/>
      <c r="I521" s="9"/>
    </row>
    <row r="522" spans="1:9">
      <c r="A522" s="5"/>
      <c r="B522" s="6"/>
      <c r="C522" s="7"/>
      <c r="D522" s="9"/>
      <c r="E522" s="4"/>
      <c r="F522" s="9"/>
      <c r="G522" s="9"/>
      <c r="H522" s="6"/>
      <c r="I522" s="9"/>
    </row>
    <row r="523" spans="1:9">
      <c r="A523" s="5"/>
      <c r="B523" s="6"/>
      <c r="C523" s="7"/>
      <c r="D523" s="9"/>
      <c r="E523" s="4"/>
      <c r="F523" s="9"/>
      <c r="G523" s="9"/>
      <c r="H523" s="6"/>
      <c r="I523" s="9"/>
    </row>
    <row r="524" spans="1:9">
      <c r="A524" s="5"/>
      <c r="B524" s="6"/>
      <c r="C524" s="7"/>
      <c r="D524" s="9"/>
      <c r="E524" s="4"/>
      <c r="F524" s="9"/>
      <c r="G524" s="9"/>
      <c r="H524" s="6"/>
      <c r="I524" s="9"/>
    </row>
    <row r="525" spans="1:9">
      <c r="A525" s="5"/>
      <c r="B525" s="6"/>
      <c r="C525" s="7"/>
      <c r="D525" s="9"/>
      <c r="E525" s="4"/>
      <c r="F525" s="9"/>
      <c r="G525" s="9"/>
      <c r="H525" s="6"/>
      <c r="I525" s="9"/>
    </row>
    <row r="526" spans="1:9">
      <c r="A526" s="5"/>
      <c r="B526" s="6"/>
      <c r="C526" s="7"/>
      <c r="D526" s="9"/>
      <c r="E526" s="4"/>
      <c r="F526" s="9"/>
      <c r="G526" s="9"/>
      <c r="H526" s="6"/>
      <c r="I526" s="9"/>
    </row>
    <row r="527" spans="1:9">
      <c r="A527" s="5"/>
      <c r="B527" s="6"/>
      <c r="C527" s="7"/>
      <c r="D527" s="9"/>
      <c r="E527" s="4"/>
      <c r="F527" s="9"/>
      <c r="G527" s="9"/>
      <c r="H527" s="6"/>
      <c r="I527" s="9"/>
    </row>
    <row r="528" spans="1:9">
      <c r="A528" s="5"/>
      <c r="B528" s="6"/>
      <c r="C528" s="7"/>
      <c r="D528" s="9"/>
      <c r="E528" s="4"/>
      <c r="F528" s="9"/>
      <c r="G528" s="9"/>
      <c r="H528" s="6"/>
      <c r="I528" s="9"/>
    </row>
    <row r="529" spans="1:9">
      <c r="A529" s="5"/>
      <c r="B529" s="6"/>
      <c r="C529" s="7"/>
      <c r="D529" s="9"/>
      <c r="E529" s="4"/>
      <c r="F529" s="9"/>
      <c r="G529" s="9"/>
      <c r="H529" s="6"/>
      <c r="I529" s="9"/>
    </row>
  </sheetData>
  <autoFilter ref="A6:M454" xr:uid="{B7411325-D959-40C5-9F01-09913600F1C6}"/>
  <mergeCells count="2">
    <mergeCell ref="A2:J2"/>
    <mergeCell ref="A3:B3"/>
  </mergeCells>
  <phoneticPr fontId="5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80BF3-C42F-4550-9C54-50F720579167}">
  <dimension ref="A2:M519"/>
  <sheetViews>
    <sheetView workbookViewId="0">
      <selection activeCell="D1" sqref="D1"/>
    </sheetView>
  </sheetViews>
  <sheetFormatPr defaultColWidth="9.81640625" defaultRowHeight="17"/>
  <cols>
    <col min="1" max="1" width="7.81640625" style="10" customWidth="1"/>
    <col min="2" max="2" width="35.81640625" style="3" bestFit="1" customWidth="1"/>
    <col min="3" max="3" width="16.453125" style="10" customWidth="1"/>
    <col min="4" max="4" width="20.1796875" style="10" customWidth="1"/>
    <col min="5" max="5" width="27.453125" style="11" customWidth="1"/>
    <col min="6" max="7" width="10.54296875" style="10" customWidth="1"/>
    <col min="8" max="8" width="52.1796875" style="3" customWidth="1"/>
    <col min="9" max="9" width="8.7265625" style="10" customWidth="1"/>
    <col min="10" max="10" width="20" style="10" hidden="1" customWidth="1"/>
    <col min="11" max="16384" width="9.81640625" style="3"/>
  </cols>
  <sheetData>
    <row r="2" spans="1:13" s="31" customFormat="1" ht="35.15" customHeight="1">
      <c r="A2" s="96"/>
      <c r="B2" s="96"/>
      <c r="C2" s="96"/>
      <c r="D2" s="96"/>
      <c r="E2" s="96"/>
      <c r="F2" s="96"/>
      <c r="G2" s="96"/>
      <c r="H2" s="96"/>
      <c r="I2" s="96"/>
      <c r="J2" s="96"/>
      <c r="K2" s="30"/>
      <c r="L2" s="30"/>
      <c r="M2" s="30"/>
    </row>
    <row r="3" spans="1:13" s="31" customFormat="1" ht="23.15" customHeight="1">
      <c r="A3" s="97" t="s">
        <v>235</v>
      </c>
      <c r="B3" s="97"/>
      <c r="C3" s="32"/>
      <c r="D3" s="33"/>
      <c r="E3" s="32"/>
      <c r="F3" s="32"/>
      <c r="G3" s="32"/>
      <c r="H3" s="32"/>
      <c r="I3" s="32"/>
      <c r="J3" s="32"/>
      <c r="K3" s="32"/>
      <c r="L3" s="32"/>
      <c r="M3" s="34"/>
    </row>
    <row r="4" spans="1:13" ht="5.15" customHeight="1"/>
    <row r="5" spans="1:13">
      <c r="G5" s="10">
        <f>SUBTOTAL(3,G7:G928)</f>
        <v>0</v>
      </c>
    </row>
    <row r="6" spans="1:13" ht="25.5" customHeight="1">
      <c r="A6" s="1" t="s">
        <v>102</v>
      </c>
      <c r="B6" s="2" t="s">
        <v>103</v>
      </c>
      <c r="C6" s="1" t="s">
        <v>104</v>
      </c>
      <c r="D6" s="1" t="s">
        <v>105</v>
      </c>
      <c r="E6" s="2" t="s">
        <v>106</v>
      </c>
      <c r="F6" s="1" t="s">
        <v>107</v>
      </c>
      <c r="G6" s="1" t="s">
        <v>6</v>
      </c>
      <c r="H6" s="1" t="s">
        <v>108</v>
      </c>
      <c r="I6" s="1" t="s">
        <v>109</v>
      </c>
      <c r="J6" s="1" t="s">
        <v>110</v>
      </c>
    </row>
    <row r="7" spans="1:13">
      <c r="A7" s="5"/>
      <c r="B7" s="6"/>
      <c r="C7" s="7"/>
      <c r="D7" s="9"/>
      <c r="E7" s="8"/>
      <c r="F7" s="9"/>
      <c r="G7" s="9"/>
      <c r="H7" s="6"/>
      <c r="I7" s="9"/>
      <c r="J7" s="9" t="s">
        <v>145</v>
      </c>
    </row>
    <row r="8" spans="1:13">
      <c r="A8" s="5"/>
      <c r="B8" s="6"/>
      <c r="C8" s="7"/>
      <c r="D8" s="9"/>
      <c r="E8" s="4"/>
      <c r="F8" s="9"/>
      <c r="G8" s="9"/>
      <c r="H8" s="6"/>
      <c r="I8" s="9"/>
      <c r="J8" s="9" t="s">
        <v>145</v>
      </c>
    </row>
    <row r="9" spans="1:13">
      <c r="A9" s="5"/>
      <c r="B9" s="6"/>
      <c r="C9" s="7"/>
      <c r="D9" s="9"/>
      <c r="E9" s="8"/>
      <c r="F9" s="9"/>
      <c r="G9" s="9"/>
      <c r="H9" s="6"/>
      <c r="I9" s="9"/>
      <c r="J9" s="9" t="s">
        <v>145</v>
      </c>
    </row>
    <row r="10" spans="1:13">
      <c r="A10" s="5"/>
      <c r="B10" s="6"/>
      <c r="C10" s="7"/>
      <c r="D10" s="9"/>
      <c r="E10" s="4"/>
      <c r="F10" s="9"/>
      <c r="G10" s="9"/>
      <c r="H10" s="6"/>
      <c r="I10" s="9"/>
      <c r="J10" s="9" t="s">
        <v>145</v>
      </c>
    </row>
    <row r="11" spans="1:13">
      <c r="A11" s="5"/>
      <c r="B11" s="6"/>
      <c r="C11" s="7"/>
      <c r="D11" s="9"/>
      <c r="E11" s="8"/>
      <c r="F11" s="9"/>
      <c r="G11" s="9"/>
      <c r="H11" s="6"/>
      <c r="I11" s="9"/>
      <c r="J11" s="9" t="s">
        <v>145</v>
      </c>
    </row>
    <row r="12" spans="1:13">
      <c r="A12" s="5"/>
      <c r="B12" s="6"/>
      <c r="C12" s="7"/>
      <c r="D12" s="9"/>
      <c r="E12" s="8"/>
      <c r="F12" s="9"/>
      <c r="G12" s="9"/>
      <c r="H12" s="6"/>
      <c r="I12" s="9"/>
      <c r="J12" s="9" t="s">
        <v>145</v>
      </c>
    </row>
    <row r="13" spans="1:13">
      <c r="A13" s="5"/>
      <c r="B13" s="6"/>
      <c r="C13" s="7"/>
      <c r="D13" s="9"/>
      <c r="E13" s="8"/>
      <c r="F13" s="9"/>
      <c r="G13" s="9"/>
      <c r="H13" s="6"/>
      <c r="I13" s="9"/>
      <c r="J13" s="9" t="s">
        <v>145</v>
      </c>
    </row>
    <row r="14" spans="1:13">
      <c r="A14" s="5"/>
      <c r="B14" s="6"/>
      <c r="C14" s="7"/>
      <c r="D14" s="9"/>
      <c r="E14" s="8"/>
      <c r="F14" s="9"/>
      <c r="G14" s="9"/>
      <c r="H14" s="6"/>
      <c r="I14" s="9"/>
      <c r="J14" s="9" t="s">
        <v>145</v>
      </c>
    </row>
    <row r="15" spans="1:13">
      <c r="A15" s="5"/>
      <c r="B15" s="6"/>
      <c r="C15" s="7"/>
      <c r="D15" s="9"/>
      <c r="E15" s="8"/>
      <c r="F15" s="9"/>
      <c r="G15" s="9"/>
      <c r="H15" s="6"/>
      <c r="I15" s="9"/>
      <c r="J15" s="9" t="s">
        <v>145</v>
      </c>
    </row>
    <row r="16" spans="1:13">
      <c r="A16" s="5"/>
      <c r="B16" s="6"/>
      <c r="C16" s="7"/>
      <c r="D16" s="9"/>
      <c r="E16" s="8"/>
      <c r="F16" s="9"/>
      <c r="G16" s="9"/>
      <c r="H16" s="6"/>
      <c r="I16" s="9"/>
      <c r="J16" s="9" t="s">
        <v>145</v>
      </c>
    </row>
    <row r="17" spans="1:10">
      <c r="A17" s="5"/>
      <c r="B17" s="6"/>
      <c r="C17" s="7"/>
      <c r="D17" s="9"/>
      <c r="E17" s="8"/>
      <c r="F17" s="9"/>
      <c r="G17" s="9"/>
      <c r="H17" s="6"/>
      <c r="I17" s="9"/>
      <c r="J17" s="9" t="s">
        <v>145</v>
      </c>
    </row>
    <row r="18" spans="1:10">
      <c r="A18" s="5"/>
      <c r="B18" s="6"/>
      <c r="C18" s="7"/>
      <c r="D18" s="9"/>
      <c r="E18" s="8"/>
      <c r="F18" s="9"/>
      <c r="G18" s="9"/>
      <c r="H18" s="6"/>
      <c r="I18" s="9"/>
      <c r="J18" s="9" t="s">
        <v>145</v>
      </c>
    </row>
    <row r="19" spans="1:10">
      <c r="A19" s="5"/>
      <c r="B19" s="6"/>
      <c r="C19" s="7"/>
      <c r="D19" s="9"/>
      <c r="E19" s="8"/>
      <c r="F19" s="9"/>
      <c r="G19" s="9"/>
      <c r="H19" s="6"/>
      <c r="I19" s="9"/>
      <c r="J19" s="9" t="s">
        <v>145</v>
      </c>
    </row>
    <row r="20" spans="1:10">
      <c r="A20" s="5"/>
      <c r="B20" s="6"/>
      <c r="C20" s="7"/>
      <c r="D20" s="9"/>
      <c r="E20" s="4"/>
      <c r="F20" s="9"/>
      <c r="G20" s="9"/>
      <c r="H20" s="6"/>
      <c r="I20" s="9"/>
      <c r="J20" s="9" t="s">
        <v>145</v>
      </c>
    </row>
    <row r="21" spans="1:10">
      <c r="A21" s="5"/>
      <c r="B21" s="6"/>
      <c r="C21" s="7"/>
      <c r="D21" s="9"/>
      <c r="E21" s="8"/>
      <c r="F21" s="9"/>
      <c r="G21" s="9"/>
      <c r="H21" s="6"/>
      <c r="I21" s="9"/>
      <c r="J21" s="9" t="s">
        <v>145</v>
      </c>
    </row>
    <row r="22" spans="1:10">
      <c r="A22" s="5"/>
      <c r="B22" s="6"/>
      <c r="C22" s="7"/>
      <c r="D22" s="9"/>
      <c r="E22" s="8"/>
      <c r="F22" s="9"/>
      <c r="G22" s="9"/>
      <c r="H22" s="6"/>
      <c r="I22" s="9"/>
      <c r="J22" s="9" t="s">
        <v>145</v>
      </c>
    </row>
    <row r="23" spans="1:10">
      <c r="A23" s="5"/>
      <c r="B23" s="6"/>
      <c r="C23" s="7"/>
      <c r="D23" s="9"/>
      <c r="E23" s="8"/>
      <c r="F23" s="9"/>
      <c r="G23" s="9"/>
      <c r="H23" s="6"/>
      <c r="I23" s="9"/>
      <c r="J23" s="9" t="s">
        <v>145</v>
      </c>
    </row>
    <row r="24" spans="1:10">
      <c r="A24" s="5"/>
      <c r="B24" s="6"/>
      <c r="C24" s="7"/>
      <c r="D24" s="9"/>
      <c r="E24" s="8"/>
      <c r="F24" s="9"/>
      <c r="G24" s="9"/>
      <c r="H24" s="6"/>
      <c r="I24" s="9"/>
      <c r="J24" s="9" t="s">
        <v>145</v>
      </c>
    </row>
    <row r="25" spans="1:10">
      <c r="A25" s="5"/>
      <c r="B25" s="6"/>
      <c r="C25" s="7"/>
      <c r="D25" s="9"/>
      <c r="E25" s="8"/>
      <c r="F25" s="9"/>
      <c r="G25" s="9"/>
      <c r="H25" s="6"/>
      <c r="I25" s="9"/>
      <c r="J25" s="9" t="s">
        <v>145</v>
      </c>
    </row>
    <row r="26" spans="1:10">
      <c r="A26" s="5"/>
      <c r="B26" s="6"/>
      <c r="C26" s="7"/>
      <c r="D26" s="9"/>
      <c r="E26" s="4"/>
      <c r="F26" s="9"/>
      <c r="G26" s="9"/>
      <c r="H26" s="6"/>
      <c r="I26" s="9"/>
      <c r="J26" s="9" t="s">
        <v>145</v>
      </c>
    </row>
    <row r="27" spans="1:10">
      <c r="A27" s="5"/>
      <c r="B27" s="6"/>
      <c r="C27" s="7"/>
      <c r="D27" s="9"/>
      <c r="E27" s="8"/>
      <c r="F27" s="9"/>
      <c r="G27" s="9"/>
      <c r="H27" s="6"/>
      <c r="I27" s="9"/>
      <c r="J27" s="9" t="s">
        <v>145</v>
      </c>
    </row>
    <row r="28" spans="1:10">
      <c r="A28" s="5"/>
      <c r="B28" s="6"/>
      <c r="C28" s="7"/>
      <c r="D28" s="9"/>
      <c r="E28" s="8"/>
      <c r="F28" s="9"/>
      <c r="G28" s="9"/>
      <c r="H28" s="6"/>
      <c r="I28" s="9"/>
      <c r="J28" s="9" t="s">
        <v>145</v>
      </c>
    </row>
    <row r="29" spans="1:10">
      <c r="A29" s="5"/>
      <c r="B29" s="6"/>
      <c r="C29" s="7"/>
      <c r="D29" s="9"/>
      <c r="E29" s="8"/>
      <c r="F29" s="9"/>
      <c r="G29" s="9"/>
      <c r="H29" s="6"/>
      <c r="I29" s="9"/>
      <c r="J29" s="9" t="s">
        <v>145</v>
      </c>
    </row>
    <row r="30" spans="1:10">
      <c r="A30" s="5"/>
      <c r="B30" s="6"/>
      <c r="C30" s="7"/>
      <c r="D30" s="9"/>
      <c r="E30" s="4"/>
      <c r="F30" s="9"/>
      <c r="G30" s="9"/>
      <c r="H30" s="6"/>
      <c r="I30" s="9"/>
      <c r="J30" s="9" t="s">
        <v>145</v>
      </c>
    </row>
    <row r="31" spans="1:10">
      <c r="A31" s="5"/>
      <c r="B31" s="6"/>
      <c r="C31" s="7"/>
      <c r="D31" s="9"/>
      <c r="E31" s="8"/>
      <c r="F31" s="9"/>
      <c r="G31" s="9"/>
      <c r="H31" s="6"/>
      <c r="I31" s="9"/>
      <c r="J31" s="9" t="s">
        <v>145</v>
      </c>
    </row>
    <row r="32" spans="1:10">
      <c r="A32" s="5"/>
      <c r="B32" s="6"/>
      <c r="C32" s="7"/>
      <c r="D32" s="9"/>
      <c r="E32" s="8"/>
      <c r="F32" s="9"/>
      <c r="G32" s="9"/>
      <c r="H32" s="6"/>
      <c r="I32" s="9"/>
      <c r="J32" s="9" t="s">
        <v>145</v>
      </c>
    </row>
    <row r="33" spans="1:10">
      <c r="A33" s="5"/>
      <c r="B33" s="6"/>
      <c r="C33" s="7"/>
      <c r="D33" s="9"/>
      <c r="E33" s="8"/>
      <c r="F33" s="9"/>
      <c r="G33" s="9"/>
      <c r="H33" s="6"/>
      <c r="I33" s="9"/>
      <c r="J33" s="9" t="s">
        <v>145</v>
      </c>
    </row>
    <row r="34" spans="1:10">
      <c r="A34" s="5"/>
      <c r="B34" s="6"/>
      <c r="C34" s="7"/>
      <c r="D34" s="9"/>
      <c r="E34" s="8"/>
      <c r="F34" s="9"/>
      <c r="G34" s="9"/>
      <c r="H34" s="6"/>
      <c r="I34" s="9"/>
      <c r="J34" s="9" t="s">
        <v>145</v>
      </c>
    </row>
    <row r="35" spans="1:10">
      <c r="A35" s="5"/>
      <c r="B35" s="6"/>
      <c r="C35" s="7"/>
      <c r="D35" s="9"/>
      <c r="E35" s="8"/>
      <c r="F35" s="9"/>
      <c r="G35" s="9"/>
      <c r="H35" s="6"/>
      <c r="I35" s="9"/>
      <c r="J35" s="9" t="s">
        <v>145</v>
      </c>
    </row>
    <row r="36" spans="1:10">
      <c r="A36" s="5"/>
      <c r="B36" s="6"/>
      <c r="C36" s="7"/>
      <c r="D36" s="9"/>
      <c r="E36" s="8"/>
      <c r="F36" s="9"/>
      <c r="G36" s="9"/>
      <c r="H36" s="6"/>
      <c r="I36" s="9"/>
      <c r="J36" s="9" t="s">
        <v>145</v>
      </c>
    </row>
    <row r="37" spans="1:10">
      <c r="A37" s="5"/>
      <c r="B37" s="6"/>
      <c r="C37" s="7"/>
      <c r="D37" s="9"/>
      <c r="E37" s="8"/>
      <c r="F37" s="9"/>
      <c r="G37" s="9"/>
      <c r="H37" s="6"/>
      <c r="I37" s="9"/>
      <c r="J37" s="9" t="s">
        <v>145</v>
      </c>
    </row>
    <row r="38" spans="1:10">
      <c r="A38" s="5"/>
      <c r="B38" s="6"/>
      <c r="C38" s="7"/>
      <c r="D38" s="9"/>
      <c r="E38" s="8"/>
      <c r="F38" s="9"/>
      <c r="G38" s="9"/>
      <c r="H38" s="6"/>
      <c r="I38" s="9"/>
      <c r="J38" s="9" t="s">
        <v>145</v>
      </c>
    </row>
    <row r="39" spans="1:10">
      <c r="A39" s="5"/>
      <c r="B39" s="6"/>
      <c r="C39" s="7"/>
      <c r="D39" s="9"/>
      <c r="E39" s="8"/>
      <c r="F39" s="9"/>
      <c r="G39" s="9"/>
      <c r="H39" s="6"/>
      <c r="I39" s="9"/>
      <c r="J39" s="9" t="s">
        <v>145</v>
      </c>
    </row>
    <row r="40" spans="1:10">
      <c r="A40" s="5"/>
      <c r="B40" s="6"/>
      <c r="C40" s="7"/>
      <c r="D40" s="9"/>
      <c r="E40" s="8"/>
      <c r="F40" s="9"/>
      <c r="G40" s="9"/>
      <c r="H40" s="6"/>
      <c r="I40" s="9"/>
      <c r="J40" s="9" t="s">
        <v>145</v>
      </c>
    </row>
    <row r="41" spans="1:10">
      <c r="A41" s="5"/>
      <c r="B41" s="6"/>
      <c r="C41" s="7"/>
      <c r="D41" s="9"/>
      <c r="E41" s="8"/>
      <c r="F41" s="9"/>
      <c r="G41" s="9"/>
      <c r="H41" s="6"/>
      <c r="I41" s="9"/>
      <c r="J41" s="9" t="s">
        <v>145</v>
      </c>
    </row>
    <row r="42" spans="1:10">
      <c r="A42" s="5"/>
      <c r="B42" s="6"/>
      <c r="C42" s="7"/>
      <c r="D42" s="9"/>
      <c r="E42" s="8"/>
      <c r="F42" s="9"/>
      <c r="G42" s="9"/>
      <c r="H42" s="6"/>
      <c r="I42" s="9"/>
      <c r="J42" s="9" t="s">
        <v>145</v>
      </c>
    </row>
    <row r="43" spans="1:10">
      <c r="A43" s="5"/>
      <c r="B43" s="6"/>
      <c r="C43" s="7"/>
      <c r="D43" s="9"/>
      <c r="E43" s="8"/>
      <c r="F43" s="9"/>
      <c r="G43" s="9"/>
      <c r="H43" s="6"/>
      <c r="I43" s="9"/>
      <c r="J43" s="9" t="s">
        <v>145</v>
      </c>
    </row>
    <row r="44" spans="1:10">
      <c r="A44" s="5"/>
      <c r="B44" s="6"/>
      <c r="C44" s="7"/>
      <c r="D44" s="9"/>
      <c r="E44" s="8"/>
      <c r="F44" s="9"/>
      <c r="G44" s="9"/>
      <c r="H44" s="6"/>
      <c r="I44" s="9"/>
      <c r="J44" s="9" t="s">
        <v>145</v>
      </c>
    </row>
    <row r="45" spans="1:10">
      <c r="A45" s="5"/>
      <c r="B45" s="6"/>
      <c r="C45" s="7"/>
      <c r="D45" s="9"/>
      <c r="E45" s="8"/>
      <c r="F45" s="9"/>
      <c r="G45" s="9"/>
      <c r="H45" s="6"/>
      <c r="I45" s="9"/>
      <c r="J45" s="9" t="s">
        <v>145</v>
      </c>
    </row>
    <row r="46" spans="1:10">
      <c r="A46" s="5"/>
      <c r="B46" s="6"/>
      <c r="C46" s="7"/>
      <c r="D46" s="9"/>
      <c r="E46" s="8"/>
      <c r="F46" s="9"/>
      <c r="G46" s="9"/>
      <c r="H46" s="6"/>
      <c r="I46" s="9"/>
      <c r="J46" s="9" t="s">
        <v>145</v>
      </c>
    </row>
    <row r="47" spans="1:10">
      <c r="A47" s="5"/>
      <c r="B47" s="6"/>
      <c r="C47" s="7"/>
      <c r="D47" s="9"/>
      <c r="E47" s="8"/>
      <c r="F47" s="9"/>
      <c r="G47" s="9"/>
      <c r="H47" s="6"/>
      <c r="I47" s="9"/>
      <c r="J47" s="9" t="s">
        <v>145</v>
      </c>
    </row>
    <row r="48" spans="1:10">
      <c r="A48" s="5"/>
      <c r="B48" s="6"/>
      <c r="C48" s="7"/>
      <c r="D48" s="9"/>
      <c r="E48" s="4"/>
      <c r="F48" s="9"/>
      <c r="G48" s="9"/>
      <c r="H48" s="6"/>
      <c r="I48" s="9"/>
      <c r="J48" s="9" t="s">
        <v>145</v>
      </c>
    </row>
    <row r="49" spans="1:10">
      <c r="A49" s="5"/>
      <c r="B49" s="6"/>
      <c r="C49" s="7"/>
      <c r="D49" s="9"/>
      <c r="E49" s="4"/>
      <c r="F49" s="9"/>
      <c r="G49" s="9"/>
      <c r="H49" s="6"/>
      <c r="I49" s="9"/>
      <c r="J49" s="9" t="s">
        <v>145</v>
      </c>
    </row>
    <row r="50" spans="1:10">
      <c r="A50" s="5"/>
      <c r="B50" s="6"/>
      <c r="C50" s="7"/>
      <c r="D50" s="9"/>
      <c r="E50" s="8"/>
      <c r="F50" s="9"/>
      <c r="G50" s="9"/>
      <c r="H50" s="6"/>
      <c r="I50" s="9"/>
      <c r="J50" s="9" t="s">
        <v>145</v>
      </c>
    </row>
    <row r="51" spans="1:10">
      <c r="A51" s="5"/>
      <c r="B51" s="6"/>
      <c r="C51" s="7"/>
      <c r="D51" s="9"/>
      <c r="E51" s="8"/>
      <c r="F51" s="9"/>
      <c r="G51" s="9"/>
      <c r="H51" s="6"/>
      <c r="I51" s="9"/>
      <c r="J51" s="9" t="s">
        <v>145</v>
      </c>
    </row>
    <row r="52" spans="1:10">
      <c r="A52" s="5"/>
      <c r="B52" s="6"/>
      <c r="C52" s="7"/>
      <c r="D52" s="9"/>
      <c r="E52" s="8"/>
      <c r="F52" s="9"/>
      <c r="G52" s="9"/>
      <c r="H52" s="6"/>
      <c r="I52" s="9"/>
      <c r="J52" s="9" t="s">
        <v>145</v>
      </c>
    </row>
    <row r="53" spans="1:10">
      <c r="A53" s="5"/>
      <c r="B53" s="6"/>
      <c r="C53" s="7"/>
      <c r="D53" s="9"/>
      <c r="E53" s="4"/>
      <c r="F53" s="9"/>
      <c r="G53" s="9"/>
      <c r="H53" s="6"/>
      <c r="I53" s="9"/>
      <c r="J53" s="9" t="s">
        <v>145</v>
      </c>
    </row>
    <row r="54" spans="1:10">
      <c r="A54" s="5"/>
      <c r="B54" s="6"/>
      <c r="C54" s="7"/>
      <c r="D54" s="9"/>
      <c r="E54" s="8"/>
      <c r="F54" s="9"/>
      <c r="G54" s="9"/>
      <c r="H54" s="6"/>
      <c r="I54" s="9"/>
      <c r="J54" s="9" t="s">
        <v>145</v>
      </c>
    </row>
    <row r="55" spans="1:10">
      <c r="A55" s="5"/>
      <c r="B55" s="6"/>
      <c r="C55" s="7"/>
      <c r="D55" s="9"/>
      <c r="E55" s="4"/>
      <c r="F55" s="9"/>
      <c r="G55" s="9"/>
      <c r="H55" s="6"/>
      <c r="I55" s="9"/>
      <c r="J55" s="9" t="s">
        <v>145</v>
      </c>
    </row>
    <row r="56" spans="1:10">
      <c r="A56" s="5"/>
      <c r="B56" s="6"/>
      <c r="C56" s="7"/>
      <c r="D56" s="9"/>
      <c r="E56" s="8"/>
      <c r="F56" s="9"/>
      <c r="G56" s="9"/>
      <c r="H56" s="6"/>
      <c r="I56" s="9"/>
      <c r="J56" s="9" t="s">
        <v>145</v>
      </c>
    </row>
    <row r="57" spans="1:10">
      <c r="A57" s="5"/>
      <c r="B57" s="6"/>
      <c r="C57" s="7"/>
      <c r="D57" s="9"/>
      <c r="E57" s="4"/>
      <c r="F57" s="9"/>
      <c r="G57" s="9"/>
      <c r="H57" s="6"/>
      <c r="I57" s="9"/>
      <c r="J57" s="9" t="s">
        <v>145</v>
      </c>
    </row>
    <row r="58" spans="1:10">
      <c r="A58" s="5"/>
      <c r="B58" s="6"/>
      <c r="C58" s="7"/>
      <c r="D58" s="9"/>
      <c r="E58" s="8"/>
      <c r="F58" s="9"/>
      <c r="G58" s="9"/>
      <c r="H58" s="6"/>
      <c r="I58" s="9"/>
      <c r="J58" s="9" t="s">
        <v>145</v>
      </c>
    </row>
    <row r="59" spans="1:10">
      <c r="A59" s="5"/>
      <c r="B59" s="6"/>
      <c r="C59" s="7"/>
      <c r="D59" s="9"/>
      <c r="E59" s="8"/>
      <c r="F59" s="9"/>
      <c r="G59" s="9"/>
      <c r="H59" s="6"/>
      <c r="I59" s="9"/>
      <c r="J59" s="9" t="s">
        <v>145</v>
      </c>
    </row>
    <row r="60" spans="1:10">
      <c r="A60" s="5"/>
      <c r="B60" s="6"/>
      <c r="C60" s="7"/>
      <c r="D60" s="9"/>
      <c r="E60" s="8"/>
      <c r="F60" s="9"/>
      <c r="G60" s="9"/>
      <c r="H60" s="6"/>
      <c r="I60" s="9"/>
      <c r="J60" s="9" t="s">
        <v>145</v>
      </c>
    </row>
    <row r="61" spans="1:10">
      <c r="A61" s="5"/>
      <c r="B61" s="6"/>
      <c r="C61" s="7"/>
      <c r="D61" s="9"/>
      <c r="E61" s="8"/>
      <c r="F61" s="9"/>
      <c r="G61" s="9"/>
      <c r="H61" s="6"/>
      <c r="I61" s="9"/>
      <c r="J61" s="9" t="s">
        <v>145</v>
      </c>
    </row>
    <row r="62" spans="1:10">
      <c r="A62" s="5"/>
      <c r="B62" s="6"/>
      <c r="C62" s="7"/>
      <c r="D62" s="9"/>
      <c r="E62" s="8"/>
      <c r="F62" s="9"/>
      <c r="G62" s="9"/>
      <c r="H62" s="6"/>
      <c r="I62" s="9"/>
      <c r="J62" s="9" t="s">
        <v>145</v>
      </c>
    </row>
    <row r="63" spans="1:10">
      <c r="A63" s="5"/>
      <c r="B63" s="6"/>
      <c r="C63" s="7"/>
      <c r="D63" s="9"/>
      <c r="E63" s="4"/>
      <c r="F63" s="9"/>
      <c r="G63" s="9"/>
      <c r="H63" s="6"/>
      <c r="I63" s="9"/>
      <c r="J63" s="9" t="s">
        <v>145</v>
      </c>
    </row>
    <row r="64" spans="1:10">
      <c r="A64" s="5"/>
      <c r="B64" s="6"/>
      <c r="C64" s="7"/>
      <c r="D64" s="9"/>
      <c r="E64" s="8"/>
      <c r="F64" s="9"/>
      <c r="G64" s="9"/>
      <c r="H64" s="6"/>
      <c r="I64" s="9"/>
      <c r="J64" s="9" t="s">
        <v>145</v>
      </c>
    </row>
    <row r="65" spans="1:10">
      <c r="A65" s="5"/>
      <c r="B65" s="6"/>
      <c r="C65" s="7"/>
      <c r="D65" s="9"/>
      <c r="E65" s="8"/>
      <c r="F65" s="9"/>
      <c r="G65" s="9"/>
      <c r="H65" s="6"/>
      <c r="I65" s="9"/>
      <c r="J65" s="9" t="s">
        <v>145</v>
      </c>
    </row>
    <row r="66" spans="1:10">
      <c r="A66" s="5"/>
      <c r="B66" s="6"/>
      <c r="C66" s="7"/>
      <c r="D66" s="9"/>
      <c r="E66" s="8"/>
      <c r="F66" s="9"/>
      <c r="G66" s="9"/>
      <c r="H66" s="6"/>
      <c r="I66" s="9"/>
      <c r="J66" s="9" t="s">
        <v>145</v>
      </c>
    </row>
    <row r="67" spans="1:10">
      <c r="A67" s="5"/>
      <c r="B67" s="6"/>
      <c r="C67" s="7"/>
      <c r="D67" s="9"/>
      <c r="E67" s="8"/>
      <c r="F67" s="9"/>
      <c r="G67" s="9"/>
      <c r="H67" s="6"/>
      <c r="I67" s="9"/>
      <c r="J67" s="9" t="s">
        <v>145</v>
      </c>
    </row>
    <row r="68" spans="1:10">
      <c r="A68" s="5"/>
      <c r="B68" s="6"/>
      <c r="C68" s="7"/>
      <c r="D68" s="9"/>
      <c r="E68" s="8"/>
      <c r="F68" s="9"/>
      <c r="G68" s="9"/>
      <c r="H68" s="6"/>
      <c r="I68" s="9"/>
      <c r="J68" s="9" t="s">
        <v>145</v>
      </c>
    </row>
    <row r="69" spans="1:10">
      <c r="A69" s="5"/>
      <c r="B69" s="6"/>
      <c r="C69" s="7"/>
      <c r="D69" s="9"/>
      <c r="E69" s="8"/>
      <c r="F69" s="9"/>
      <c r="G69" s="9"/>
      <c r="H69" s="6"/>
      <c r="I69" s="9"/>
      <c r="J69" s="9" t="s">
        <v>145</v>
      </c>
    </row>
    <row r="70" spans="1:10">
      <c r="A70" s="5"/>
      <c r="B70" s="6"/>
      <c r="C70" s="7"/>
      <c r="D70" s="9"/>
      <c r="E70" s="8"/>
      <c r="F70" s="9"/>
      <c r="G70" s="9"/>
      <c r="H70" s="6"/>
      <c r="I70" s="9"/>
      <c r="J70" s="9" t="s">
        <v>145</v>
      </c>
    </row>
    <row r="71" spans="1:10">
      <c r="A71" s="5"/>
      <c r="B71" s="6"/>
      <c r="C71" s="7"/>
      <c r="D71" s="9"/>
      <c r="E71" s="8"/>
      <c r="F71" s="9"/>
      <c r="G71" s="9"/>
      <c r="H71" s="6"/>
      <c r="I71" s="9"/>
      <c r="J71" s="9" t="s">
        <v>145</v>
      </c>
    </row>
    <row r="72" spans="1:10">
      <c r="A72" s="5"/>
      <c r="B72" s="6"/>
      <c r="C72" s="7"/>
      <c r="D72" s="9"/>
      <c r="E72" s="4"/>
      <c r="F72" s="9"/>
      <c r="G72" s="9"/>
      <c r="H72" s="6"/>
      <c r="I72" s="9"/>
      <c r="J72" s="9" t="s">
        <v>145</v>
      </c>
    </row>
    <row r="73" spans="1:10">
      <c r="A73" s="5"/>
      <c r="B73" s="6"/>
      <c r="C73" s="7"/>
      <c r="D73" s="9"/>
      <c r="E73" s="8"/>
      <c r="F73" s="9"/>
      <c r="G73" s="9"/>
      <c r="H73" s="6"/>
      <c r="I73" s="9"/>
      <c r="J73" s="9" t="s">
        <v>145</v>
      </c>
    </row>
    <row r="74" spans="1:10">
      <c r="A74" s="5"/>
      <c r="B74" s="6"/>
      <c r="C74" s="7"/>
      <c r="D74" s="9"/>
      <c r="E74" s="8"/>
      <c r="F74" s="9"/>
      <c r="G74" s="9"/>
      <c r="H74" s="6"/>
      <c r="I74" s="9"/>
      <c r="J74" s="9" t="s">
        <v>145</v>
      </c>
    </row>
    <row r="75" spans="1:10">
      <c r="A75" s="5"/>
      <c r="B75" s="6"/>
      <c r="C75" s="7"/>
      <c r="D75" s="9"/>
      <c r="E75" s="8"/>
      <c r="F75" s="9"/>
      <c r="G75" s="9"/>
      <c r="H75" s="6"/>
      <c r="I75" s="9"/>
      <c r="J75" s="9" t="s">
        <v>145</v>
      </c>
    </row>
    <row r="76" spans="1:10">
      <c r="A76" s="5"/>
      <c r="B76" s="6"/>
      <c r="C76" s="7"/>
      <c r="D76" s="9"/>
      <c r="E76" s="8"/>
      <c r="F76" s="9"/>
      <c r="G76" s="9"/>
      <c r="H76" s="6"/>
      <c r="I76" s="9"/>
      <c r="J76" s="9" t="s">
        <v>145</v>
      </c>
    </row>
    <row r="77" spans="1:10">
      <c r="A77" s="5"/>
      <c r="B77" s="6"/>
      <c r="C77" s="7"/>
      <c r="D77" s="9"/>
      <c r="E77" s="8"/>
      <c r="F77" s="9"/>
      <c r="G77" s="9"/>
      <c r="H77" s="6"/>
      <c r="I77" s="9"/>
      <c r="J77" s="9" t="s">
        <v>145</v>
      </c>
    </row>
    <row r="78" spans="1:10">
      <c r="A78" s="5"/>
      <c r="B78" s="6"/>
      <c r="C78" s="7"/>
      <c r="D78" s="9"/>
      <c r="E78" s="8"/>
      <c r="F78" s="9"/>
      <c r="G78" s="9"/>
      <c r="H78" s="6"/>
      <c r="I78" s="9"/>
      <c r="J78" s="9" t="s">
        <v>145</v>
      </c>
    </row>
    <row r="79" spans="1:10">
      <c r="A79" s="5"/>
      <c r="B79" s="6"/>
      <c r="C79" s="7"/>
      <c r="D79" s="9"/>
      <c r="E79" s="8"/>
      <c r="F79" s="9"/>
      <c r="G79" s="9"/>
      <c r="H79" s="6"/>
      <c r="I79" s="9"/>
      <c r="J79" s="9" t="s">
        <v>145</v>
      </c>
    </row>
    <row r="80" spans="1:10">
      <c r="A80" s="5"/>
      <c r="B80" s="6"/>
      <c r="C80" s="7"/>
      <c r="D80" s="9"/>
      <c r="E80" s="4"/>
      <c r="F80" s="9"/>
      <c r="G80" s="9"/>
      <c r="H80" s="6"/>
      <c r="I80" s="9"/>
      <c r="J80" s="9" t="s">
        <v>145</v>
      </c>
    </row>
    <row r="81" spans="1:10">
      <c r="A81" s="5"/>
      <c r="B81" s="6"/>
      <c r="C81" s="7"/>
      <c r="D81" s="9"/>
      <c r="E81" s="8"/>
      <c r="F81" s="9"/>
      <c r="G81" s="9"/>
      <c r="H81" s="6"/>
      <c r="I81" s="9"/>
      <c r="J81" s="9" t="s">
        <v>145</v>
      </c>
    </row>
    <row r="82" spans="1:10">
      <c r="A82" s="5"/>
      <c r="B82" s="6"/>
      <c r="C82" s="7"/>
      <c r="D82" s="9"/>
      <c r="E82" s="8"/>
      <c r="F82" s="9"/>
      <c r="G82" s="9"/>
      <c r="H82" s="6"/>
      <c r="I82" s="9"/>
      <c r="J82" s="9" t="s">
        <v>145</v>
      </c>
    </row>
    <row r="83" spans="1:10">
      <c r="A83" s="5"/>
      <c r="B83" s="6"/>
      <c r="C83" s="7"/>
      <c r="D83" s="9"/>
      <c r="E83" s="8"/>
      <c r="F83" s="9"/>
      <c r="G83" s="9"/>
      <c r="H83" s="6"/>
      <c r="I83" s="9"/>
      <c r="J83" s="9" t="s">
        <v>145</v>
      </c>
    </row>
    <row r="84" spans="1:10">
      <c r="A84" s="5"/>
      <c r="B84" s="6"/>
      <c r="C84" s="7"/>
      <c r="D84" s="9"/>
      <c r="E84" s="8"/>
      <c r="F84" s="9"/>
      <c r="G84" s="9"/>
      <c r="H84" s="6"/>
      <c r="I84" s="9"/>
      <c r="J84" s="9" t="s">
        <v>145</v>
      </c>
    </row>
    <row r="85" spans="1:10">
      <c r="A85" s="5"/>
      <c r="B85" s="6"/>
      <c r="C85" s="7"/>
      <c r="D85" s="9"/>
      <c r="E85" s="8"/>
      <c r="F85" s="9"/>
      <c r="G85" s="9"/>
      <c r="H85" s="6"/>
      <c r="I85" s="9"/>
      <c r="J85" s="9" t="s">
        <v>145</v>
      </c>
    </row>
    <row r="86" spans="1:10">
      <c r="A86" s="5"/>
      <c r="B86" s="6"/>
      <c r="C86" s="7"/>
      <c r="D86" s="9"/>
      <c r="E86" s="8"/>
      <c r="F86" s="9"/>
      <c r="G86" s="9"/>
      <c r="H86" s="6"/>
      <c r="I86" s="9"/>
      <c r="J86" s="9" t="s">
        <v>145</v>
      </c>
    </row>
    <row r="87" spans="1:10">
      <c r="A87" s="5"/>
      <c r="B87" s="6"/>
      <c r="C87" s="7"/>
      <c r="D87" s="9"/>
      <c r="E87" s="8"/>
      <c r="F87" s="9"/>
      <c r="G87" s="9"/>
      <c r="H87" s="6"/>
      <c r="I87" s="9"/>
      <c r="J87" s="9" t="s">
        <v>145</v>
      </c>
    </row>
    <row r="88" spans="1:10">
      <c r="A88" s="5"/>
      <c r="B88" s="6"/>
      <c r="C88" s="7"/>
      <c r="D88" s="9"/>
      <c r="E88" s="8"/>
      <c r="F88" s="9"/>
      <c r="G88" s="9"/>
      <c r="H88" s="6"/>
      <c r="I88" s="9"/>
      <c r="J88" s="9" t="s">
        <v>145</v>
      </c>
    </row>
    <row r="89" spans="1:10">
      <c r="A89" s="5"/>
      <c r="B89" s="6"/>
      <c r="C89" s="7"/>
      <c r="D89" s="9"/>
      <c r="E89" s="8"/>
      <c r="F89" s="9"/>
      <c r="G89" s="9"/>
      <c r="H89" s="6"/>
      <c r="I89" s="9"/>
      <c r="J89" s="9" t="s">
        <v>145</v>
      </c>
    </row>
    <row r="90" spans="1:10">
      <c r="A90" s="5"/>
      <c r="B90" s="6"/>
      <c r="C90" s="7"/>
      <c r="D90" s="9"/>
      <c r="E90" s="8"/>
      <c r="F90" s="9"/>
      <c r="G90" s="9"/>
      <c r="H90" s="6"/>
      <c r="I90" s="9"/>
      <c r="J90" s="9" t="s">
        <v>145</v>
      </c>
    </row>
    <row r="91" spans="1:10">
      <c r="A91" s="5"/>
      <c r="B91" s="6"/>
      <c r="C91" s="7"/>
      <c r="D91" s="9"/>
      <c r="E91" s="8"/>
      <c r="F91" s="9"/>
      <c r="G91" s="9"/>
      <c r="H91" s="6"/>
      <c r="I91" s="9"/>
      <c r="J91" s="9" t="s">
        <v>145</v>
      </c>
    </row>
    <row r="92" spans="1:10">
      <c r="A92" s="5"/>
      <c r="B92" s="6"/>
      <c r="C92" s="7"/>
      <c r="D92" s="9"/>
      <c r="E92" s="8"/>
      <c r="F92" s="9"/>
      <c r="G92" s="9"/>
      <c r="H92" s="6"/>
      <c r="I92" s="9"/>
      <c r="J92" s="9" t="s">
        <v>145</v>
      </c>
    </row>
    <row r="93" spans="1:10">
      <c r="A93" s="5"/>
      <c r="B93" s="6"/>
      <c r="C93" s="7"/>
      <c r="D93" s="9"/>
      <c r="E93" s="4"/>
      <c r="F93" s="9"/>
      <c r="G93" s="9"/>
      <c r="H93" s="6"/>
      <c r="I93" s="9"/>
      <c r="J93" s="9" t="s">
        <v>145</v>
      </c>
    </row>
    <row r="94" spans="1:10">
      <c r="A94" s="5"/>
      <c r="B94" s="6"/>
      <c r="C94" s="7"/>
      <c r="D94" s="9"/>
      <c r="E94" s="8"/>
      <c r="F94" s="9"/>
      <c r="G94" s="9"/>
      <c r="H94" s="6"/>
      <c r="I94" s="9"/>
      <c r="J94" s="9" t="s">
        <v>145</v>
      </c>
    </row>
    <row r="95" spans="1:10">
      <c r="A95" s="5"/>
      <c r="B95" s="6"/>
      <c r="C95" s="7"/>
      <c r="D95" s="9"/>
      <c r="E95" s="8"/>
      <c r="F95" s="9"/>
      <c r="G95" s="9"/>
      <c r="H95" s="6"/>
      <c r="I95" s="9"/>
      <c r="J95" s="9" t="s">
        <v>145</v>
      </c>
    </row>
    <row r="96" spans="1:10">
      <c r="A96" s="5"/>
      <c r="B96" s="6"/>
      <c r="C96" s="7"/>
      <c r="D96" s="9"/>
      <c r="E96" s="8"/>
      <c r="F96" s="9"/>
      <c r="G96" s="9"/>
      <c r="H96" s="6"/>
      <c r="I96" s="9"/>
      <c r="J96" s="9" t="s">
        <v>145</v>
      </c>
    </row>
    <row r="97" spans="1:10">
      <c r="A97" s="5"/>
      <c r="B97" s="6"/>
      <c r="C97" s="7"/>
      <c r="D97" s="9"/>
      <c r="E97" s="8"/>
      <c r="F97" s="9"/>
      <c r="G97" s="9"/>
      <c r="H97" s="6"/>
      <c r="I97" s="9"/>
      <c r="J97" s="9" t="s">
        <v>145</v>
      </c>
    </row>
    <row r="98" spans="1:10">
      <c r="A98" s="5"/>
      <c r="B98" s="6"/>
      <c r="C98" s="7"/>
      <c r="D98" s="9"/>
      <c r="E98" s="8"/>
      <c r="F98" s="9"/>
      <c r="G98" s="9"/>
      <c r="H98" s="6"/>
      <c r="I98" s="9"/>
      <c r="J98" s="9" t="s">
        <v>145</v>
      </c>
    </row>
    <row r="99" spans="1:10">
      <c r="A99" s="5"/>
      <c r="B99" s="6"/>
      <c r="C99" s="7"/>
      <c r="D99" s="9"/>
      <c r="E99" s="8"/>
      <c r="F99" s="9"/>
      <c r="G99" s="9"/>
      <c r="H99" s="6"/>
      <c r="I99" s="9"/>
      <c r="J99" s="9" t="s">
        <v>145</v>
      </c>
    </row>
    <row r="100" spans="1:10">
      <c r="A100" s="5"/>
      <c r="B100" s="6"/>
      <c r="C100" s="7"/>
      <c r="D100" s="9"/>
      <c r="E100" s="8"/>
      <c r="F100" s="9"/>
      <c r="G100" s="9"/>
      <c r="H100" s="6"/>
      <c r="I100" s="9"/>
      <c r="J100" s="9" t="s">
        <v>145</v>
      </c>
    </row>
    <row r="101" spans="1:10">
      <c r="A101" s="5"/>
      <c r="B101" s="6"/>
      <c r="C101" s="7"/>
      <c r="D101" s="9"/>
      <c r="E101" s="8"/>
      <c r="F101" s="9"/>
      <c r="G101" s="9"/>
      <c r="H101" s="6"/>
      <c r="I101" s="9"/>
      <c r="J101" s="9" t="s">
        <v>145</v>
      </c>
    </row>
    <row r="102" spans="1:10">
      <c r="A102" s="5"/>
      <c r="B102" s="6"/>
      <c r="C102" s="7"/>
      <c r="D102" s="9"/>
      <c r="E102" s="8"/>
      <c r="F102" s="9"/>
      <c r="G102" s="9"/>
      <c r="H102" s="6"/>
      <c r="I102" s="9"/>
      <c r="J102" s="9" t="s">
        <v>145</v>
      </c>
    </row>
    <row r="103" spans="1:10">
      <c r="A103" s="5"/>
      <c r="B103" s="6"/>
      <c r="C103" s="7"/>
      <c r="D103" s="9"/>
      <c r="E103" s="8"/>
      <c r="F103" s="9"/>
      <c r="G103" s="9"/>
      <c r="H103" s="6"/>
      <c r="I103" s="9"/>
      <c r="J103" s="9" t="s">
        <v>145</v>
      </c>
    </row>
    <row r="104" spans="1:10">
      <c r="A104" s="5"/>
      <c r="B104" s="6"/>
      <c r="C104" s="7"/>
      <c r="D104" s="9"/>
      <c r="E104" s="8"/>
      <c r="F104" s="9"/>
      <c r="G104" s="9"/>
      <c r="H104" s="6"/>
      <c r="I104" s="9"/>
      <c r="J104" s="9" t="s">
        <v>145</v>
      </c>
    </row>
    <row r="105" spans="1:10">
      <c r="A105" s="5"/>
      <c r="B105" s="6"/>
      <c r="C105" s="7"/>
      <c r="D105" s="9"/>
      <c r="E105" s="8"/>
      <c r="F105" s="9"/>
      <c r="G105" s="9"/>
      <c r="H105" s="6"/>
      <c r="I105" s="9"/>
      <c r="J105" s="9" t="s">
        <v>145</v>
      </c>
    </row>
    <row r="106" spans="1:10">
      <c r="A106" s="5"/>
      <c r="B106" s="6"/>
      <c r="C106" s="7"/>
      <c r="D106" s="9"/>
      <c r="E106" s="8"/>
      <c r="F106" s="9"/>
      <c r="G106" s="9"/>
      <c r="H106" s="6"/>
      <c r="I106" s="9"/>
      <c r="J106" s="9" t="s">
        <v>145</v>
      </c>
    </row>
    <row r="107" spans="1:10">
      <c r="A107" s="5"/>
      <c r="B107" s="6"/>
      <c r="C107" s="7"/>
      <c r="D107" s="9"/>
      <c r="E107" s="8"/>
      <c r="F107" s="9"/>
      <c r="G107" s="9"/>
      <c r="H107" s="6"/>
      <c r="I107" s="9"/>
      <c r="J107" s="9" t="s">
        <v>145</v>
      </c>
    </row>
    <row r="108" spans="1:10">
      <c r="A108" s="5"/>
      <c r="B108" s="6"/>
      <c r="C108" s="7"/>
      <c r="D108" s="9"/>
      <c r="E108" s="8"/>
      <c r="F108" s="9"/>
      <c r="G108" s="9"/>
      <c r="H108" s="6"/>
      <c r="I108" s="9"/>
      <c r="J108" s="9" t="s">
        <v>145</v>
      </c>
    </row>
    <row r="109" spans="1:10">
      <c r="A109" s="5"/>
      <c r="B109" s="6"/>
      <c r="C109" s="7"/>
      <c r="D109" s="9"/>
      <c r="E109" s="4"/>
      <c r="F109" s="9"/>
      <c r="G109" s="9"/>
      <c r="H109" s="6"/>
      <c r="I109" s="9"/>
      <c r="J109" s="9" t="s">
        <v>145</v>
      </c>
    </row>
    <row r="110" spans="1:10">
      <c r="A110" s="5"/>
      <c r="B110" s="6"/>
      <c r="C110" s="7"/>
      <c r="D110" s="9"/>
      <c r="E110" s="8"/>
      <c r="F110" s="9"/>
      <c r="G110" s="9"/>
      <c r="H110" s="6"/>
      <c r="I110" s="9"/>
      <c r="J110" s="9" t="s">
        <v>145</v>
      </c>
    </row>
    <row r="111" spans="1:10" ht="15" customHeight="1">
      <c r="A111" s="5"/>
      <c r="B111" s="6"/>
      <c r="C111" s="7"/>
      <c r="D111" s="9"/>
      <c r="E111" s="8"/>
      <c r="F111" s="9"/>
      <c r="G111" s="9"/>
      <c r="H111" s="6"/>
      <c r="I111" s="9"/>
      <c r="J111" s="9" t="s">
        <v>145</v>
      </c>
    </row>
    <row r="112" spans="1:10">
      <c r="A112" s="5"/>
      <c r="B112" s="6"/>
      <c r="C112" s="7"/>
      <c r="D112" s="9"/>
      <c r="E112" s="4"/>
      <c r="F112" s="9"/>
      <c r="G112" s="9"/>
      <c r="H112" s="6"/>
      <c r="I112" s="9"/>
      <c r="J112" s="9" t="s">
        <v>145</v>
      </c>
    </row>
    <row r="113" spans="1:10">
      <c r="A113" s="5"/>
      <c r="B113" s="6"/>
      <c r="C113" s="7"/>
      <c r="D113" s="9"/>
      <c r="E113" s="8"/>
      <c r="F113" s="9"/>
      <c r="G113" s="9"/>
      <c r="H113" s="6"/>
      <c r="I113" s="9"/>
      <c r="J113" s="9" t="s">
        <v>145</v>
      </c>
    </row>
    <row r="114" spans="1:10">
      <c r="A114" s="5"/>
      <c r="B114" s="6"/>
      <c r="C114" s="7"/>
      <c r="D114" s="9"/>
      <c r="E114" s="8"/>
      <c r="F114" s="9"/>
      <c r="G114" s="9"/>
      <c r="H114" s="6"/>
      <c r="I114" s="9"/>
      <c r="J114" s="9" t="s">
        <v>145</v>
      </c>
    </row>
    <row r="115" spans="1:10">
      <c r="A115" s="5"/>
      <c r="B115" s="6"/>
      <c r="C115" s="7"/>
      <c r="D115" s="9"/>
      <c r="E115" s="4"/>
      <c r="F115" s="9"/>
      <c r="G115" s="9"/>
      <c r="H115" s="6"/>
      <c r="I115" s="9"/>
      <c r="J115" s="9" t="s">
        <v>145</v>
      </c>
    </row>
    <row r="116" spans="1:10">
      <c r="A116" s="5"/>
      <c r="B116" s="6"/>
      <c r="C116" s="7"/>
      <c r="D116" s="9"/>
      <c r="E116" s="8"/>
      <c r="F116" s="9"/>
      <c r="G116" s="9"/>
      <c r="H116" s="6"/>
      <c r="I116" s="9"/>
      <c r="J116" s="9" t="s">
        <v>145</v>
      </c>
    </row>
    <row r="117" spans="1:10">
      <c r="A117" s="5"/>
      <c r="B117" s="6"/>
      <c r="C117" s="7"/>
      <c r="D117" s="9"/>
      <c r="E117" s="8"/>
      <c r="F117" s="9"/>
      <c r="G117" s="9"/>
      <c r="H117" s="6"/>
      <c r="I117" s="9"/>
      <c r="J117" s="9" t="s">
        <v>145</v>
      </c>
    </row>
    <row r="118" spans="1:10">
      <c r="A118" s="5"/>
      <c r="B118" s="6"/>
      <c r="C118" s="7"/>
      <c r="D118" s="9"/>
      <c r="E118" s="8"/>
      <c r="F118" s="9"/>
      <c r="G118" s="9"/>
      <c r="H118" s="6"/>
      <c r="I118" s="9"/>
      <c r="J118" s="9" t="s">
        <v>145</v>
      </c>
    </row>
    <row r="119" spans="1:10">
      <c r="A119" s="5"/>
      <c r="B119" s="6"/>
      <c r="C119" s="7"/>
      <c r="D119" s="9"/>
      <c r="E119" s="8"/>
      <c r="F119" s="9"/>
      <c r="G119" s="9"/>
      <c r="H119" s="6"/>
      <c r="I119" s="9"/>
      <c r="J119" s="9" t="s">
        <v>145</v>
      </c>
    </row>
    <row r="120" spans="1:10">
      <c r="A120" s="5"/>
      <c r="B120" s="6"/>
      <c r="C120" s="7"/>
      <c r="D120" s="9"/>
      <c r="E120" s="8"/>
      <c r="F120" s="9"/>
      <c r="G120" s="9"/>
      <c r="H120" s="6"/>
      <c r="I120" s="9"/>
      <c r="J120" s="9" t="s">
        <v>145</v>
      </c>
    </row>
    <row r="121" spans="1:10">
      <c r="A121" s="5"/>
      <c r="B121" s="6"/>
      <c r="C121" s="7"/>
      <c r="D121" s="9"/>
      <c r="E121" s="4"/>
      <c r="F121" s="9"/>
      <c r="G121" s="9"/>
      <c r="H121" s="6"/>
      <c r="I121" s="9"/>
      <c r="J121" s="9" t="s">
        <v>145</v>
      </c>
    </row>
    <row r="122" spans="1:10">
      <c r="A122" s="5"/>
      <c r="B122" s="6"/>
      <c r="C122" s="7"/>
      <c r="D122" s="9"/>
      <c r="E122" s="8"/>
      <c r="F122" s="9"/>
      <c r="G122" s="9"/>
      <c r="H122" s="6"/>
      <c r="I122" s="9"/>
      <c r="J122" s="9" t="s">
        <v>145</v>
      </c>
    </row>
    <row r="123" spans="1:10">
      <c r="A123" s="5"/>
      <c r="B123" s="6"/>
      <c r="C123" s="7"/>
      <c r="D123" s="9"/>
      <c r="E123" s="8"/>
      <c r="F123" s="9"/>
      <c r="G123" s="9"/>
      <c r="H123" s="6"/>
      <c r="I123" s="9"/>
      <c r="J123" s="9" t="s">
        <v>145</v>
      </c>
    </row>
    <row r="124" spans="1:10">
      <c r="A124" s="5"/>
      <c r="B124" s="6"/>
      <c r="C124" s="7"/>
      <c r="D124" s="9"/>
      <c r="E124" s="8"/>
      <c r="F124" s="9"/>
      <c r="G124" s="9"/>
      <c r="H124" s="6"/>
      <c r="I124" s="9"/>
      <c r="J124" s="9" t="s">
        <v>145</v>
      </c>
    </row>
    <row r="125" spans="1:10">
      <c r="A125" s="5"/>
      <c r="B125" s="6"/>
      <c r="C125" s="7"/>
      <c r="D125" s="9"/>
      <c r="E125" s="8"/>
      <c r="F125" s="9"/>
      <c r="G125" s="9"/>
      <c r="H125" s="6"/>
      <c r="I125" s="9"/>
      <c r="J125" s="9" t="s">
        <v>145</v>
      </c>
    </row>
    <row r="126" spans="1:10">
      <c r="A126" s="5"/>
      <c r="B126" s="6"/>
      <c r="C126" s="7"/>
      <c r="D126" s="9"/>
      <c r="E126" s="8"/>
      <c r="F126" s="9"/>
      <c r="G126" s="9"/>
      <c r="H126" s="6"/>
      <c r="I126" s="9"/>
      <c r="J126" s="9" t="s">
        <v>145</v>
      </c>
    </row>
    <row r="127" spans="1:10">
      <c r="A127" s="5"/>
      <c r="B127" s="6"/>
      <c r="C127" s="7"/>
      <c r="D127" s="9"/>
      <c r="E127" s="8"/>
      <c r="F127" s="9"/>
      <c r="G127" s="9"/>
      <c r="H127" s="6"/>
      <c r="I127" s="9"/>
      <c r="J127" s="9" t="s">
        <v>145</v>
      </c>
    </row>
    <row r="128" spans="1:10">
      <c r="A128" s="5"/>
      <c r="B128" s="6"/>
      <c r="C128" s="7"/>
      <c r="D128" s="9"/>
      <c r="E128" s="8"/>
      <c r="F128" s="9"/>
      <c r="G128" s="9"/>
      <c r="H128" s="6"/>
      <c r="I128" s="9"/>
      <c r="J128" s="9" t="s">
        <v>145</v>
      </c>
    </row>
    <row r="129" spans="1:10">
      <c r="A129" s="5"/>
      <c r="B129" s="6"/>
      <c r="C129" s="7"/>
      <c r="D129" s="9"/>
      <c r="E129" s="8"/>
      <c r="F129" s="9"/>
      <c r="G129" s="9"/>
      <c r="H129" s="6"/>
      <c r="I129" s="9"/>
      <c r="J129" s="9" t="s">
        <v>145</v>
      </c>
    </row>
    <row r="130" spans="1:10">
      <c r="A130" s="5"/>
      <c r="B130" s="6"/>
      <c r="C130" s="7"/>
      <c r="D130" s="9"/>
      <c r="E130" s="8"/>
      <c r="F130" s="9"/>
      <c r="G130" s="9"/>
      <c r="H130" s="6"/>
      <c r="I130" s="9"/>
      <c r="J130" s="9" t="s">
        <v>145</v>
      </c>
    </row>
    <row r="131" spans="1:10">
      <c r="A131" s="5"/>
      <c r="B131" s="6"/>
      <c r="C131" s="7"/>
      <c r="D131" s="9"/>
      <c r="E131" s="8"/>
      <c r="F131" s="9"/>
      <c r="G131" s="9"/>
      <c r="H131" s="6"/>
      <c r="I131" s="9"/>
      <c r="J131" s="9" t="s">
        <v>145</v>
      </c>
    </row>
    <row r="132" spans="1:10">
      <c r="A132" s="5"/>
      <c r="B132" s="6"/>
      <c r="C132" s="7"/>
      <c r="D132" s="9"/>
      <c r="E132" s="8"/>
      <c r="F132" s="9"/>
      <c r="G132" s="9"/>
      <c r="H132" s="6"/>
      <c r="I132" s="9"/>
      <c r="J132" s="9" t="s">
        <v>145</v>
      </c>
    </row>
    <row r="133" spans="1:10">
      <c r="A133" s="5"/>
      <c r="B133" s="6"/>
      <c r="C133" s="7"/>
      <c r="D133" s="9"/>
      <c r="E133" s="8"/>
      <c r="F133" s="9"/>
      <c r="G133" s="9"/>
      <c r="H133" s="6"/>
      <c r="I133" s="9"/>
      <c r="J133" s="9" t="s">
        <v>145</v>
      </c>
    </row>
    <row r="134" spans="1:10">
      <c r="A134" s="5"/>
      <c r="B134" s="6"/>
      <c r="C134" s="7"/>
      <c r="D134" s="9"/>
      <c r="E134" s="8"/>
      <c r="F134" s="9"/>
      <c r="G134" s="9"/>
      <c r="H134" s="6"/>
      <c r="I134" s="9"/>
      <c r="J134" s="9" t="s">
        <v>145</v>
      </c>
    </row>
    <row r="135" spans="1:10">
      <c r="A135" s="5"/>
      <c r="B135" s="6"/>
      <c r="C135" s="7"/>
      <c r="D135" s="9"/>
      <c r="E135" s="4"/>
      <c r="F135" s="9"/>
      <c r="G135" s="9"/>
      <c r="H135" s="6"/>
      <c r="I135" s="9"/>
      <c r="J135" s="9" t="s">
        <v>145</v>
      </c>
    </row>
    <row r="136" spans="1:10">
      <c r="A136" s="5"/>
      <c r="B136" s="6"/>
      <c r="C136" s="7"/>
      <c r="D136" s="9"/>
      <c r="E136" s="8"/>
      <c r="F136" s="9"/>
      <c r="G136" s="9"/>
      <c r="H136" s="6"/>
      <c r="I136" s="9"/>
      <c r="J136" s="9" t="s">
        <v>145</v>
      </c>
    </row>
    <row r="137" spans="1:10">
      <c r="A137" s="5"/>
      <c r="B137" s="6"/>
      <c r="C137" s="7"/>
      <c r="D137" s="9"/>
      <c r="E137" s="8"/>
      <c r="F137" s="9"/>
      <c r="G137" s="9"/>
      <c r="H137" s="6"/>
      <c r="I137" s="9"/>
      <c r="J137" s="9" t="s">
        <v>145</v>
      </c>
    </row>
    <row r="138" spans="1:10">
      <c r="A138" s="5"/>
      <c r="B138" s="6"/>
      <c r="C138" s="7"/>
      <c r="D138" s="9"/>
      <c r="E138" s="8"/>
      <c r="F138" s="9"/>
      <c r="G138" s="9"/>
      <c r="H138" s="6"/>
      <c r="I138" s="9"/>
      <c r="J138" s="9" t="s">
        <v>145</v>
      </c>
    </row>
    <row r="139" spans="1:10">
      <c r="A139" s="5"/>
      <c r="B139" s="6"/>
      <c r="C139" s="7"/>
      <c r="D139" s="9"/>
      <c r="E139" s="8"/>
      <c r="F139" s="9"/>
      <c r="G139" s="9"/>
      <c r="H139" s="6"/>
      <c r="I139" s="9"/>
      <c r="J139" s="9" t="s">
        <v>145</v>
      </c>
    </row>
    <row r="140" spans="1:10">
      <c r="A140" s="5"/>
      <c r="B140" s="6"/>
      <c r="C140" s="7"/>
      <c r="D140" s="9"/>
      <c r="E140" s="8"/>
      <c r="F140" s="9"/>
      <c r="G140" s="9"/>
      <c r="H140" s="6"/>
      <c r="I140" s="9"/>
      <c r="J140" s="9" t="s">
        <v>145</v>
      </c>
    </row>
    <row r="141" spans="1:10">
      <c r="A141" s="5"/>
      <c r="B141" s="6"/>
      <c r="C141" s="7"/>
      <c r="D141" s="9"/>
      <c r="E141" s="8"/>
      <c r="F141" s="9"/>
      <c r="G141" s="9"/>
      <c r="H141" s="6"/>
      <c r="I141" s="9"/>
      <c r="J141" s="9" t="s">
        <v>145</v>
      </c>
    </row>
    <row r="142" spans="1:10">
      <c r="A142" s="5"/>
      <c r="B142" s="6"/>
      <c r="C142" s="7"/>
      <c r="D142" s="9"/>
      <c r="E142" s="4"/>
      <c r="F142" s="9"/>
      <c r="G142" s="9"/>
      <c r="H142" s="6"/>
      <c r="I142" s="9"/>
      <c r="J142" s="9" t="s">
        <v>145</v>
      </c>
    </row>
    <row r="143" spans="1:10">
      <c r="A143" s="5"/>
      <c r="B143" s="6"/>
      <c r="C143" s="7"/>
      <c r="D143" s="9"/>
      <c r="E143" s="4"/>
      <c r="F143" s="9"/>
      <c r="G143" s="9"/>
      <c r="H143" s="6"/>
      <c r="I143" s="9"/>
      <c r="J143" s="9" t="s">
        <v>145</v>
      </c>
    </row>
    <row r="144" spans="1:10">
      <c r="A144" s="5"/>
      <c r="B144" s="6"/>
      <c r="C144" s="7"/>
      <c r="D144" s="9"/>
      <c r="E144" s="8"/>
      <c r="F144" s="9"/>
      <c r="G144" s="9"/>
      <c r="H144" s="6"/>
      <c r="I144" s="9"/>
      <c r="J144" s="9" t="s">
        <v>145</v>
      </c>
    </row>
    <row r="145" spans="1:10">
      <c r="A145" s="5"/>
      <c r="B145" s="6"/>
      <c r="C145" s="7"/>
      <c r="D145" s="9"/>
      <c r="E145" s="8"/>
      <c r="F145" s="9"/>
      <c r="G145" s="9"/>
      <c r="H145" s="6"/>
      <c r="I145" s="9"/>
      <c r="J145" s="9" t="s">
        <v>145</v>
      </c>
    </row>
    <row r="146" spans="1:10">
      <c r="A146" s="5"/>
      <c r="B146" s="6"/>
      <c r="C146" s="7"/>
      <c r="D146" s="9"/>
      <c r="E146" s="8"/>
      <c r="F146" s="9"/>
      <c r="G146" s="9"/>
      <c r="H146" s="6"/>
      <c r="I146" s="9"/>
      <c r="J146" s="9" t="s">
        <v>145</v>
      </c>
    </row>
    <row r="147" spans="1:10">
      <c r="A147" s="5"/>
      <c r="B147" s="6"/>
      <c r="C147" s="7"/>
      <c r="D147" s="9"/>
      <c r="E147" s="4"/>
      <c r="F147" s="9"/>
      <c r="G147" s="9"/>
      <c r="H147" s="6"/>
      <c r="I147" s="9"/>
      <c r="J147" s="9" t="s">
        <v>145</v>
      </c>
    </row>
    <row r="148" spans="1:10">
      <c r="A148" s="5"/>
      <c r="B148" s="6"/>
      <c r="C148" s="7"/>
      <c r="D148" s="9"/>
      <c r="E148" s="8"/>
      <c r="F148" s="9"/>
      <c r="G148" s="9"/>
      <c r="H148" s="6"/>
      <c r="I148" s="9"/>
      <c r="J148" s="9" t="s">
        <v>145</v>
      </c>
    </row>
    <row r="149" spans="1:10">
      <c r="A149" s="5"/>
      <c r="B149" s="6"/>
      <c r="C149" s="7"/>
      <c r="D149" s="9"/>
      <c r="E149" s="8"/>
      <c r="F149" s="9"/>
      <c r="G149" s="9"/>
      <c r="H149" s="6"/>
      <c r="I149" s="9"/>
      <c r="J149" s="9" t="s">
        <v>145</v>
      </c>
    </row>
    <row r="150" spans="1:10">
      <c r="A150" s="5"/>
      <c r="B150" s="6"/>
      <c r="C150" s="7"/>
      <c r="D150" s="9"/>
      <c r="E150" s="8"/>
      <c r="F150" s="9"/>
      <c r="G150" s="9"/>
      <c r="H150" s="6"/>
      <c r="I150" s="9"/>
      <c r="J150" s="9" t="s">
        <v>145</v>
      </c>
    </row>
    <row r="151" spans="1:10">
      <c r="A151" s="5"/>
      <c r="B151" s="6"/>
      <c r="C151" s="7"/>
      <c r="D151" s="9"/>
      <c r="E151" s="4"/>
      <c r="F151" s="9"/>
      <c r="G151" s="9"/>
      <c r="H151" s="6"/>
      <c r="I151" s="9"/>
      <c r="J151" s="9" t="s">
        <v>145</v>
      </c>
    </row>
    <row r="152" spans="1:10">
      <c r="A152" s="5"/>
      <c r="B152" s="6"/>
      <c r="C152" s="7"/>
      <c r="D152" s="9"/>
      <c r="E152" s="8"/>
      <c r="F152" s="9"/>
      <c r="G152" s="9"/>
      <c r="H152" s="6"/>
      <c r="I152" s="9"/>
      <c r="J152" s="9" t="s">
        <v>145</v>
      </c>
    </row>
    <row r="153" spans="1:10">
      <c r="A153" s="5"/>
      <c r="B153" s="6"/>
      <c r="C153" s="7"/>
      <c r="D153" s="9"/>
      <c r="E153" s="4"/>
      <c r="F153" s="9"/>
      <c r="G153" s="9"/>
      <c r="H153" s="6"/>
      <c r="I153" s="9"/>
      <c r="J153" s="9" t="s">
        <v>145</v>
      </c>
    </row>
    <row r="154" spans="1:10">
      <c r="A154" s="5"/>
      <c r="B154" s="6"/>
      <c r="C154" s="7"/>
      <c r="D154" s="9"/>
      <c r="E154" s="8"/>
      <c r="F154" s="9"/>
      <c r="G154" s="9"/>
      <c r="H154" s="6"/>
      <c r="I154" s="9"/>
      <c r="J154" s="9" t="s">
        <v>145</v>
      </c>
    </row>
    <row r="155" spans="1:10">
      <c r="A155" s="5"/>
      <c r="B155" s="6"/>
      <c r="C155" s="7"/>
      <c r="D155" s="9"/>
      <c r="E155" s="4"/>
      <c r="F155" s="9"/>
      <c r="G155" s="9"/>
      <c r="H155" s="6"/>
      <c r="I155" s="9"/>
      <c r="J155" s="9" t="s">
        <v>145</v>
      </c>
    </row>
    <row r="156" spans="1:10">
      <c r="A156" s="5"/>
      <c r="B156" s="6"/>
      <c r="C156" s="7"/>
      <c r="D156" s="9"/>
      <c r="E156" s="8"/>
      <c r="F156" s="9"/>
      <c r="G156" s="9"/>
      <c r="H156" s="6"/>
      <c r="I156" s="9"/>
      <c r="J156" s="9" t="s">
        <v>145</v>
      </c>
    </row>
    <row r="157" spans="1:10">
      <c r="A157" s="5"/>
      <c r="B157" s="6"/>
      <c r="C157" s="7"/>
      <c r="D157" s="9"/>
      <c r="E157" s="8"/>
      <c r="F157" s="9"/>
      <c r="G157" s="9"/>
      <c r="H157" s="6"/>
      <c r="I157" s="9"/>
      <c r="J157" s="9" t="s">
        <v>145</v>
      </c>
    </row>
    <row r="158" spans="1:10">
      <c r="A158" s="5"/>
      <c r="B158" s="6"/>
      <c r="C158" s="7"/>
      <c r="D158" s="9"/>
      <c r="E158" s="4"/>
      <c r="F158" s="9"/>
      <c r="G158" s="9"/>
      <c r="H158" s="6"/>
      <c r="I158" s="9"/>
      <c r="J158" s="9" t="s">
        <v>145</v>
      </c>
    </row>
    <row r="159" spans="1:10">
      <c r="A159" s="5"/>
      <c r="B159" s="6"/>
      <c r="C159" s="7"/>
      <c r="D159" s="9"/>
      <c r="E159" s="8"/>
      <c r="F159" s="9"/>
      <c r="G159" s="9"/>
      <c r="H159" s="6"/>
      <c r="I159" s="9"/>
      <c r="J159" s="9" t="s">
        <v>145</v>
      </c>
    </row>
    <row r="160" spans="1:10">
      <c r="A160" s="5"/>
      <c r="B160" s="6"/>
      <c r="C160" s="7"/>
      <c r="D160" s="9"/>
      <c r="E160" s="4"/>
      <c r="F160" s="9"/>
      <c r="G160" s="9"/>
      <c r="H160" s="6"/>
      <c r="I160" s="9"/>
      <c r="J160" s="9" t="s">
        <v>145</v>
      </c>
    </row>
    <row r="161" spans="1:10">
      <c r="A161" s="5"/>
      <c r="B161" s="6"/>
      <c r="C161" s="7"/>
      <c r="D161" s="9"/>
      <c r="E161" s="8"/>
      <c r="F161" s="9"/>
      <c r="G161" s="9"/>
      <c r="H161" s="6"/>
      <c r="I161" s="9"/>
      <c r="J161" s="9" t="s">
        <v>145</v>
      </c>
    </row>
    <row r="162" spans="1:10">
      <c r="A162" s="5"/>
      <c r="B162" s="6"/>
      <c r="C162" s="7"/>
      <c r="D162" s="9"/>
      <c r="E162" s="4"/>
      <c r="F162" s="9"/>
      <c r="G162" s="9"/>
      <c r="H162" s="6"/>
      <c r="I162" s="9"/>
      <c r="J162" s="9" t="s">
        <v>145</v>
      </c>
    </row>
    <row r="163" spans="1:10">
      <c r="A163" s="5"/>
      <c r="B163" s="6"/>
      <c r="C163" s="7"/>
      <c r="D163" s="9"/>
      <c r="E163" s="8"/>
      <c r="F163" s="9"/>
      <c r="G163" s="9"/>
      <c r="H163" s="6"/>
      <c r="I163" s="9"/>
      <c r="J163" s="9" t="s">
        <v>145</v>
      </c>
    </row>
    <row r="164" spans="1:10">
      <c r="A164" s="5"/>
      <c r="B164" s="6"/>
      <c r="C164" s="7"/>
      <c r="D164" s="9"/>
      <c r="E164" s="8"/>
      <c r="F164" s="9"/>
      <c r="G164" s="9"/>
      <c r="H164" s="6"/>
      <c r="I164" s="9"/>
      <c r="J164" s="9" t="s">
        <v>145</v>
      </c>
    </row>
    <row r="165" spans="1:10">
      <c r="A165" s="5"/>
      <c r="B165" s="6"/>
      <c r="C165" s="7"/>
      <c r="D165" s="9"/>
      <c r="E165" s="8"/>
      <c r="F165" s="9"/>
      <c r="G165" s="9"/>
      <c r="H165" s="6"/>
      <c r="I165" s="9"/>
      <c r="J165" s="9" t="s">
        <v>145</v>
      </c>
    </row>
    <row r="166" spans="1:10">
      <c r="A166" s="5"/>
      <c r="B166" s="6"/>
      <c r="C166" s="7"/>
      <c r="D166" s="9"/>
      <c r="E166" s="8"/>
      <c r="F166" s="9"/>
      <c r="G166" s="9"/>
      <c r="H166" s="6"/>
      <c r="I166" s="9"/>
      <c r="J166" s="9" t="s">
        <v>145</v>
      </c>
    </row>
    <row r="167" spans="1:10">
      <c r="A167" s="5"/>
      <c r="B167" s="6"/>
      <c r="C167" s="7"/>
      <c r="D167" s="9"/>
      <c r="E167" s="8"/>
      <c r="F167" s="9"/>
      <c r="G167" s="9"/>
      <c r="H167" s="6"/>
      <c r="I167" s="9"/>
      <c r="J167" s="9" t="s">
        <v>145</v>
      </c>
    </row>
    <row r="168" spans="1:10">
      <c r="A168" s="5"/>
      <c r="B168" s="6"/>
      <c r="C168" s="7"/>
      <c r="D168" s="9"/>
      <c r="E168" s="8"/>
      <c r="F168" s="9"/>
      <c r="G168" s="9"/>
      <c r="H168" s="6"/>
      <c r="I168" s="9"/>
      <c r="J168" s="9" t="s">
        <v>145</v>
      </c>
    </row>
    <row r="169" spans="1:10">
      <c r="A169" s="5"/>
      <c r="B169" s="6"/>
      <c r="C169" s="7"/>
      <c r="D169" s="9"/>
      <c r="E169" s="8"/>
      <c r="F169" s="9"/>
      <c r="G169" s="9"/>
      <c r="H169" s="6"/>
      <c r="I169" s="9"/>
      <c r="J169" s="9" t="s">
        <v>145</v>
      </c>
    </row>
    <row r="170" spans="1:10">
      <c r="A170" s="5"/>
      <c r="B170" s="6"/>
      <c r="C170" s="7"/>
      <c r="D170" s="9"/>
      <c r="E170" s="4"/>
      <c r="F170" s="9"/>
      <c r="G170" s="9"/>
      <c r="H170" s="6"/>
      <c r="I170" s="9"/>
      <c r="J170" s="9" t="s">
        <v>145</v>
      </c>
    </row>
    <row r="171" spans="1:10">
      <c r="A171" s="5"/>
      <c r="B171" s="6"/>
      <c r="C171" s="7"/>
      <c r="D171" s="9"/>
      <c r="E171" s="8"/>
      <c r="F171" s="9"/>
      <c r="G171" s="9"/>
      <c r="H171" s="6"/>
      <c r="I171" s="9"/>
      <c r="J171" s="9" t="s">
        <v>145</v>
      </c>
    </row>
    <row r="172" spans="1:10">
      <c r="A172" s="5"/>
      <c r="B172" s="6"/>
      <c r="C172" s="7"/>
      <c r="D172" s="9"/>
      <c r="E172" s="8"/>
      <c r="F172" s="9"/>
      <c r="G172" s="9"/>
      <c r="H172" s="6"/>
      <c r="I172" s="9"/>
      <c r="J172" s="9" t="s">
        <v>145</v>
      </c>
    </row>
    <row r="173" spans="1:10">
      <c r="A173" s="5"/>
      <c r="B173" s="6"/>
      <c r="C173" s="7"/>
      <c r="D173" s="9"/>
      <c r="E173" s="8"/>
      <c r="F173" s="9"/>
      <c r="G173" s="9"/>
      <c r="H173" s="6"/>
      <c r="I173" s="9"/>
      <c r="J173" s="9" t="s">
        <v>145</v>
      </c>
    </row>
    <row r="174" spans="1:10">
      <c r="A174" s="5"/>
      <c r="B174" s="6"/>
      <c r="C174" s="7"/>
      <c r="D174" s="9"/>
      <c r="E174" s="4"/>
      <c r="F174" s="9"/>
      <c r="G174" s="9"/>
      <c r="H174" s="6"/>
      <c r="I174" s="9"/>
      <c r="J174" s="9" t="s">
        <v>145</v>
      </c>
    </row>
    <row r="175" spans="1:10">
      <c r="A175" s="5"/>
      <c r="B175" s="6"/>
      <c r="C175" s="7"/>
      <c r="D175" s="9"/>
      <c r="E175" s="8"/>
      <c r="F175" s="9"/>
      <c r="G175" s="9"/>
      <c r="H175" s="6"/>
      <c r="I175" s="9"/>
      <c r="J175" s="9" t="s">
        <v>145</v>
      </c>
    </row>
    <row r="176" spans="1:10">
      <c r="A176" s="5"/>
      <c r="B176" s="6"/>
      <c r="C176" s="7"/>
      <c r="D176" s="9"/>
      <c r="E176" s="8"/>
      <c r="F176" s="9"/>
      <c r="G176" s="9"/>
      <c r="H176" s="6"/>
      <c r="I176" s="9"/>
      <c r="J176" s="9" t="s">
        <v>145</v>
      </c>
    </row>
    <row r="177" spans="1:10">
      <c r="A177" s="5"/>
      <c r="B177" s="6"/>
      <c r="C177" s="7"/>
      <c r="D177" s="9"/>
      <c r="E177" s="8"/>
      <c r="F177" s="9"/>
      <c r="G177" s="9"/>
      <c r="H177" s="6"/>
      <c r="I177" s="9"/>
      <c r="J177" s="9" t="s">
        <v>145</v>
      </c>
    </row>
    <row r="178" spans="1:10">
      <c r="A178" s="5"/>
      <c r="B178" s="6"/>
      <c r="C178" s="7"/>
      <c r="D178" s="9"/>
      <c r="E178" s="8"/>
      <c r="F178" s="9"/>
      <c r="G178" s="9"/>
      <c r="H178" s="6"/>
      <c r="I178" s="9"/>
      <c r="J178" s="9" t="s">
        <v>145</v>
      </c>
    </row>
    <row r="179" spans="1:10">
      <c r="A179" s="5"/>
      <c r="B179" s="6"/>
      <c r="C179" s="7"/>
      <c r="D179" s="9"/>
      <c r="E179" s="8"/>
      <c r="F179" s="9"/>
      <c r="G179" s="9"/>
      <c r="H179" s="6"/>
      <c r="I179" s="9"/>
      <c r="J179" s="9" t="s">
        <v>145</v>
      </c>
    </row>
    <row r="180" spans="1:10">
      <c r="A180" s="5"/>
      <c r="B180" s="6"/>
      <c r="C180" s="7"/>
      <c r="D180" s="9"/>
      <c r="E180" s="8"/>
      <c r="F180" s="9"/>
      <c r="G180" s="9"/>
      <c r="H180" s="6"/>
      <c r="I180" s="9"/>
      <c r="J180" s="9" t="s">
        <v>145</v>
      </c>
    </row>
    <row r="181" spans="1:10">
      <c r="A181" s="5"/>
      <c r="B181" s="6"/>
      <c r="C181" s="7"/>
      <c r="D181" s="9"/>
      <c r="E181" s="4"/>
      <c r="F181" s="9"/>
      <c r="G181" s="9"/>
      <c r="H181" s="6"/>
      <c r="I181" s="9"/>
      <c r="J181" s="9" t="s">
        <v>145</v>
      </c>
    </row>
    <row r="182" spans="1:10">
      <c r="A182" s="5"/>
      <c r="B182" s="6"/>
      <c r="C182" s="7"/>
      <c r="D182" s="9"/>
      <c r="E182" s="8"/>
      <c r="F182" s="9"/>
      <c r="G182" s="9"/>
      <c r="H182" s="6"/>
      <c r="I182" s="9"/>
      <c r="J182" s="9" t="s">
        <v>145</v>
      </c>
    </row>
    <row r="183" spans="1:10">
      <c r="A183" s="5"/>
      <c r="B183" s="6"/>
      <c r="C183" s="7"/>
      <c r="D183" s="9"/>
      <c r="E183" s="4"/>
      <c r="F183" s="9"/>
      <c r="G183" s="9"/>
      <c r="H183" s="6"/>
      <c r="I183" s="9"/>
      <c r="J183" s="9" t="s">
        <v>145</v>
      </c>
    </row>
    <row r="184" spans="1:10">
      <c r="A184" s="5"/>
      <c r="B184" s="6"/>
      <c r="C184" s="7"/>
      <c r="D184" s="9"/>
      <c r="E184" s="8"/>
      <c r="F184" s="9"/>
      <c r="G184" s="9"/>
      <c r="H184" s="6"/>
      <c r="I184" s="9"/>
      <c r="J184" s="9" t="s">
        <v>145</v>
      </c>
    </row>
    <row r="185" spans="1:10">
      <c r="A185" s="5"/>
      <c r="B185" s="6"/>
      <c r="C185" s="7"/>
      <c r="D185" s="9"/>
      <c r="E185" s="8"/>
      <c r="F185" s="9"/>
      <c r="G185" s="9"/>
      <c r="H185" s="6"/>
      <c r="I185" s="9"/>
      <c r="J185" s="9" t="s">
        <v>145</v>
      </c>
    </row>
    <row r="186" spans="1:10">
      <c r="A186" s="5"/>
      <c r="B186" s="6"/>
      <c r="C186" s="7"/>
      <c r="D186" s="9"/>
      <c r="E186" s="8"/>
      <c r="F186" s="9"/>
      <c r="G186" s="9"/>
      <c r="H186" s="6"/>
      <c r="I186" s="9"/>
      <c r="J186" s="9" t="s">
        <v>145</v>
      </c>
    </row>
    <row r="187" spans="1:10">
      <c r="A187" s="5"/>
      <c r="B187" s="6"/>
      <c r="C187" s="7"/>
      <c r="D187" s="9"/>
      <c r="E187" s="8"/>
      <c r="F187" s="9"/>
      <c r="G187" s="9"/>
      <c r="H187" s="6"/>
      <c r="I187" s="9"/>
      <c r="J187" s="9" t="s">
        <v>145</v>
      </c>
    </row>
    <row r="188" spans="1:10">
      <c r="A188" s="5"/>
      <c r="B188" s="6"/>
      <c r="C188" s="7"/>
      <c r="D188" s="9"/>
      <c r="E188" s="8"/>
      <c r="F188" s="9"/>
      <c r="G188" s="9"/>
      <c r="H188" s="6"/>
      <c r="I188" s="9"/>
      <c r="J188" s="9" t="s">
        <v>145</v>
      </c>
    </row>
    <row r="189" spans="1:10">
      <c r="A189" s="5"/>
      <c r="B189" s="6"/>
      <c r="C189" s="7"/>
      <c r="D189" s="9"/>
      <c r="E189" s="8"/>
      <c r="F189" s="9"/>
      <c r="G189" s="9"/>
      <c r="H189" s="6"/>
      <c r="I189" s="9"/>
      <c r="J189" s="9" t="s">
        <v>145</v>
      </c>
    </row>
    <row r="190" spans="1:10">
      <c r="A190" s="5"/>
      <c r="B190" s="6"/>
      <c r="C190" s="7"/>
      <c r="D190" s="9"/>
      <c r="E190" s="8"/>
      <c r="F190" s="9"/>
      <c r="G190" s="9"/>
      <c r="H190" s="6"/>
      <c r="I190" s="9"/>
      <c r="J190" s="9" t="s">
        <v>145</v>
      </c>
    </row>
    <row r="191" spans="1:10">
      <c r="A191" s="5"/>
      <c r="B191" s="6"/>
      <c r="C191" s="7"/>
      <c r="D191" s="9"/>
      <c r="E191" s="8"/>
      <c r="F191" s="9"/>
      <c r="G191" s="9"/>
      <c r="H191" s="6"/>
      <c r="I191" s="9"/>
      <c r="J191" s="9" t="s">
        <v>145</v>
      </c>
    </row>
    <row r="192" spans="1:10">
      <c r="A192" s="5"/>
      <c r="B192" s="6"/>
      <c r="C192" s="7"/>
      <c r="D192" s="9"/>
      <c r="E192" s="4"/>
      <c r="F192" s="9"/>
      <c r="G192" s="9"/>
      <c r="H192" s="6"/>
      <c r="I192" s="9"/>
      <c r="J192" s="9" t="s">
        <v>145</v>
      </c>
    </row>
    <row r="193" spans="1:10">
      <c r="A193" s="5"/>
      <c r="B193" s="6"/>
      <c r="C193" s="7"/>
      <c r="D193" s="9"/>
      <c r="E193" s="8"/>
      <c r="F193" s="9"/>
      <c r="G193" s="9"/>
      <c r="H193" s="6"/>
      <c r="I193" s="9"/>
      <c r="J193" s="9" t="s">
        <v>145</v>
      </c>
    </row>
    <row r="194" spans="1:10">
      <c r="A194" s="5"/>
      <c r="B194" s="6"/>
      <c r="C194" s="7"/>
      <c r="D194" s="9"/>
      <c r="E194" s="8"/>
      <c r="F194" s="9"/>
      <c r="G194" s="9"/>
      <c r="H194" s="6"/>
      <c r="I194" s="9"/>
      <c r="J194" s="9" t="s">
        <v>145</v>
      </c>
    </row>
    <row r="195" spans="1:10">
      <c r="A195" s="5"/>
      <c r="B195" s="6"/>
      <c r="C195" s="7"/>
      <c r="D195" s="9"/>
      <c r="E195" s="8"/>
      <c r="F195" s="9"/>
      <c r="G195" s="9"/>
      <c r="H195" s="6"/>
      <c r="I195" s="9"/>
      <c r="J195" s="9" t="s">
        <v>145</v>
      </c>
    </row>
    <row r="196" spans="1:10">
      <c r="A196" s="5"/>
      <c r="B196" s="6"/>
      <c r="C196" s="7"/>
      <c r="D196" s="9"/>
      <c r="E196" s="8"/>
      <c r="F196" s="9"/>
      <c r="G196" s="9"/>
      <c r="H196" s="6"/>
      <c r="I196" s="9"/>
      <c r="J196" s="9" t="s">
        <v>145</v>
      </c>
    </row>
    <row r="197" spans="1:10">
      <c r="A197" s="5"/>
      <c r="B197" s="6"/>
      <c r="C197" s="7"/>
      <c r="D197" s="9"/>
      <c r="E197" s="8"/>
      <c r="F197" s="9"/>
      <c r="G197" s="9"/>
      <c r="H197" s="6"/>
      <c r="I197" s="9"/>
      <c r="J197" s="9" t="s">
        <v>145</v>
      </c>
    </row>
    <row r="198" spans="1:10">
      <c r="A198" s="5"/>
      <c r="B198" s="6"/>
      <c r="C198" s="7"/>
      <c r="D198" s="9"/>
      <c r="E198" s="4"/>
      <c r="F198" s="9"/>
      <c r="G198" s="9"/>
      <c r="H198" s="6"/>
      <c r="I198" s="9"/>
      <c r="J198" s="9" t="s">
        <v>145</v>
      </c>
    </row>
    <row r="199" spans="1:10">
      <c r="A199" s="5"/>
      <c r="B199" s="6"/>
      <c r="C199" s="7"/>
      <c r="D199" s="9"/>
      <c r="E199" s="8"/>
      <c r="F199" s="9"/>
      <c r="G199" s="9"/>
      <c r="H199" s="6"/>
      <c r="I199" s="9"/>
      <c r="J199" s="9" t="s">
        <v>145</v>
      </c>
    </row>
    <row r="200" spans="1:10">
      <c r="A200" s="5"/>
      <c r="B200" s="6"/>
      <c r="C200" s="7"/>
      <c r="D200" s="9"/>
      <c r="E200" s="8"/>
      <c r="F200" s="9"/>
      <c r="G200" s="9"/>
      <c r="H200" s="6"/>
      <c r="I200" s="9"/>
      <c r="J200" s="9" t="s">
        <v>145</v>
      </c>
    </row>
    <row r="201" spans="1:10">
      <c r="A201" s="5"/>
      <c r="B201" s="6"/>
      <c r="C201" s="7"/>
      <c r="D201" s="9"/>
      <c r="E201" s="8"/>
      <c r="F201" s="9"/>
      <c r="G201" s="9"/>
      <c r="H201" s="6"/>
      <c r="I201" s="9"/>
      <c r="J201" s="9" t="s">
        <v>145</v>
      </c>
    </row>
    <row r="202" spans="1:10">
      <c r="A202" s="5"/>
      <c r="B202" s="6"/>
      <c r="C202" s="7"/>
      <c r="D202" s="9"/>
      <c r="E202" s="8"/>
      <c r="F202" s="9"/>
      <c r="G202" s="9"/>
      <c r="H202" s="6"/>
      <c r="I202" s="9"/>
      <c r="J202" s="9" t="s">
        <v>145</v>
      </c>
    </row>
    <row r="203" spans="1:10">
      <c r="A203" s="5"/>
      <c r="B203" s="6"/>
      <c r="C203" s="7"/>
      <c r="D203" s="9"/>
      <c r="E203" s="4"/>
      <c r="F203" s="9"/>
      <c r="G203" s="9"/>
      <c r="H203" s="6"/>
      <c r="I203" s="9"/>
      <c r="J203" s="9" t="s">
        <v>145</v>
      </c>
    </row>
    <row r="204" spans="1:10">
      <c r="A204" s="5"/>
      <c r="B204" s="6"/>
      <c r="C204" s="7"/>
      <c r="D204" s="9"/>
      <c r="E204" s="8"/>
      <c r="F204" s="9"/>
      <c r="G204" s="9"/>
      <c r="H204" s="6"/>
      <c r="I204" s="9"/>
      <c r="J204" s="9" t="s">
        <v>145</v>
      </c>
    </row>
    <row r="205" spans="1:10">
      <c r="A205" s="5"/>
      <c r="B205" s="6"/>
      <c r="C205" s="7"/>
      <c r="D205" s="9"/>
      <c r="E205" s="8"/>
      <c r="F205" s="9"/>
      <c r="G205" s="9"/>
      <c r="H205" s="6"/>
      <c r="I205" s="9"/>
      <c r="J205" s="9" t="s">
        <v>145</v>
      </c>
    </row>
    <row r="206" spans="1:10">
      <c r="A206" s="5"/>
      <c r="B206" s="6"/>
      <c r="C206" s="7"/>
      <c r="D206" s="9"/>
      <c r="E206" s="8"/>
      <c r="F206" s="9"/>
      <c r="G206" s="9"/>
      <c r="H206" s="6"/>
      <c r="I206" s="9"/>
      <c r="J206" s="9" t="s">
        <v>145</v>
      </c>
    </row>
    <row r="207" spans="1:10">
      <c r="A207" s="5"/>
      <c r="B207" s="6"/>
      <c r="C207" s="7"/>
      <c r="D207" s="9"/>
      <c r="E207" s="8"/>
      <c r="F207" s="9"/>
      <c r="G207" s="9"/>
      <c r="H207" s="6"/>
      <c r="I207" s="9"/>
      <c r="J207" s="9" t="s">
        <v>145</v>
      </c>
    </row>
    <row r="208" spans="1:10">
      <c r="A208" s="5"/>
      <c r="B208" s="6"/>
      <c r="C208" s="7"/>
      <c r="D208" s="9"/>
      <c r="E208" s="8"/>
      <c r="F208" s="9"/>
      <c r="G208" s="9"/>
      <c r="H208" s="6"/>
      <c r="I208" s="9"/>
      <c r="J208" s="9" t="s">
        <v>145</v>
      </c>
    </row>
    <row r="209" spans="1:10">
      <c r="A209" s="5"/>
      <c r="B209" s="6"/>
      <c r="C209" s="7"/>
      <c r="D209" s="9"/>
      <c r="E209" s="8"/>
      <c r="F209" s="9"/>
      <c r="G209" s="9"/>
      <c r="H209" s="6"/>
      <c r="I209" s="9"/>
      <c r="J209" s="9" t="s">
        <v>145</v>
      </c>
    </row>
    <row r="210" spans="1:10">
      <c r="A210" s="5"/>
      <c r="B210" s="6"/>
      <c r="C210" s="7"/>
      <c r="D210" s="9"/>
      <c r="E210" s="8"/>
      <c r="F210" s="9"/>
      <c r="G210" s="9"/>
      <c r="H210" s="6"/>
      <c r="I210" s="9"/>
      <c r="J210" s="9" t="s">
        <v>145</v>
      </c>
    </row>
    <row r="211" spans="1:10">
      <c r="A211" s="5"/>
      <c r="B211" s="6"/>
      <c r="C211" s="7"/>
      <c r="D211" s="9"/>
      <c r="E211" s="8"/>
      <c r="F211" s="9"/>
      <c r="G211" s="9"/>
      <c r="H211" s="6"/>
      <c r="I211" s="9"/>
      <c r="J211" s="9" t="s">
        <v>145</v>
      </c>
    </row>
    <row r="212" spans="1:10">
      <c r="A212" s="5"/>
      <c r="B212" s="6"/>
      <c r="C212" s="7"/>
      <c r="D212" s="9"/>
      <c r="E212" s="8"/>
      <c r="F212" s="9"/>
      <c r="G212" s="9"/>
      <c r="H212" s="6"/>
      <c r="I212" s="9"/>
      <c r="J212" s="9" t="s">
        <v>145</v>
      </c>
    </row>
    <row r="213" spans="1:10">
      <c r="A213" s="5"/>
      <c r="B213" s="6"/>
      <c r="C213" s="7"/>
      <c r="D213" s="9"/>
      <c r="E213" s="8"/>
      <c r="F213" s="9"/>
      <c r="G213" s="9"/>
      <c r="H213" s="6"/>
      <c r="I213" s="9"/>
      <c r="J213" s="9" t="s">
        <v>145</v>
      </c>
    </row>
    <row r="214" spans="1:10">
      <c r="A214" s="5"/>
      <c r="B214" s="6"/>
      <c r="C214" s="7"/>
      <c r="D214" s="9"/>
      <c r="E214" s="8"/>
      <c r="F214" s="9"/>
      <c r="G214" s="9"/>
      <c r="H214" s="6"/>
      <c r="I214" s="9"/>
      <c r="J214" s="9" t="s">
        <v>145</v>
      </c>
    </row>
    <row r="215" spans="1:10">
      <c r="A215" s="5"/>
      <c r="B215" s="6"/>
      <c r="C215" s="7"/>
      <c r="D215" s="9"/>
      <c r="E215" s="8"/>
      <c r="F215" s="9"/>
      <c r="G215" s="9"/>
      <c r="H215" s="6"/>
      <c r="I215" s="9"/>
      <c r="J215" s="9" t="s">
        <v>145</v>
      </c>
    </row>
    <row r="216" spans="1:10">
      <c r="A216" s="5"/>
      <c r="B216" s="6"/>
      <c r="C216" s="7"/>
      <c r="D216" s="9"/>
      <c r="E216" s="8"/>
      <c r="F216" s="9"/>
      <c r="G216" s="9"/>
      <c r="H216" s="6"/>
      <c r="I216" s="9"/>
      <c r="J216" s="9" t="s">
        <v>145</v>
      </c>
    </row>
    <row r="217" spans="1:10">
      <c r="A217" s="5"/>
      <c r="B217" s="6"/>
      <c r="C217" s="7"/>
      <c r="D217" s="9"/>
      <c r="E217" s="8"/>
      <c r="F217" s="9"/>
      <c r="G217" s="9"/>
      <c r="H217" s="6"/>
      <c r="I217" s="9"/>
      <c r="J217" s="9" t="s">
        <v>145</v>
      </c>
    </row>
    <row r="218" spans="1:10">
      <c r="A218" s="5"/>
      <c r="B218" s="6"/>
      <c r="C218" s="7"/>
      <c r="D218" s="9"/>
      <c r="E218" s="8"/>
      <c r="F218" s="9"/>
      <c r="G218" s="9"/>
      <c r="H218" s="6"/>
      <c r="I218" s="9"/>
      <c r="J218" s="9" t="s">
        <v>145</v>
      </c>
    </row>
    <row r="219" spans="1:10">
      <c r="A219" s="5"/>
      <c r="B219" s="6"/>
      <c r="C219" s="7"/>
      <c r="D219" s="9"/>
      <c r="E219" s="8"/>
      <c r="F219" s="9"/>
      <c r="G219" s="9"/>
      <c r="H219" s="6"/>
      <c r="I219" s="9"/>
      <c r="J219" s="9" t="s">
        <v>145</v>
      </c>
    </row>
    <row r="220" spans="1:10">
      <c r="A220" s="5"/>
      <c r="B220" s="6"/>
      <c r="C220" s="7"/>
      <c r="D220" s="9"/>
      <c r="E220" s="8"/>
      <c r="F220" s="9"/>
      <c r="G220" s="9"/>
      <c r="H220" s="6"/>
      <c r="I220" s="9"/>
      <c r="J220" s="9" t="s">
        <v>145</v>
      </c>
    </row>
    <row r="221" spans="1:10">
      <c r="A221" s="5"/>
      <c r="B221" s="6"/>
      <c r="C221" s="7"/>
      <c r="D221" s="9"/>
      <c r="E221" s="8"/>
      <c r="F221" s="9"/>
      <c r="G221" s="9"/>
      <c r="H221" s="6"/>
      <c r="I221" s="9"/>
      <c r="J221" s="9" t="s">
        <v>145</v>
      </c>
    </row>
    <row r="222" spans="1:10">
      <c r="A222" s="5"/>
      <c r="B222" s="6"/>
      <c r="C222" s="7"/>
      <c r="D222" s="9"/>
      <c r="E222" s="8"/>
      <c r="F222" s="9"/>
      <c r="G222" s="9"/>
      <c r="H222" s="6"/>
      <c r="I222" s="9"/>
      <c r="J222" s="9" t="s">
        <v>145</v>
      </c>
    </row>
    <row r="223" spans="1:10">
      <c r="A223" s="5"/>
      <c r="B223" s="6"/>
      <c r="C223" s="7"/>
      <c r="D223" s="9"/>
      <c r="E223" s="8"/>
      <c r="F223" s="9"/>
      <c r="G223" s="9"/>
      <c r="H223" s="6"/>
      <c r="I223" s="9"/>
      <c r="J223" s="9" t="s">
        <v>145</v>
      </c>
    </row>
    <row r="224" spans="1:10">
      <c r="A224" s="5"/>
      <c r="B224" s="6"/>
      <c r="C224" s="7"/>
      <c r="D224" s="9"/>
      <c r="E224" s="4"/>
      <c r="F224" s="9"/>
      <c r="G224" s="9"/>
      <c r="H224" s="6"/>
      <c r="I224" s="9"/>
      <c r="J224" s="9" t="s">
        <v>145</v>
      </c>
    </row>
    <row r="225" spans="1:10">
      <c r="A225" s="5"/>
      <c r="B225" s="6"/>
      <c r="C225" s="7"/>
      <c r="D225" s="9"/>
      <c r="E225" s="8"/>
      <c r="F225" s="9"/>
      <c r="G225" s="9"/>
      <c r="H225" s="6"/>
      <c r="I225" s="9"/>
      <c r="J225" s="9" t="s">
        <v>145</v>
      </c>
    </row>
    <row r="226" spans="1:10">
      <c r="A226" s="5"/>
      <c r="B226" s="6"/>
      <c r="C226" s="7"/>
      <c r="D226" s="9"/>
      <c r="E226" s="8"/>
      <c r="F226" s="9"/>
      <c r="G226" s="9"/>
      <c r="H226" s="6"/>
      <c r="I226" s="9"/>
      <c r="J226" s="9" t="s">
        <v>145</v>
      </c>
    </row>
    <row r="227" spans="1:10">
      <c r="A227" s="5"/>
      <c r="B227" s="6"/>
      <c r="C227" s="7"/>
      <c r="D227" s="9"/>
      <c r="E227" s="8"/>
      <c r="F227" s="9"/>
      <c r="G227" s="9"/>
      <c r="H227" s="6"/>
      <c r="I227" s="9"/>
      <c r="J227" s="9" t="s">
        <v>145</v>
      </c>
    </row>
    <row r="228" spans="1:10">
      <c r="A228" s="5"/>
      <c r="B228" s="6"/>
      <c r="C228" s="7"/>
      <c r="D228" s="9"/>
      <c r="E228" s="4"/>
      <c r="F228" s="9"/>
      <c r="G228" s="9"/>
      <c r="H228" s="6"/>
      <c r="I228" s="9"/>
      <c r="J228" s="9" t="s">
        <v>145</v>
      </c>
    </row>
    <row r="229" spans="1:10">
      <c r="A229" s="5"/>
      <c r="B229" s="6"/>
      <c r="C229" s="7"/>
      <c r="D229" s="9"/>
      <c r="E229" s="8"/>
      <c r="F229" s="9"/>
      <c r="G229" s="9"/>
      <c r="H229" s="6"/>
      <c r="I229" s="9"/>
      <c r="J229" s="9" t="s">
        <v>145</v>
      </c>
    </row>
    <row r="230" spans="1:10">
      <c r="A230" s="5"/>
      <c r="B230" s="6"/>
      <c r="C230" s="7"/>
      <c r="D230" s="9"/>
      <c r="E230" s="4"/>
      <c r="F230" s="9"/>
      <c r="G230" s="9"/>
      <c r="H230" s="6"/>
      <c r="I230" s="9"/>
      <c r="J230" s="9" t="s">
        <v>145</v>
      </c>
    </row>
    <row r="231" spans="1:10">
      <c r="A231" s="5"/>
      <c r="B231" s="6"/>
      <c r="C231" s="7"/>
      <c r="D231" s="9"/>
      <c r="E231" s="8"/>
      <c r="F231" s="9"/>
      <c r="G231" s="9"/>
      <c r="H231" s="6"/>
      <c r="I231" s="9"/>
      <c r="J231" s="9" t="s">
        <v>145</v>
      </c>
    </row>
    <row r="232" spans="1:10">
      <c r="A232" s="5"/>
      <c r="B232" s="6"/>
      <c r="C232" s="7"/>
      <c r="D232" s="9"/>
      <c r="E232" s="4"/>
      <c r="F232" s="9"/>
      <c r="G232" s="9"/>
      <c r="H232" s="6"/>
      <c r="I232" s="9"/>
      <c r="J232" s="9" t="s">
        <v>145</v>
      </c>
    </row>
    <row r="233" spans="1:10">
      <c r="A233" s="5"/>
      <c r="B233" s="6"/>
      <c r="C233" s="7"/>
      <c r="D233" s="9"/>
      <c r="E233" s="8"/>
      <c r="F233" s="9"/>
      <c r="G233" s="9"/>
      <c r="H233" s="6"/>
      <c r="I233" s="9"/>
      <c r="J233" s="9" t="s">
        <v>145</v>
      </c>
    </row>
    <row r="234" spans="1:10">
      <c r="A234" s="5"/>
      <c r="B234" s="6"/>
      <c r="C234" s="7"/>
      <c r="D234" s="9"/>
      <c r="E234" s="8"/>
      <c r="F234" s="9"/>
      <c r="G234" s="9"/>
      <c r="H234" s="6"/>
      <c r="I234" s="9"/>
      <c r="J234" s="9" t="s">
        <v>145</v>
      </c>
    </row>
    <row r="235" spans="1:10">
      <c r="A235" s="5"/>
      <c r="B235" s="6"/>
      <c r="C235" s="7"/>
      <c r="D235" s="9"/>
      <c r="E235" s="8"/>
      <c r="F235" s="9"/>
      <c r="G235" s="9"/>
      <c r="H235" s="6"/>
      <c r="I235" s="9"/>
      <c r="J235" s="9" t="s">
        <v>145</v>
      </c>
    </row>
    <row r="236" spans="1:10">
      <c r="A236" s="5"/>
      <c r="B236" s="6"/>
      <c r="C236" s="7"/>
      <c r="D236" s="9"/>
      <c r="E236" s="4"/>
      <c r="F236" s="9"/>
      <c r="G236" s="9"/>
      <c r="H236" s="6"/>
      <c r="I236" s="9"/>
      <c r="J236" s="9" t="s">
        <v>145</v>
      </c>
    </row>
    <row r="237" spans="1:10">
      <c r="A237" s="5"/>
      <c r="B237" s="6"/>
      <c r="C237" s="7"/>
      <c r="D237" s="9"/>
      <c r="E237" s="8"/>
      <c r="F237" s="9"/>
      <c r="G237" s="9"/>
      <c r="H237" s="6"/>
      <c r="I237" s="9"/>
      <c r="J237" s="9" t="s">
        <v>145</v>
      </c>
    </row>
    <row r="238" spans="1:10">
      <c r="A238" s="5"/>
      <c r="B238" s="6"/>
      <c r="C238" s="7"/>
      <c r="D238" s="9"/>
      <c r="E238" s="8"/>
      <c r="F238" s="9"/>
      <c r="G238" s="9"/>
      <c r="H238" s="6"/>
      <c r="I238" s="9"/>
      <c r="J238" s="9" t="s">
        <v>145</v>
      </c>
    </row>
    <row r="239" spans="1:10">
      <c r="A239" s="5"/>
      <c r="B239" s="6"/>
      <c r="C239" s="7"/>
      <c r="D239" s="9"/>
      <c r="E239" s="8"/>
      <c r="F239" s="9"/>
      <c r="G239" s="9"/>
      <c r="H239" s="6"/>
      <c r="I239" s="9"/>
      <c r="J239" s="9" t="s">
        <v>145</v>
      </c>
    </row>
    <row r="240" spans="1:10">
      <c r="A240" s="5"/>
      <c r="B240" s="6"/>
      <c r="C240" s="7"/>
      <c r="D240" s="9"/>
      <c r="E240" s="8"/>
      <c r="F240" s="9"/>
      <c r="G240" s="9"/>
      <c r="H240" s="6"/>
      <c r="I240" s="9"/>
      <c r="J240" s="9" t="s">
        <v>145</v>
      </c>
    </row>
    <row r="241" spans="1:10">
      <c r="A241" s="5"/>
      <c r="B241" s="6"/>
      <c r="C241" s="7"/>
      <c r="D241" s="9"/>
      <c r="E241" s="4"/>
      <c r="F241" s="9"/>
      <c r="G241" s="9"/>
      <c r="H241" s="6"/>
      <c r="I241" s="9"/>
      <c r="J241" s="9" t="s">
        <v>145</v>
      </c>
    </row>
    <row r="242" spans="1:10">
      <c r="A242" s="5"/>
      <c r="B242" s="6"/>
      <c r="C242" s="7"/>
      <c r="D242" s="9"/>
      <c r="E242" s="4"/>
      <c r="F242" s="9"/>
      <c r="G242" s="9"/>
      <c r="H242" s="6"/>
      <c r="I242" s="9"/>
      <c r="J242" s="9" t="s">
        <v>145</v>
      </c>
    </row>
    <row r="243" spans="1:10">
      <c r="A243" s="5"/>
      <c r="B243" s="6"/>
      <c r="C243" s="7"/>
      <c r="D243" s="9"/>
      <c r="E243" s="8"/>
      <c r="F243" s="9"/>
      <c r="G243" s="9"/>
      <c r="H243" s="6"/>
      <c r="I243" s="9"/>
      <c r="J243" s="9" t="s">
        <v>145</v>
      </c>
    </row>
    <row r="244" spans="1:10">
      <c r="A244" s="5"/>
      <c r="B244" s="6"/>
      <c r="C244" s="7"/>
      <c r="D244" s="9"/>
      <c r="E244" s="8"/>
      <c r="F244" s="9"/>
      <c r="G244" s="9"/>
      <c r="H244" s="6"/>
      <c r="I244" s="9"/>
      <c r="J244" s="9" t="s">
        <v>145</v>
      </c>
    </row>
    <row r="245" spans="1:10">
      <c r="A245" s="5"/>
      <c r="B245" s="6"/>
      <c r="C245" s="7"/>
      <c r="D245" s="9"/>
      <c r="E245" s="4"/>
      <c r="F245" s="9"/>
      <c r="G245" s="9"/>
      <c r="H245" s="6"/>
      <c r="I245" s="9"/>
      <c r="J245" s="9" t="s">
        <v>145</v>
      </c>
    </row>
    <row r="246" spans="1:10">
      <c r="A246" s="5"/>
      <c r="B246" s="6"/>
      <c r="C246" s="7"/>
      <c r="D246" s="9"/>
      <c r="E246" s="8"/>
      <c r="F246" s="9"/>
      <c r="G246" s="9"/>
      <c r="H246" s="6"/>
      <c r="I246" s="9"/>
      <c r="J246" s="9" t="s">
        <v>145</v>
      </c>
    </row>
    <row r="247" spans="1:10">
      <c r="A247" s="5"/>
      <c r="B247" s="6"/>
      <c r="C247" s="7"/>
      <c r="D247" s="9"/>
      <c r="E247" s="8"/>
      <c r="F247" s="9"/>
      <c r="G247" s="9"/>
      <c r="H247" s="6"/>
      <c r="I247" s="9"/>
      <c r="J247" s="9" t="s">
        <v>145</v>
      </c>
    </row>
    <row r="248" spans="1:10">
      <c r="A248" s="5"/>
      <c r="B248" s="6"/>
      <c r="C248" s="7"/>
      <c r="D248" s="9"/>
      <c r="E248" s="8"/>
      <c r="F248" s="9"/>
      <c r="G248" s="9"/>
      <c r="H248" s="6"/>
      <c r="I248" s="9"/>
      <c r="J248" s="9" t="s">
        <v>145</v>
      </c>
    </row>
    <row r="249" spans="1:10">
      <c r="A249" s="5"/>
      <c r="B249" s="6"/>
      <c r="C249" s="7"/>
      <c r="D249" s="9"/>
      <c r="E249" s="8"/>
      <c r="F249" s="9"/>
      <c r="G249" s="9"/>
      <c r="H249" s="6"/>
      <c r="I249" s="9"/>
      <c r="J249" s="9" t="s">
        <v>145</v>
      </c>
    </row>
    <row r="250" spans="1:10">
      <c r="A250" s="5"/>
      <c r="B250" s="6"/>
      <c r="C250" s="7"/>
      <c r="D250" s="9"/>
      <c r="E250" s="4"/>
      <c r="F250" s="9"/>
      <c r="G250" s="9"/>
      <c r="H250" s="6"/>
      <c r="I250" s="9"/>
      <c r="J250" s="9" t="s">
        <v>145</v>
      </c>
    </row>
    <row r="251" spans="1:10">
      <c r="A251" s="5"/>
      <c r="B251" s="6"/>
      <c r="C251" s="7"/>
      <c r="D251" s="9"/>
      <c r="E251" s="8"/>
      <c r="F251" s="9"/>
      <c r="G251" s="9"/>
      <c r="H251" s="6"/>
      <c r="I251" s="9"/>
      <c r="J251" s="9" t="s">
        <v>145</v>
      </c>
    </row>
    <row r="252" spans="1:10">
      <c r="A252" s="5"/>
      <c r="B252" s="6"/>
      <c r="C252" s="7"/>
      <c r="D252" s="9"/>
      <c r="E252" s="8"/>
      <c r="F252" s="9"/>
      <c r="G252" s="9"/>
      <c r="H252" s="6"/>
      <c r="I252" s="9"/>
      <c r="J252" s="9" t="s">
        <v>145</v>
      </c>
    </row>
    <row r="253" spans="1:10">
      <c r="A253" s="5"/>
      <c r="B253" s="6"/>
      <c r="C253" s="7"/>
      <c r="D253" s="9"/>
      <c r="E253" s="8"/>
      <c r="F253" s="9"/>
      <c r="G253" s="9"/>
      <c r="H253" s="6"/>
      <c r="I253" s="9"/>
      <c r="J253" s="9" t="s">
        <v>145</v>
      </c>
    </row>
    <row r="254" spans="1:10">
      <c r="A254" s="5"/>
      <c r="B254" s="6"/>
      <c r="C254" s="7"/>
      <c r="D254" s="9"/>
      <c r="E254" s="8"/>
      <c r="F254" s="9"/>
      <c r="G254" s="9"/>
      <c r="H254" s="6"/>
      <c r="I254" s="9"/>
      <c r="J254" s="9" t="s">
        <v>145</v>
      </c>
    </row>
    <row r="255" spans="1:10">
      <c r="A255" s="5"/>
      <c r="B255" s="6"/>
      <c r="C255" s="7"/>
      <c r="D255" s="9"/>
      <c r="E255" s="8"/>
      <c r="F255" s="9"/>
      <c r="G255" s="9"/>
      <c r="H255" s="6"/>
      <c r="I255" s="9"/>
      <c r="J255" s="9" t="s">
        <v>145</v>
      </c>
    </row>
    <row r="256" spans="1:10">
      <c r="A256" s="5"/>
      <c r="B256" s="6"/>
      <c r="C256" s="7"/>
      <c r="D256" s="9"/>
      <c r="E256" s="8"/>
      <c r="F256" s="9"/>
      <c r="G256" s="9"/>
      <c r="H256" s="6"/>
      <c r="I256" s="9"/>
      <c r="J256" s="9" t="s">
        <v>145</v>
      </c>
    </row>
    <row r="257" spans="1:10">
      <c r="A257" s="5"/>
      <c r="B257" s="6"/>
      <c r="C257" s="7"/>
      <c r="D257" s="9"/>
      <c r="E257" s="8"/>
      <c r="F257" s="9"/>
      <c r="G257" s="9"/>
      <c r="H257" s="6"/>
      <c r="I257" s="9"/>
      <c r="J257" s="9" t="s">
        <v>145</v>
      </c>
    </row>
    <row r="258" spans="1:10">
      <c r="A258" s="5"/>
      <c r="B258" s="6"/>
      <c r="C258" s="7"/>
      <c r="D258" s="9"/>
      <c r="E258" s="8"/>
      <c r="F258" s="9"/>
      <c r="G258" s="9"/>
      <c r="H258" s="6"/>
      <c r="I258" s="9"/>
      <c r="J258" s="9" t="s">
        <v>145</v>
      </c>
    </row>
    <row r="259" spans="1:10">
      <c r="A259" s="5"/>
      <c r="B259" s="6"/>
      <c r="C259" s="7"/>
      <c r="D259" s="9"/>
      <c r="E259" s="8"/>
      <c r="F259" s="9"/>
      <c r="G259" s="9"/>
      <c r="H259" s="6"/>
      <c r="I259" s="9"/>
      <c r="J259" s="9" t="s">
        <v>145</v>
      </c>
    </row>
    <row r="260" spans="1:10">
      <c r="A260" s="5"/>
      <c r="B260" s="6"/>
      <c r="C260" s="7"/>
      <c r="D260" s="9"/>
      <c r="E260" s="8"/>
      <c r="F260" s="9"/>
      <c r="G260" s="9"/>
      <c r="H260" s="6"/>
      <c r="I260" s="9"/>
      <c r="J260" s="9" t="s">
        <v>145</v>
      </c>
    </row>
    <row r="261" spans="1:10">
      <c r="A261" s="5"/>
      <c r="B261" s="6"/>
      <c r="C261" s="7"/>
      <c r="D261" s="9"/>
      <c r="E261" s="8"/>
      <c r="F261" s="9"/>
      <c r="G261" s="9"/>
      <c r="H261" s="6"/>
      <c r="I261" s="9"/>
      <c r="J261" s="9" t="s">
        <v>145</v>
      </c>
    </row>
    <row r="262" spans="1:10">
      <c r="A262" s="5"/>
      <c r="B262" s="6"/>
      <c r="C262" s="7"/>
      <c r="D262" s="9"/>
      <c r="E262" s="8"/>
      <c r="F262" s="9"/>
      <c r="G262" s="9"/>
      <c r="H262" s="6"/>
      <c r="I262" s="9"/>
      <c r="J262" s="9" t="s">
        <v>145</v>
      </c>
    </row>
    <row r="263" spans="1:10">
      <c r="A263" s="5"/>
      <c r="B263" s="6"/>
      <c r="C263" s="7"/>
      <c r="D263" s="9"/>
      <c r="E263" s="8"/>
      <c r="F263" s="9"/>
      <c r="G263" s="9"/>
      <c r="H263" s="6"/>
      <c r="I263" s="9"/>
      <c r="J263" s="9" t="s">
        <v>145</v>
      </c>
    </row>
    <row r="264" spans="1:10">
      <c r="A264" s="5"/>
      <c r="B264" s="6"/>
      <c r="C264" s="7"/>
      <c r="D264" s="9"/>
      <c r="E264" s="8"/>
      <c r="F264" s="9"/>
      <c r="G264" s="9"/>
      <c r="H264" s="6"/>
      <c r="I264" s="9"/>
      <c r="J264" s="9" t="s">
        <v>145</v>
      </c>
    </row>
    <row r="265" spans="1:10">
      <c r="A265" s="5"/>
      <c r="B265" s="6"/>
      <c r="C265" s="7"/>
      <c r="D265" s="9"/>
      <c r="E265" s="8"/>
      <c r="F265" s="9"/>
      <c r="G265" s="9"/>
      <c r="H265" s="6"/>
      <c r="I265" s="9"/>
      <c r="J265" s="9" t="s">
        <v>145</v>
      </c>
    </row>
    <row r="266" spans="1:10">
      <c r="A266" s="5"/>
      <c r="B266" s="6"/>
      <c r="C266" s="7"/>
      <c r="D266" s="9"/>
      <c r="E266" s="8"/>
      <c r="F266" s="9"/>
      <c r="G266" s="9"/>
      <c r="H266" s="6"/>
      <c r="I266" s="9"/>
      <c r="J266" s="9" t="s">
        <v>145</v>
      </c>
    </row>
    <row r="267" spans="1:10">
      <c r="A267" s="5"/>
      <c r="B267" s="6"/>
      <c r="C267" s="7"/>
      <c r="D267" s="9"/>
      <c r="E267" s="4"/>
      <c r="F267" s="9"/>
      <c r="G267" s="9"/>
      <c r="H267" s="6"/>
      <c r="I267" s="9"/>
      <c r="J267" s="9" t="s">
        <v>145</v>
      </c>
    </row>
    <row r="268" spans="1:10">
      <c r="A268" s="5"/>
      <c r="B268" s="6"/>
      <c r="C268" s="7"/>
      <c r="D268" s="9"/>
      <c r="E268" s="8"/>
      <c r="F268" s="9"/>
      <c r="G268" s="9"/>
      <c r="H268" s="6"/>
      <c r="I268" s="9"/>
      <c r="J268" s="9" t="s">
        <v>145</v>
      </c>
    </row>
    <row r="269" spans="1:10">
      <c r="A269" s="5"/>
      <c r="B269" s="6"/>
      <c r="C269" s="7"/>
      <c r="D269" s="9"/>
      <c r="E269" s="8"/>
      <c r="F269" s="9"/>
      <c r="G269" s="9"/>
      <c r="H269" s="6"/>
      <c r="I269" s="9"/>
      <c r="J269" s="9" t="s">
        <v>145</v>
      </c>
    </row>
    <row r="270" spans="1:10">
      <c r="A270" s="5"/>
      <c r="B270" s="6"/>
      <c r="C270" s="7"/>
      <c r="D270" s="9"/>
      <c r="E270" s="8"/>
      <c r="F270" s="9"/>
      <c r="G270" s="9"/>
      <c r="H270" s="6"/>
      <c r="I270" s="9"/>
      <c r="J270" s="9" t="s">
        <v>145</v>
      </c>
    </row>
    <row r="271" spans="1:10">
      <c r="A271" s="5"/>
      <c r="B271" s="6"/>
      <c r="C271" s="7"/>
      <c r="D271" s="9"/>
      <c r="E271" s="8"/>
      <c r="F271" s="9"/>
      <c r="G271" s="9"/>
      <c r="H271" s="6"/>
      <c r="I271" s="9"/>
      <c r="J271" s="9" t="s">
        <v>145</v>
      </c>
    </row>
    <row r="272" spans="1:10">
      <c r="A272" s="5"/>
      <c r="B272" s="6"/>
      <c r="C272" s="7"/>
      <c r="D272" s="9"/>
      <c r="E272" s="8"/>
      <c r="F272" s="9"/>
      <c r="G272" s="9"/>
      <c r="H272" s="6"/>
      <c r="I272" s="9"/>
      <c r="J272" s="9" t="s">
        <v>145</v>
      </c>
    </row>
    <row r="273" spans="1:10">
      <c r="A273" s="5"/>
      <c r="B273" s="6"/>
      <c r="C273" s="7"/>
      <c r="D273" s="9"/>
      <c r="E273" s="8"/>
      <c r="F273" s="9"/>
      <c r="G273" s="9"/>
      <c r="H273" s="6"/>
      <c r="I273" s="9"/>
      <c r="J273" s="9" t="s">
        <v>145</v>
      </c>
    </row>
    <row r="274" spans="1:10">
      <c r="A274" s="5"/>
      <c r="B274" s="6"/>
      <c r="C274" s="7"/>
      <c r="D274" s="9"/>
      <c r="E274" s="8"/>
      <c r="F274" s="9"/>
      <c r="G274" s="9"/>
      <c r="H274" s="6"/>
      <c r="I274" s="9"/>
      <c r="J274" s="9" t="s">
        <v>145</v>
      </c>
    </row>
    <row r="275" spans="1:10">
      <c r="A275" s="5"/>
      <c r="B275" s="6"/>
      <c r="C275" s="7"/>
      <c r="D275" s="9"/>
      <c r="E275" s="8"/>
      <c r="F275" s="9"/>
      <c r="G275" s="9"/>
      <c r="H275" s="6"/>
      <c r="I275" s="9"/>
      <c r="J275" s="9" t="s">
        <v>145</v>
      </c>
    </row>
    <row r="276" spans="1:10">
      <c r="A276" s="5"/>
      <c r="B276" s="6"/>
      <c r="C276" s="7"/>
      <c r="D276" s="9"/>
      <c r="E276" s="8"/>
      <c r="F276" s="9"/>
      <c r="G276" s="9"/>
      <c r="H276" s="6"/>
      <c r="I276" s="9"/>
      <c r="J276" s="9" t="s">
        <v>145</v>
      </c>
    </row>
    <row r="277" spans="1:10">
      <c r="A277" s="5"/>
      <c r="B277" s="6"/>
      <c r="C277" s="7"/>
      <c r="D277" s="9"/>
      <c r="E277" s="8"/>
      <c r="F277" s="9"/>
      <c r="G277" s="9"/>
      <c r="H277" s="6"/>
      <c r="I277" s="9"/>
      <c r="J277" s="9" t="s">
        <v>145</v>
      </c>
    </row>
    <row r="278" spans="1:10">
      <c r="A278" s="5"/>
      <c r="B278" s="6"/>
      <c r="C278" s="7"/>
      <c r="D278" s="9"/>
      <c r="E278" s="8"/>
      <c r="F278" s="9"/>
      <c r="G278" s="9"/>
      <c r="H278" s="6"/>
      <c r="I278" s="9"/>
      <c r="J278" s="9" t="s">
        <v>145</v>
      </c>
    </row>
    <row r="279" spans="1:10">
      <c r="A279" s="5"/>
      <c r="B279" s="6"/>
      <c r="C279" s="7"/>
      <c r="D279" s="9"/>
      <c r="E279" s="8"/>
      <c r="F279" s="9"/>
      <c r="G279" s="9"/>
      <c r="H279" s="6"/>
      <c r="I279" s="9"/>
      <c r="J279" s="9" t="s">
        <v>145</v>
      </c>
    </row>
    <row r="280" spans="1:10">
      <c r="A280" s="5"/>
      <c r="B280" s="6"/>
      <c r="C280" s="7"/>
      <c r="D280" s="9"/>
      <c r="E280" s="8"/>
      <c r="F280" s="9"/>
      <c r="G280" s="9"/>
      <c r="H280" s="6"/>
      <c r="I280" s="9"/>
      <c r="J280" s="9" t="s">
        <v>145</v>
      </c>
    </row>
    <row r="281" spans="1:10">
      <c r="A281" s="5"/>
      <c r="B281" s="6"/>
      <c r="C281" s="7"/>
      <c r="D281" s="9"/>
      <c r="E281" s="8"/>
      <c r="F281" s="9"/>
      <c r="G281" s="9"/>
      <c r="H281" s="6"/>
      <c r="I281" s="9"/>
      <c r="J281" s="9" t="s">
        <v>145</v>
      </c>
    </row>
    <row r="282" spans="1:10">
      <c r="A282" s="5"/>
      <c r="B282" s="6"/>
      <c r="C282" s="7"/>
      <c r="D282" s="9"/>
      <c r="E282" s="8"/>
      <c r="F282" s="9"/>
      <c r="G282" s="9"/>
      <c r="H282" s="6"/>
      <c r="I282" s="9"/>
      <c r="J282" s="9" t="s">
        <v>145</v>
      </c>
    </row>
    <row r="283" spans="1:10">
      <c r="A283" s="5"/>
      <c r="B283" s="6"/>
      <c r="C283" s="7"/>
      <c r="D283" s="9"/>
      <c r="E283" s="8"/>
      <c r="F283" s="9"/>
      <c r="G283" s="9"/>
      <c r="H283" s="6"/>
      <c r="I283" s="9"/>
      <c r="J283" s="9" t="s">
        <v>145</v>
      </c>
    </row>
    <row r="284" spans="1:10">
      <c r="A284" s="5"/>
      <c r="B284" s="6"/>
      <c r="C284" s="7"/>
      <c r="D284" s="9"/>
      <c r="E284" s="8"/>
      <c r="F284" s="9"/>
      <c r="G284" s="9"/>
      <c r="H284" s="6"/>
      <c r="I284" s="9"/>
      <c r="J284" s="9" t="s">
        <v>145</v>
      </c>
    </row>
    <row r="285" spans="1:10">
      <c r="A285" s="5"/>
      <c r="B285" s="6"/>
      <c r="C285" s="7"/>
      <c r="D285" s="9"/>
      <c r="E285" s="4"/>
      <c r="F285" s="9"/>
      <c r="G285" s="9"/>
      <c r="H285" s="6"/>
      <c r="I285" s="9"/>
      <c r="J285" s="9" t="s">
        <v>145</v>
      </c>
    </row>
    <row r="286" spans="1:10">
      <c r="A286" s="5"/>
      <c r="B286" s="6"/>
      <c r="C286" s="7"/>
      <c r="D286" s="9"/>
      <c r="E286" s="4"/>
      <c r="F286" s="9"/>
      <c r="G286" s="9"/>
      <c r="H286" s="6"/>
      <c r="I286" s="9"/>
      <c r="J286" s="9" t="s">
        <v>145</v>
      </c>
    </row>
    <row r="287" spans="1:10">
      <c r="A287" s="5"/>
      <c r="B287" s="6"/>
      <c r="C287" s="7"/>
      <c r="D287" s="9"/>
      <c r="E287" s="8"/>
      <c r="F287" s="9"/>
      <c r="G287" s="9"/>
      <c r="H287" s="6"/>
      <c r="I287" s="9"/>
      <c r="J287" s="9" t="s">
        <v>145</v>
      </c>
    </row>
    <row r="288" spans="1:10">
      <c r="A288" s="5"/>
      <c r="B288" s="6"/>
      <c r="C288" s="7"/>
      <c r="D288" s="9"/>
      <c r="E288" s="8"/>
      <c r="F288" s="9"/>
      <c r="G288" s="9"/>
      <c r="H288" s="6"/>
      <c r="I288" s="9"/>
      <c r="J288" s="9" t="s">
        <v>145</v>
      </c>
    </row>
    <row r="289" spans="1:10">
      <c r="A289" s="5"/>
      <c r="B289" s="6"/>
      <c r="C289" s="7"/>
      <c r="D289" s="9"/>
      <c r="E289" s="8"/>
      <c r="F289" s="9"/>
      <c r="G289" s="9"/>
      <c r="H289" s="6"/>
      <c r="I289" s="9"/>
      <c r="J289" s="9" t="s">
        <v>145</v>
      </c>
    </row>
    <row r="290" spans="1:10">
      <c r="A290" s="5"/>
      <c r="B290" s="6"/>
      <c r="C290" s="7"/>
      <c r="D290" s="9"/>
      <c r="E290" s="8"/>
      <c r="F290" s="9"/>
      <c r="G290" s="9"/>
      <c r="H290" s="6"/>
      <c r="I290" s="9"/>
      <c r="J290" s="9" t="s">
        <v>145</v>
      </c>
    </row>
    <row r="291" spans="1:10">
      <c r="A291" s="5"/>
      <c r="B291" s="6"/>
      <c r="C291" s="7"/>
      <c r="D291" s="9"/>
      <c r="E291" s="4"/>
      <c r="F291" s="9"/>
      <c r="G291" s="9"/>
      <c r="H291" s="6"/>
      <c r="I291" s="9"/>
      <c r="J291" s="9" t="s">
        <v>145</v>
      </c>
    </row>
    <row r="292" spans="1:10">
      <c r="A292" s="5"/>
      <c r="B292" s="6"/>
      <c r="C292" s="7"/>
      <c r="D292" s="9"/>
      <c r="E292" s="8"/>
      <c r="F292" s="9"/>
      <c r="G292" s="9"/>
      <c r="H292" s="6"/>
      <c r="I292" s="9"/>
      <c r="J292" s="9" t="s">
        <v>145</v>
      </c>
    </row>
    <row r="293" spans="1:10">
      <c r="A293" s="5"/>
      <c r="B293" s="6"/>
      <c r="C293" s="7"/>
      <c r="D293" s="9"/>
      <c r="E293" s="8"/>
      <c r="F293" s="9"/>
      <c r="G293" s="9"/>
      <c r="H293" s="6"/>
      <c r="I293" s="9"/>
      <c r="J293" s="9" t="s">
        <v>145</v>
      </c>
    </row>
    <row r="294" spans="1:10">
      <c r="A294" s="5"/>
      <c r="B294" s="6"/>
      <c r="C294" s="7"/>
      <c r="D294" s="9"/>
      <c r="E294" s="4"/>
      <c r="F294" s="9"/>
      <c r="G294" s="9"/>
      <c r="H294" s="6"/>
      <c r="I294" s="9"/>
      <c r="J294" s="9" t="s">
        <v>145</v>
      </c>
    </row>
    <row r="295" spans="1:10">
      <c r="A295" s="5"/>
      <c r="B295" s="6"/>
      <c r="C295" s="7"/>
      <c r="D295" s="9"/>
      <c r="E295" s="8"/>
      <c r="F295" s="9"/>
      <c r="G295" s="9"/>
      <c r="H295" s="6"/>
      <c r="I295" s="9"/>
      <c r="J295" s="9" t="s">
        <v>145</v>
      </c>
    </row>
    <row r="296" spans="1:10">
      <c r="A296" s="5"/>
      <c r="B296" s="6"/>
      <c r="C296" s="7"/>
      <c r="D296" s="9"/>
      <c r="E296" s="8"/>
      <c r="F296" s="9"/>
      <c r="G296" s="9"/>
      <c r="H296" s="6"/>
      <c r="I296" s="9"/>
      <c r="J296" s="9" t="s">
        <v>145</v>
      </c>
    </row>
    <row r="297" spans="1:10">
      <c r="A297" s="5"/>
      <c r="B297" s="6"/>
      <c r="C297" s="7"/>
      <c r="D297" s="9"/>
      <c r="E297" s="8"/>
      <c r="F297" s="9"/>
      <c r="G297" s="9"/>
      <c r="H297" s="6"/>
      <c r="I297" s="9"/>
      <c r="J297" s="9" t="s">
        <v>145</v>
      </c>
    </row>
    <row r="298" spans="1:10">
      <c r="A298" s="5"/>
      <c r="B298" s="6"/>
      <c r="C298" s="7"/>
      <c r="D298" s="9"/>
      <c r="E298" s="8"/>
      <c r="F298" s="9"/>
      <c r="G298" s="9"/>
      <c r="H298" s="6"/>
      <c r="I298" s="9"/>
      <c r="J298" s="9" t="s">
        <v>145</v>
      </c>
    </row>
    <row r="299" spans="1:10">
      <c r="A299" s="5"/>
      <c r="B299" s="6"/>
      <c r="C299" s="7"/>
      <c r="D299" s="9"/>
      <c r="E299" s="8"/>
      <c r="F299" s="9"/>
      <c r="G299" s="9"/>
      <c r="H299" s="6"/>
      <c r="I299" s="9"/>
      <c r="J299" s="9" t="s">
        <v>145</v>
      </c>
    </row>
    <row r="300" spans="1:10">
      <c r="A300" s="5"/>
      <c r="B300" s="6"/>
      <c r="C300" s="7"/>
      <c r="D300" s="9"/>
      <c r="E300" s="8"/>
      <c r="F300" s="9"/>
      <c r="G300" s="9"/>
      <c r="H300" s="6"/>
      <c r="I300" s="9"/>
      <c r="J300" s="9" t="s">
        <v>145</v>
      </c>
    </row>
    <row r="301" spans="1:10">
      <c r="A301" s="5"/>
      <c r="B301" s="6"/>
      <c r="C301" s="7"/>
      <c r="D301" s="9"/>
      <c r="E301" s="8"/>
      <c r="F301" s="9"/>
      <c r="G301" s="9"/>
      <c r="H301" s="6"/>
      <c r="I301" s="9"/>
      <c r="J301" s="9" t="s">
        <v>145</v>
      </c>
    </row>
    <row r="302" spans="1:10">
      <c r="A302" s="5"/>
      <c r="B302" s="6"/>
      <c r="C302" s="7"/>
      <c r="D302" s="9"/>
      <c r="E302" s="8"/>
      <c r="F302" s="9"/>
      <c r="G302" s="9"/>
      <c r="H302" s="6"/>
      <c r="I302" s="9"/>
      <c r="J302" s="9" t="s">
        <v>145</v>
      </c>
    </row>
    <row r="303" spans="1:10">
      <c r="A303" s="5"/>
      <c r="B303" s="6"/>
      <c r="C303" s="7"/>
      <c r="D303" s="9"/>
      <c r="E303" s="8"/>
      <c r="F303" s="9"/>
      <c r="G303" s="9"/>
      <c r="H303" s="6"/>
      <c r="I303" s="9"/>
      <c r="J303" s="9" t="s">
        <v>145</v>
      </c>
    </row>
    <row r="304" spans="1:10">
      <c r="A304" s="5"/>
      <c r="B304" s="6"/>
      <c r="C304" s="7"/>
      <c r="D304" s="9"/>
      <c r="E304" s="4"/>
      <c r="F304" s="9"/>
      <c r="G304" s="9"/>
      <c r="H304" s="6"/>
      <c r="I304" s="9"/>
      <c r="J304" s="9" t="s">
        <v>145</v>
      </c>
    </row>
    <row r="305" spans="1:10">
      <c r="A305" s="5"/>
      <c r="B305" s="6"/>
      <c r="C305" s="7"/>
      <c r="D305" s="9"/>
      <c r="E305" s="8"/>
      <c r="F305" s="9"/>
      <c r="G305" s="9"/>
      <c r="H305" s="6"/>
      <c r="I305" s="9"/>
      <c r="J305" s="9" t="s">
        <v>145</v>
      </c>
    </row>
    <row r="306" spans="1:10">
      <c r="A306" s="5"/>
      <c r="B306" s="6"/>
      <c r="C306" s="7"/>
      <c r="D306" s="9"/>
      <c r="E306" s="4"/>
      <c r="F306" s="9"/>
      <c r="G306" s="9"/>
      <c r="H306" s="6"/>
      <c r="I306" s="9"/>
      <c r="J306" s="9" t="s">
        <v>145</v>
      </c>
    </row>
    <row r="307" spans="1:10">
      <c r="A307" s="5"/>
      <c r="B307" s="6"/>
      <c r="C307" s="7"/>
      <c r="D307" s="9"/>
      <c r="E307" s="8"/>
      <c r="F307" s="9"/>
      <c r="G307" s="9"/>
      <c r="H307" s="6"/>
      <c r="I307" s="9"/>
      <c r="J307" s="9" t="s">
        <v>145</v>
      </c>
    </row>
    <row r="308" spans="1:10">
      <c r="A308" s="5"/>
      <c r="B308" s="6"/>
      <c r="C308" s="7"/>
      <c r="D308" s="9"/>
      <c r="E308" s="8"/>
      <c r="F308" s="9"/>
      <c r="G308" s="9"/>
      <c r="H308" s="6"/>
      <c r="I308" s="9"/>
      <c r="J308" s="9" t="s">
        <v>145</v>
      </c>
    </row>
    <row r="309" spans="1:10">
      <c r="A309" s="5"/>
      <c r="B309" s="6"/>
      <c r="C309" s="7"/>
      <c r="D309" s="9"/>
      <c r="E309" s="8"/>
      <c r="F309" s="9"/>
      <c r="G309" s="9"/>
      <c r="H309" s="6"/>
      <c r="I309" s="9"/>
      <c r="J309" s="9" t="s">
        <v>145</v>
      </c>
    </row>
    <row r="310" spans="1:10">
      <c r="A310" s="5"/>
      <c r="B310" s="6"/>
      <c r="C310" s="7"/>
      <c r="D310" s="9"/>
      <c r="E310" s="8"/>
      <c r="F310" s="9"/>
      <c r="G310" s="9"/>
      <c r="H310" s="6"/>
      <c r="I310" s="9"/>
      <c r="J310" s="9" t="s">
        <v>145</v>
      </c>
    </row>
    <row r="311" spans="1:10">
      <c r="A311" s="5"/>
      <c r="B311" s="6"/>
      <c r="C311" s="7"/>
      <c r="D311" s="9"/>
      <c r="E311" s="8"/>
      <c r="F311" s="9"/>
      <c r="G311" s="9"/>
      <c r="H311" s="6"/>
      <c r="I311" s="9"/>
      <c r="J311" s="9" t="s">
        <v>145</v>
      </c>
    </row>
    <row r="312" spans="1:10">
      <c r="A312" s="5"/>
      <c r="B312" s="6"/>
      <c r="C312" s="7"/>
      <c r="D312" s="9"/>
      <c r="E312" s="8"/>
      <c r="F312" s="9"/>
      <c r="G312" s="9"/>
      <c r="H312" s="6"/>
      <c r="I312" s="9"/>
      <c r="J312" s="9" t="s">
        <v>145</v>
      </c>
    </row>
    <row r="313" spans="1:10">
      <c r="A313" s="5"/>
      <c r="B313" s="6"/>
      <c r="C313" s="7"/>
      <c r="D313" s="9"/>
      <c r="E313" s="8"/>
      <c r="F313" s="9"/>
      <c r="G313" s="9"/>
      <c r="H313" s="6"/>
      <c r="I313" s="9"/>
      <c r="J313" s="9" t="s">
        <v>145</v>
      </c>
    </row>
    <row r="314" spans="1:10">
      <c r="A314" s="5"/>
      <c r="B314" s="6"/>
      <c r="C314" s="7"/>
      <c r="D314" s="9"/>
      <c r="E314" s="8"/>
      <c r="F314" s="9"/>
      <c r="G314" s="9"/>
      <c r="H314" s="6"/>
      <c r="I314" s="9"/>
      <c r="J314" s="9" t="s">
        <v>145</v>
      </c>
    </row>
    <row r="315" spans="1:10">
      <c r="A315" s="5"/>
      <c r="B315" s="6"/>
      <c r="C315" s="7"/>
      <c r="D315" s="9"/>
      <c r="E315" s="8"/>
      <c r="F315" s="9"/>
      <c r="G315" s="9"/>
      <c r="H315" s="6"/>
      <c r="I315" s="9"/>
      <c r="J315" s="9" t="s">
        <v>145</v>
      </c>
    </row>
    <row r="316" spans="1:10">
      <c r="A316" s="5"/>
      <c r="B316" s="6"/>
      <c r="C316" s="7"/>
      <c r="D316" s="9"/>
      <c r="E316" s="4"/>
      <c r="F316" s="9"/>
      <c r="G316" s="9"/>
      <c r="H316" s="6"/>
      <c r="I316" s="9"/>
      <c r="J316" s="9" t="s">
        <v>145</v>
      </c>
    </row>
    <row r="317" spans="1:10">
      <c r="A317" s="5"/>
      <c r="B317" s="6"/>
      <c r="C317" s="7"/>
      <c r="D317" s="9"/>
      <c r="E317" s="8"/>
      <c r="F317" s="9"/>
      <c r="G317" s="9"/>
      <c r="H317" s="6"/>
      <c r="I317" s="9"/>
      <c r="J317" s="9" t="s">
        <v>145</v>
      </c>
    </row>
    <row r="318" spans="1:10">
      <c r="A318" s="5"/>
      <c r="B318" s="6"/>
      <c r="C318" s="7"/>
      <c r="D318" s="9"/>
      <c r="E318" s="8"/>
      <c r="F318" s="9"/>
      <c r="G318" s="9"/>
      <c r="H318" s="6"/>
      <c r="I318" s="9"/>
      <c r="J318" s="9" t="s">
        <v>145</v>
      </c>
    </row>
    <row r="319" spans="1:10">
      <c r="A319" s="5"/>
      <c r="B319" s="6"/>
      <c r="C319" s="7"/>
      <c r="D319" s="9"/>
      <c r="E319" s="8"/>
      <c r="F319" s="9"/>
      <c r="G319" s="9"/>
      <c r="H319" s="6"/>
      <c r="I319" s="9"/>
      <c r="J319" s="9" t="s">
        <v>145</v>
      </c>
    </row>
    <row r="320" spans="1:10">
      <c r="A320" s="5"/>
      <c r="B320" s="6"/>
      <c r="C320" s="7"/>
      <c r="D320" s="9"/>
      <c r="E320" s="8"/>
      <c r="F320" s="9"/>
      <c r="G320" s="9"/>
      <c r="H320" s="6"/>
      <c r="I320" s="9"/>
      <c r="J320" s="9" t="s">
        <v>145</v>
      </c>
    </row>
    <row r="321" spans="1:10">
      <c r="A321" s="5"/>
      <c r="B321" s="6"/>
      <c r="C321" s="7"/>
      <c r="D321" s="9"/>
      <c r="E321" s="8"/>
      <c r="F321" s="9"/>
      <c r="G321" s="9"/>
      <c r="H321" s="6"/>
      <c r="I321" s="9"/>
      <c r="J321" s="9" t="s">
        <v>145</v>
      </c>
    </row>
    <row r="322" spans="1:10">
      <c r="A322" s="5"/>
      <c r="B322" s="6"/>
      <c r="C322" s="7"/>
      <c r="D322" s="9"/>
      <c r="E322" s="4"/>
      <c r="F322" s="9"/>
      <c r="G322" s="9"/>
      <c r="H322" s="6"/>
      <c r="I322" s="9"/>
      <c r="J322" s="9" t="s">
        <v>145</v>
      </c>
    </row>
    <row r="323" spans="1:10">
      <c r="A323" s="5"/>
      <c r="B323" s="6"/>
      <c r="C323" s="7"/>
      <c r="D323" s="9"/>
      <c r="E323" s="8"/>
      <c r="F323" s="9"/>
      <c r="G323" s="9"/>
      <c r="H323" s="6"/>
      <c r="I323" s="9"/>
      <c r="J323" s="9" t="s">
        <v>145</v>
      </c>
    </row>
    <row r="324" spans="1:10">
      <c r="A324" s="5"/>
      <c r="B324" s="6"/>
      <c r="C324" s="7"/>
      <c r="D324" s="9"/>
      <c r="E324" s="8"/>
      <c r="F324" s="9"/>
      <c r="G324" s="9"/>
      <c r="H324" s="6"/>
      <c r="I324" s="9"/>
      <c r="J324" s="9" t="s">
        <v>145</v>
      </c>
    </row>
    <row r="325" spans="1:10">
      <c r="A325" s="5"/>
      <c r="B325" s="6"/>
      <c r="C325" s="7"/>
      <c r="D325" s="9"/>
      <c r="E325" s="8"/>
      <c r="F325" s="9"/>
      <c r="G325" s="9"/>
      <c r="H325" s="6"/>
      <c r="I325" s="9"/>
      <c r="J325" s="9" t="s">
        <v>145</v>
      </c>
    </row>
    <row r="326" spans="1:10">
      <c r="A326" s="5"/>
      <c r="B326" s="6"/>
      <c r="C326" s="7"/>
      <c r="D326" s="9"/>
      <c r="E326" s="4"/>
      <c r="F326" s="9"/>
      <c r="G326" s="9"/>
      <c r="H326" s="6"/>
      <c r="I326" s="9"/>
      <c r="J326" s="9" t="s">
        <v>145</v>
      </c>
    </row>
    <row r="327" spans="1:10">
      <c r="A327" s="5"/>
      <c r="B327" s="6"/>
      <c r="C327" s="7"/>
      <c r="D327" s="9"/>
      <c r="E327" s="8"/>
      <c r="F327" s="9"/>
      <c r="G327" s="9"/>
      <c r="H327" s="6"/>
      <c r="I327" s="9"/>
      <c r="J327" s="9" t="s">
        <v>145</v>
      </c>
    </row>
    <row r="328" spans="1:10">
      <c r="A328" s="5"/>
      <c r="B328" s="6"/>
      <c r="C328" s="7"/>
      <c r="D328" s="9"/>
      <c r="E328" s="8"/>
      <c r="F328" s="9"/>
      <c r="G328" s="9"/>
      <c r="H328" s="6"/>
      <c r="I328" s="9"/>
      <c r="J328" s="9" t="s">
        <v>145</v>
      </c>
    </row>
    <row r="329" spans="1:10">
      <c r="A329" s="5"/>
      <c r="B329" s="6"/>
      <c r="C329" s="7"/>
      <c r="D329" s="9"/>
      <c r="E329" s="8"/>
      <c r="F329" s="9"/>
      <c r="G329" s="9"/>
      <c r="H329" s="6"/>
      <c r="I329" s="9"/>
      <c r="J329" s="9" t="s">
        <v>145</v>
      </c>
    </row>
    <row r="330" spans="1:10">
      <c r="A330" s="5"/>
      <c r="B330" s="6"/>
      <c r="C330" s="7"/>
      <c r="D330" s="9"/>
      <c r="E330" s="8"/>
      <c r="F330" s="9"/>
      <c r="G330" s="9"/>
      <c r="H330" s="6"/>
      <c r="I330" s="9"/>
      <c r="J330" s="9" t="s">
        <v>145</v>
      </c>
    </row>
    <row r="331" spans="1:10">
      <c r="A331" s="5"/>
      <c r="B331" s="6"/>
      <c r="C331" s="7"/>
      <c r="D331" s="9"/>
      <c r="E331" s="8"/>
      <c r="F331" s="9"/>
      <c r="G331" s="9"/>
      <c r="H331" s="6"/>
      <c r="I331" s="9"/>
      <c r="J331" s="9" t="s">
        <v>145</v>
      </c>
    </row>
    <row r="332" spans="1:10">
      <c r="A332" s="5"/>
      <c r="B332" s="6"/>
      <c r="C332" s="7"/>
      <c r="D332" s="9"/>
      <c r="E332" s="8"/>
      <c r="F332" s="9"/>
      <c r="G332" s="9"/>
      <c r="H332" s="6"/>
      <c r="I332" s="9"/>
      <c r="J332" s="9" t="s">
        <v>145</v>
      </c>
    </row>
    <row r="333" spans="1:10">
      <c r="A333" s="5"/>
      <c r="B333" s="6"/>
      <c r="C333" s="7"/>
      <c r="D333" s="9"/>
      <c r="E333" s="8"/>
      <c r="F333" s="9"/>
      <c r="G333" s="9"/>
      <c r="H333" s="6"/>
      <c r="I333" s="9"/>
      <c r="J333" s="9" t="s">
        <v>145</v>
      </c>
    </row>
    <row r="334" spans="1:10">
      <c r="A334" s="5"/>
      <c r="B334" s="6"/>
      <c r="C334" s="7"/>
      <c r="D334" s="9"/>
      <c r="E334" s="8"/>
      <c r="F334" s="9"/>
      <c r="G334" s="9"/>
      <c r="H334" s="6"/>
      <c r="I334" s="9"/>
      <c r="J334" s="9" t="s">
        <v>145</v>
      </c>
    </row>
    <row r="335" spans="1:10">
      <c r="A335" s="5"/>
      <c r="B335" s="6"/>
      <c r="C335" s="7"/>
      <c r="D335" s="9"/>
      <c r="E335" s="8"/>
      <c r="F335" s="9"/>
      <c r="G335" s="9"/>
      <c r="H335" s="6"/>
      <c r="I335" s="9"/>
      <c r="J335" s="9" t="s">
        <v>145</v>
      </c>
    </row>
    <row r="336" spans="1:10">
      <c r="A336" s="5"/>
      <c r="B336" s="6"/>
      <c r="C336" s="7"/>
      <c r="D336" s="9"/>
      <c r="E336" s="8"/>
      <c r="F336" s="9"/>
      <c r="G336" s="9"/>
      <c r="H336" s="6"/>
      <c r="I336" s="9"/>
      <c r="J336" s="9" t="s">
        <v>145</v>
      </c>
    </row>
    <row r="337" spans="1:10">
      <c r="A337" s="5"/>
      <c r="B337" s="6"/>
      <c r="C337" s="7"/>
      <c r="D337" s="9"/>
      <c r="E337" s="8"/>
      <c r="F337" s="9"/>
      <c r="G337" s="9"/>
      <c r="H337" s="6"/>
      <c r="I337" s="9"/>
      <c r="J337" s="9" t="s">
        <v>145</v>
      </c>
    </row>
    <row r="338" spans="1:10">
      <c r="A338" s="5"/>
      <c r="B338" s="6"/>
      <c r="C338" s="7"/>
      <c r="D338" s="9"/>
      <c r="E338" s="8"/>
      <c r="F338" s="9"/>
      <c r="G338" s="9"/>
      <c r="H338" s="6"/>
      <c r="I338" s="9"/>
      <c r="J338" s="9" t="s">
        <v>145</v>
      </c>
    </row>
    <row r="339" spans="1:10">
      <c r="A339" s="5"/>
      <c r="B339" s="6"/>
      <c r="C339" s="7"/>
      <c r="D339" s="9"/>
      <c r="E339" s="8"/>
      <c r="F339" s="9"/>
      <c r="G339" s="9"/>
      <c r="H339" s="6"/>
      <c r="I339" s="9"/>
      <c r="J339" s="9" t="s">
        <v>145</v>
      </c>
    </row>
    <row r="340" spans="1:10">
      <c r="A340" s="5"/>
      <c r="B340" s="6"/>
      <c r="C340" s="7"/>
      <c r="D340" s="9"/>
      <c r="E340" s="8"/>
      <c r="F340" s="9"/>
      <c r="G340" s="9"/>
      <c r="H340" s="6"/>
      <c r="I340" s="9"/>
      <c r="J340" s="9" t="s">
        <v>145</v>
      </c>
    </row>
    <row r="341" spans="1:10">
      <c r="A341" s="5"/>
      <c r="B341" s="6"/>
      <c r="C341" s="7"/>
      <c r="D341" s="9"/>
      <c r="E341" s="8"/>
      <c r="F341" s="9"/>
      <c r="G341" s="9"/>
      <c r="H341" s="6"/>
      <c r="I341" s="9"/>
      <c r="J341" s="9" t="s">
        <v>145</v>
      </c>
    </row>
    <row r="342" spans="1:10">
      <c r="A342" s="5"/>
      <c r="B342" s="6"/>
      <c r="C342" s="7"/>
      <c r="D342" s="9"/>
      <c r="E342" s="8"/>
      <c r="F342" s="9"/>
      <c r="G342" s="9"/>
      <c r="H342" s="6"/>
      <c r="I342" s="9"/>
      <c r="J342" s="9" t="s">
        <v>145</v>
      </c>
    </row>
    <row r="343" spans="1:10">
      <c r="A343" s="5"/>
      <c r="B343" s="6"/>
      <c r="C343" s="7"/>
      <c r="D343" s="9"/>
      <c r="E343" s="8"/>
      <c r="F343" s="9"/>
      <c r="G343" s="9"/>
      <c r="H343" s="6"/>
      <c r="I343" s="9"/>
      <c r="J343" s="9" t="s">
        <v>145</v>
      </c>
    </row>
    <row r="344" spans="1:10">
      <c r="A344" s="5"/>
      <c r="B344" s="6"/>
      <c r="C344" s="7"/>
      <c r="D344" s="9"/>
      <c r="E344" s="4"/>
      <c r="F344" s="9"/>
      <c r="G344" s="9"/>
      <c r="H344" s="6"/>
      <c r="I344" s="9"/>
      <c r="J344" s="9" t="s">
        <v>145</v>
      </c>
    </row>
    <row r="345" spans="1:10">
      <c r="A345" s="5"/>
      <c r="B345" s="6"/>
      <c r="C345" s="7"/>
      <c r="D345" s="9"/>
      <c r="E345" s="4"/>
      <c r="F345" s="9"/>
      <c r="G345" s="9"/>
      <c r="H345" s="6"/>
      <c r="I345" s="9"/>
      <c r="J345" s="9" t="s">
        <v>145</v>
      </c>
    </row>
    <row r="346" spans="1:10">
      <c r="A346" s="5"/>
      <c r="B346" s="6"/>
      <c r="C346" s="7"/>
      <c r="D346" s="9"/>
      <c r="E346" s="8"/>
      <c r="F346" s="9"/>
      <c r="G346" s="9"/>
      <c r="H346" s="6"/>
      <c r="I346" s="9"/>
      <c r="J346" s="9" t="s">
        <v>145</v>
      </c>
    </row>
    <row r="347" spans="1:10">
      <c r="A347" s="5"/>
      <c r="B347" s="6"/>
      <c r="C347" s="7"/>
      <c r="D347" s="9"/>
      <c r="E347" s="8"/>
      <c r="F347" s="9"/>
      <c r="G347" s="9"/>
      <c r="H347" s="6"/>
      <c r="I347" s="9"/>
      <c r="J347" s="9" t="s">
        <v>145</v>
      </c>
    </row>
    <row r="348" spans="1:10">
      <c r="A348" s="5"/>
      <c r="B348" s="6"/>
      <c r="C348" s="7"/>
      <c r="D348" s="9"/>
      <c r="E348" s="8"/>
      <c r="F348" s="9"/>
      <c r="G348" s="9"/>
      <c r="H348" s="6"/>
      <c r="I348" s="9"/>
      <c r="J348" s="9" t="s">
        <v>145</v>
      </c>
    </row>
    <row r="349" spans="1:10">
      <c r="A349" s="5"/>
      <c r="B349" s="6"/>
      <c r="C349" s="7"/>
      <c r="D349" s="9"/>
      <c r="E349" s="4"/>
      <c r="F349" s="9"/>
      <c r="G349" s="9"/>
      <c r="H349" s="6"/>
      <c r="I349" s="9"/>
      <c r="J349" s="9" t="s">
        <v>145</v>
      </c>
    </row>
    <row r="350" spans="1:10">
      <c r="A350" s="5"/>
      <c r="B350" s="6"/>
      <c r="C350" s="7"/>
      <c r="D350" s="9"/>
      <c r="E350" s="8"/>
      <c r="F350" s="9"/>
      <c r="G350" s="9"/>
      <c r="H350" s="6"/>
      <c r="I350" s="9"/>
      <c r="J350" s="9" t="s">
        <v>145</v>
      </c>
    </row>
    <row r="351" spans="1:10">
      <c r="A351" s="5"/>
      <c r="B351" s="6"/>
      <c r="C351" s="7"/>
      <c r="D351" s="9"/>
      <c r="E351" s="4"/>
      <c r="F351" s="9"/>
      <c r="G351" s="9"/>
      <c r="H351" s="6"/>
      <c r="I351" s="9"/>
      <c r="J351" s="9" t="s">
        <v>145</v>
      </c>
    </row>
    <row r="352" spans="1:10">
      <c r="A352" s="5"/>
      <c r="B352" s="6"/>
      <c r="C352" s="7"/>
      <c r="D352" s="9"/>
      <c r="E352" s="8"/>
      <c r="F352" s="9"/>
      <c r="G352" s="9"/>
      <c r="H352" s="6"/>
      <c r="I352" s="9"/>
      <c r="J352" s="9" t="s">
        <v>145</v>
      </c>
    </row>
    <row r="353" spans="1:10">
      <c r="A353" s="5"/>
      <c r="B353" s="6"/>
      <c r="C353" s="7"/>
      <c r="D353" s="9"/>
      <c r="E353" s="4"/>
      <c r="F353" s="9"/>
      <c r="G353" s="9"/>
      <c r="H353" s="6"/>
      <c r="I353" s="9"/>
      <c r="J353" s="9" t="s">
        <v>145</v>
      </c>
    </row>
    <row r="354" spans="1:10">
      <c r="A354" s="5"/>
      <c r="B354" s="6"/>
      <c r="C354" s="7"/>
      <c r="D354" s="9"/>
      <c r="E354" s="8"/>
      <c r="F354" s="9"/>
      <c r="G354" s="9"/>
      <c r="H354" s="6"/>
      <c r="I354" s="9"/>
      <c r="J354" s="9" t="s">
        <v>145</v>
      </c>
    </row>
    <row r="355" spans="1:10">
      <c r="A355" s="5"/>
      <c r="B355" s="6"/>
      <c r="C355" s="7"/>
      <c r="D355" s="9"/>
      <c r="E355" s="8"/>
      <c r="F355" s="9"/>
      <c r="G355" s="9"/>
      <c r="H355" s="6"/>
      <c r="I355" s="9"/>
      <c r="J355" s="9" t="s">
        <v>145</v>
      </c>
    </row>
    <row r="356" spans="1:10">
      <c r="A356" s="5"/>
      <c r="B356" s="6"/>
      <c r="C356" s="7"/>
      <c r="D356" s="9"/>
      <c r="E356" s="8"/>
      <c r="F356" s="9"/>
      <c r="G356" s="9"/>
      <c r="H356" s="6"/>
      <c r="I356" s="9"/>
      <c r="J356" s="9" t="s">
        <v>145</v>
      </c>
    </row>
    <row r="357" spans="1:10">
      <c r="A357" s="5"/>
      <c r="B357" s="6"/>
      <c r="C357" s="7"/>
      <c r="D357" s="9"/>
      <c r="E357" s="8"/>
      <c r="F357" s="9"/>
      <c r="G357" s="9"/>
      <c r="H357" s="6"/>
      <c r="I357" s="9"/>
      <c r="J357" s="9" t="s">
        <v>145</v>
      </c>
    </row>
    <row r="358" spans="1:10">
      <c r="A358" s="5"/>
      <c r="B358" s="6"/>
      <c r="C358" s="7"/>
      <c r="D358" s="9"/>
      <c r="E358" s="8"/>
      <c r="F358" s="9"/>
      <c r="G358" s="9"/>
      <c r="H358" s="6"/>
      <c r="I358" s="9"/>
      <c r="J358" s="9" t="s">
        <v>145</v>
      </c>
    </row>
    <row r="359" spans="1:10">
      <c r="A359" s="5"/>
      <c r="B359" s="6"/>
      <c r="C359" s="7"/>
      <c r="D359" s="9"/>
      <c r="E359" s="4"/>
      <c r="F359" s="9"/>
      <c r="G359" s="9"/>
      <c r="H359" s="6"/>
      <c r="I359" s="9"/>
      <c r="J359" s="9" t="s">
        <v>145</v>
      </c>
    </row>
    <row r="360" spans="1:10">
      <c r="A360" s="5"/>
      <c r="B360" s="6"/>
      <c r="C360" s="7"/>
      <c r="D360" s="9"/>
      <c r="E360" s="8"/>
      <c r="F360" s="9"/>
      <c r="G360" s="9"/>
      <c r="H360" s="6"/>
      <c r="I360" s="9"/>
      <c r="J360" s="9" t="s">
        <v>145</v>
      </c>
    </row>
    <row r="361" spans="1:10">
      <c r="A361" s="5"/>
      <c r="B361" s="6"/>
      <c r="C361" s="7"/>
      <c r="D361" s="9"/>
      <c r="E361" s="8"/>
      <c r="F361" s="9"/>
      <c r="G361" s="9"/>
      <c r="H361" s="6"/>
      <c r="I361" s="9"/>
      <c r="J361" s="9" t="s">
        <v>145</v>
      </c>
    </row>
    <row r="362" spans="1:10">
      <c r="A362" s="5"/>
      <c r="B362" s="6"/>
      <c r="C362" s="7"/>
      <c r="D362" s="9"/>
      <c r="E362" s="8"/>
      <c r="F362" s="9"/>
      <c r="G362" s="9"/>
      <c r="H362" s="6"/>
      <c r="I362" s="9"/>
      <c r="J362" s="9" t="s">
        <v>145</v>
      </c>
    </row>
    <row r="363" spans="1:10">
      <c r="A363" s="5"/>
      <c r="B363" s="6"/>
      <c r="C363" s="7"/>
      <c r="D363" s="9"/>
      <c r="E363" s="8"/>
      <c r="F363" s="9"/>
      <c r="G363" s="9"/>
      <c r="H363" s="6"/>
      <c r="I363" s="9"/>
      <c r="J363" s="9" t="s">
        <v>145</v>
      </c>
    </row>
    <row r="364" spans="1:10">
      <c r="A364" s="5"/>
      <c r="B364" s="6"/>
      <c r="C364" s="7"/>
      <c r="D364" s="9"/>
      <c r="E364" s="8"/>
      <c r="F364" s="9"/>
      <c r="G364" s="9"/>
      <c r="H364" s="6"/>
      <c r="I364" s="9"/>
      <c r="J364" s="9" t="s">
        <v>145</v>
      </c>
    </row>
    <row r="365" spans="1:10">
      <c r="A365" s="5"/>
      <c r="B365" s="6"/>
      <c r="C365" s="7"/>
      <c r="D365" s="9"/>
      <c r="E365" s="8"/>
      <c r="F365" s="9"/>
      <c r="G365" s="9"/>
      <c r="H365" s="6"/>
      <c r="I365" s="9"/>
      <c r="J365" s="9" t="s">
        <v>145</v>
      </c>
    </row>
    <row r="366" spans="1:10">
      <c r="A366" s="5"/>
      <c r="B366" s="6"/>
      <c r="C366" s="7"/>
      <c r="D366" s="9"/>
      <c r="E366" s="8"/>
      <c r="F366" s="9"/>
      <c r="G366" s="9"/>
      <c r="H366" s="6"/>
      <c r="I366" s="9"/>
      <c r="J366" s="9" t="s">
        <v>145</v>
      </c>
    </row>
    <row r="367" spans="1:10">
      <c r="A367" s="5"/>
      <c r="B367" s="6"/>
      <c r="C367" s="7"/>
      <c r="D367" s="9"/>
      <c r="E367" s="8"/>
      <c r="F367" s="9"/>
      <c r="G367" s="9"/>
      <c r="H367" s="6"/>
      <c r="I367" s="9"/>
      <c r="J367" s="9" t="s">
        <v>145</v>
      </c>
    </row>
    <row r="368" spans="1:10">
      <c r="A368" s="5"/>
      <c r="B368" s="6"/>
      <c r="C368" s="7"/>
      <c r="D368" s="9"/>
      <c r="E368" s="4"/>
      <c r="F368" s="9"/>
      <c r="G368" s="9"/>
      <c r="H368" s="6"/>
      <c r="I368" s="9"/>
      <c r="J368" s="9" t="s">
        <v>145</v>
      </c>
    </row>
    <row r="369" spans="1:10">
      <c r="A369" s="5"/>
      <c r="B369" s="6"/>
      <c r="C369" s="7"/>
      <c r="D369" s="9"/>
      <c r="E369" s="8"/>
      <c r="F369" s="9"/>
      <c r="G369" s="9"/>
      <c r="H369" s="6"/>
      <c r="I369" s="9"/>
      <c r="J369" s="9" t="s">
        <v>145</v>
      </c>
    </row>
    <row r="370" spans="1:10">
      <c r="A370" s="5"/>
      <c r="B370" s="6"/>
      <c r="C370" s="7"/>
      <c r="D370" s="9"/>
      <c r="E370" s="8"/>
      <c r="F370" s="9"/>
      <c r="G370" s="9"/>
      <c r="H370" s="6"/>
      <c r="I370" s="9"/>
      <c r="J370" s="9" t="s">
        <v>145</v>
      </c>
    </row>
    <row r="371" spans="1:10">
      <c r="A371" s="5"/>
      <c r="B371" s="6"/>
      <c r="C371" s="7"/>
      <c r="D371" s="9"/>
      <c r="E371" s="8"/>
      <c r="F371" s="9"/>
      <c r="G371" s="9"/>
      <c r="H371" s="6"/>
      <c r="I371" s="9"/>
      <c r="J371" s="9" t="s">
        <v>145</v>
      </c>
    </row>
    <row r="372" spans="1:10">
      <c r="A372" s="5"/>
      <c r="B372" s="6"/>
      <c r="C372" s="7"/>
      <c r="D372" s="9"/>
      <c r="E372" s="8"/>
      <c r="F372" s="9"/>
      <c r="G372" s="9"/>
      <c r="H372" s="6"/>
      <c r="I372" s="9"/>
      <c r="J372" s="9" t="s">
        <v>145</v>
      </c>
    </row>
    <row r="373" spans="1:10">
      <c r="A373" s="5"/>
      <c r="B373" s="6"/>
      <c r="C373" s="7"/>
      <c r="D373" s="9"/>
      <c r="E373" s="8"/>
      <c r="F373" s="9"/>
      <c r="G373" s="9"/>
      <c r="H373" s="6"/>
      <c r="I373" s="9"/>
      <c r="J373" s="9" t="s">
        <v>145</v>
      </c>
    </row>
    <row r="374" spans="1:10">
      <c r="A374" s="5"/>
      <c r="B374" s="6"/>
      <c r="C374" s="7"/>
      <c r="D374" s="9"/>
      <c r="E374" s="8"/>
      <c r="F374" s="9"/>
      <c r="G374" s="9"/>
      <c r="H374" s="6"/>
      <c r="I374" s="9"/>
      <c r="J374" s="9" t="s">
        <v>145</v>
      </c>
    </row>
    <row r="375" spans="1:10">
      <c r="A375" s="5"/>
      <c r="B375" s="6"/>
      <c r="C375" s="7"/>
      <c r="D375" s="9"/>
      <c r="E375" s="8"/>
      <c r="F375" s="9"/>
      <c r="G375" s="9"/>
      <c r="H375" s="6"/>
      <c r="I375" s="9"/>
      <c r="J375" s="9" t="s">
        <v>145</v>
      </c>
    </row>
    <row r="376" spans="1:10">
      <c r="A376" s="5"/>
      <c r="B376" s="6"/>
      <c r="C376" s="7"/>
      <c r="D376" s="9"/>
      <c r="E376" s="4"/>
      <c r="F376" s="9"/>
      <c r="G376" s="9"/>
      <c r="H376" s="6"/>
      <c r="I376" s="9"/>
      <c r="J376" s="9" t="s">
        <v>145</v>
      </c>
    </row>
    <row r="377" spans="1:10">
      <c r="A377" s="5"/>
      <c r="B377" s="6"/>
      <c r="C377" s="7"/>
      <c r="D377" s="9"/>
      <c r="E377" s="8"/>
      <c r="F377" s="9"/>
      <c r="G377" s="9"/>
      <c r="H377" s="6"/>
      <c r="I377" s="9"/>
      <c r="J377" s="9" t="s">
        <v>145</v>
      </c>
    </row>
    <row r="378" spans="1:10">
      <c r="A378" s="5"/>
      <c r="B378" s="6"/>
      <c r="C378" s="7"/>
      <c r="D378" s="9"/>
      <c r="E378" s="8"/>
      <c r="F378" s="9"/>
      <c r="G378" s="9"/>
      <c r="H378" s="6"/>
      <c r="I378" s="9"/>
      <c r="J378" s="9" t="s">
        <v>145</v>
      </c>
    </row>
    <row r="379" spans="1:10">
      <c r="A379" s="5"/>
      <c r="B379" s="6"/>
      <c r="C379" s="7"/>
      <c r="D379" s="9"/>
      <c r="E379" s="8"/>
      <c r="F379" s="9"/>
      <c r="G379" s="9"/>
      <c r="H379" s="6"/>
      <c r="I379" s="9"/>
      <c r="J379" s="9" t="s">
        <v>145</v>
      </c>
    </row>
    <row r="380" spans="1:10">
      <c r="A380" s="5"/>
      <c r="B380" s="6"/>
      <c r="C380" s="7"/>
      <c r="D380" s="9"/>
      <c r="E380" s="8"/>
      <c r="F380" s="9"/>
      <c r="G380" s="9"/>
      <c r="H380" s="6"/>
      <c r="I380" s="9"/>
      <c r="J380" s="9" t="s">
        <v>145</v>
      </c>
    </row>
    <row r="381" spans="1:10">
      <c r="A381" s="5"/>
      <c r="B381" s="6"/>
      <c r="C381" s="7"/>
      <c r="D381" s="9"/>
      <c r="E381" s="8"/>
      <c r="F381" s="9"/>
      <c r="G381" s="9"/>
      <c r="H381" s="6"/>
      <c r="I381" s="9"/>
      <c r="J381" s="9" t="s">
        <v>145</v>
      </c>
    </row>
    <row r="382" spans="1:10">
      <c r="A382" s="5"/>
      <c r="B382" s="6"/>
      <c r="C382" s="7"/>
      <c r="D382" s="9"/>
      <c r="E382" s="8"/>
      <c r="F382" s="9"/>
      <c r="G382" s="9"/>
      <c r="H382" s="6"/>
      <c r="I382" s="9"/>
      <c r="J382" s="9" t="s">
        <v>145</v>
      </c>
    </row>
    <row r="383" spans="1:10">
      <c r="A383" s="5"/>
      <c r="B383" s="6"/>
      <c r="C383" s="7"/>
      <c r="D383" s="9"/>
      <c r="E383" s="8"/>
      <c r="F383" s="9"/>
      <c r="G383" s="9"/>
      <c r="H383" s="6"/>
      <c r="I383" s="9"/>
      <c r="J383" s="9" t="s">
        <v>145</v>
      </c>
    </row>
    <row r="384" spans="1:10">
      <c r="A384" s="5"/>
      <c r="B384" s="6"/>
      <c r="C384" s="7"/>
      <c r="D384" s="9"/>
      <c r="E384" s="8"/>
      <c r="F384" s="9"/>
      <c r="G384" s="9"/>
      <c r="H384" s="6"/>
      <c r="I384" s="9"/>
      <c r="J384" s="9" t="s">
        <v>145</v>
      </c>
    </row>
    <row r="385" spans="1:10">
      <c r="A385" s="5"/>
      <c r="B385" s="6"/>
      <c r="C385" s="7"/>
      <c r="D385" s="9"/>
      <c r="E385" s="8"/>
      <c r="F385" s="9"/>
      <c r="G385" s="9"/>
      <c r="H385" s="6"/>
      <c r="I385" s="9"/>
      <c r="J385" s="9" t="s">
        <v>145</v>
      </c>
    </row>
    <row r="386" spans="1:10">
      <c r="A386" s="5"/>
      <c r="B386" s="6"/>
      <c r="C386" s="7"/>
      <c r="D386" s="9"/>
      <c r="E386" s="8"/>
      <c r="F386" s="9"/>
      <c r="G386" s="9"/>
      <c r="H386" s="6"/>
      <c r="I386" s="9"/>
      <c r="J386" s="9" t="s">
        <v>145</v>
      </c>
    </row>
    <row r="387" spans="1:10">
      <c r="A387" s="5"/>
      <c r="B387" s="6"/>
      <c r="C387" s="7"/>
      <c r="D387" s="9"/>
      <c r="E387" s="8"/>
      <c r="F387" s="9"/>
      <c r="G387" s="9"/>
      <c r="H387" s="6"/>
      <c r="I387" s="9"/>
      <c r="J387" s="9" t="s">
        <v>145</v>
      </c>
    </row>
    <row r="388" spans="1:10">
      <c r="A388" s="5"/>
      <c r="B388" s="6"/>
      <c r="C388" s="7"/>
      <c r="D388" s="9"/>
      <c r="E388" s="8"/>
      <c r="F388" s="9"/>
      <c r="G388" s="9"/>
      <c r="H388" s="6"/>
      <c r="I388" s="9"/>
      <c r="J388" s="9" t="s">
        <v>145</v>
      </c>
    </row>
    <row r="389" spans="1:10">
      <c r="A389" s="5"/>
      <c r="B389" s="6"/>
      <c r="C389" s="7"/>
      <c r="D389" s="9"/>
      <c r="E389" s="4"/>
      <c r="F389" s="9"/>
      <c r="G389" s="9"/>
      <c r="H389" s="6"/>
      <c r="I389" s="9"/>
      <c r="J389" s="9" t="s">
        <v>145</v>
      </c>
    </row>
    <row r="390" spans="1:10">
      <c r="A390" s="5"/>
      <c r="B390" s="6"/>
      <c r="C390" s="7"/>
      <c r="D390" s="9"/>
      <c r="E390" s="8"/>
      <c r="F390" s="9"/>
      <c r="G390" s="9"/>
      <c r="H390" s="6"/>
      <c r="I390" s="9"/>
      <c r="J390" s="9" t="s">
        <v>145</v>
      </c>
    </row>
    <row r="391" spans="1:10">
      <c r="A391" s="5"/>
      <c r="B391" s="6"/>
      <c r="C391" s="7"/>
      <c r="D391" s="9"/>
      <c r="E391" s="8"/>
      <c r="F391" s="9"/>
      <c r="G391" s="9"/>
      <c r="H391" s="6"/>
      <c r="I391" s="9"/>
      <c r="J391" s="9" t="s">
        <v>145</v>
      </c>
    </row>
    <row r="392" spans="1:10">
      <c r="A392" s="5"/>
      <c r="B392" s="6"/>
      <c r="C392" s="7"/>
      <c r="D392" s="9"/>
      <c r="E392" s="8"/>
      <c r="F392" s="9"/>
      <c r="G392" s="9"/>
      <c r="H392" s="6"/>
      <c r="I392" s="9"/>
      <c r="J392" s="9" t="s">
        <v>145</v>
      </c>
    </row>
    <row r="393" spans="1:10">
      <c r="A393" s="5"/>
      <c r="B393" s="6"/>
      <c r="C393" s="7"/>
      <c r="D393" s="9"/>
      <c r="E393" s="8"/>
      <c r="F393" s="9"/>
      <c r="G393" s="9"/>
      <c r="H393" s="6"/>
      <c r="I393" s="9"/>
      <c r="J393" s="9" t="s">
        <v>145</v>
      </c>
    </row>
    <row r="394" spans="1:10">
      <c r="A394" s="5"/>
      <c r="B394" s="6"/>
      <c r="C394" s="7"/>
      <c r="D394" s="9"/>
      <c r="E394" s="8"/>
      <c r="F394" s="9"/>
      <c r="G394" s="9"/>
      <c r="H394" s="6"/>
      <c r="I394" s="9"/>
      <c r="J394" s="9" t="s">
        <v>145</v>
      </c>
    </row>
    <row r="395" spans="1:10">
      <c r="A395" s="5"/>
      <c r="B395" s="6"/>
      <c r="C395" s="7"/>
      <c r="D395" s="9"/>
      <c r="E395" s="8"/>
      <c r="F395" s="9"/>
      <c r="G395" s="9"/>
      <c r="H395" s="6"/>
      <c r="I395" s="9"/>
      <c r="J395" s="9" t="s">
        <v>145</v>
      </c>
    </row>
    <row r="396" spans="1:10">
      <c r="A396" s="5"/>
      <c r="B396" s="6"/>
      <c r="C396" s="7"/>
      <c r="D396" s="9"/>
      <c r="E396" s="8"/>
      <c r="F396" s="9"/>
      <c r="G396" s="9"/>
      <c r="H396" s="6"/>
      <c r="I396" s="9"/>
      <c r="J396" s="9" t="s">
        <v>145</v>
      </c>
    </row>
    <row r="397" spans="1:10">
      <c r="A397" s="5"/>
      <c r="B397" s="6"/>
      <c r="C397" s="7"/>
      <c r="D397" s="9"/>
      <c r="E397" s="8"/>
      <c r="F397" s="9"/>
      <c r="G397" s="9"/>
      <c r="H397" s="6"/>
      <c r="I397" s="9"/>
      <c r="J397" s="9" t="s">
        <v>145</v>
      </c>
    </row>
    <row r="398" spans="1:10">
      <c r="A398" s="5"/>
      <c r="B398" s="6"/>
      <c r="C398" s="7"/>
      <c r="D398" s="9"/>
      <c r="E398" s="8"/>
      <c r="F398" s="9"/>
      <c r="G398" s="9"/>
      <c r="H398" s="6"/>
      <c r="I398" s="9"/>
      <c r="J398" s="9" t="s">
        <v>145</v>
      </c>
    </row>
    <row r="399" spans="1:10">
      <c r="A399" s="5"/>
      <c r="B399" s="6"/>
      <c r="C399" s="7"/>
      <c r="D399" s="9"/>
      <c r="E399" s="8"/>
      <c r="F399" s="9"/>
      <c r="G399" s="9"/>
      <c r="H399" s="6"/>
      <c r="I399" s="9"/>
      <c r="J399" s="9" t="s">
        <v>145</v>
      </c>
    </row>
    <row r="400" spans="1:10">
      <c r="A400" s="5"/>
      <c r="B400" s="6"/>
      <c r="C400" s="7"/>
      <c r="D400" s="9"/>
      <c r="E400" s="8"/>
      <c r="F400" s="9"/>
      <c r="G400" s="9"/>
      <c r="H400" s="6"/>
      <c r="I400" s="9"/>
      <c r="J400" s="9" t="s">
        <v>145</v>
      </c>
    </row>
    <row r="401" spans="1:10">
      <c r="A401" s="5"/>
      <c r="B401" s="6"/>
      <c r="C401" s="7"/>
      <c r="D401" s="9"/>
      <c r="E401" s="8"/>
      <c r="F401" s="9"/>
      <c r="G401" s="9"/>
      <c r="H401" s="6"/>
      <c r="I401" s="9"/>
      <c r="J401" s="9" t="s">
        <v>145</v>
      </c>
    </row>
    <row r="402" spans="1:10">
      <c r="A402" s="5"/>
      <c r="B402" s="6"/>
      <c r="C402" s="7"/>
      <c r="D402" s="9"/>
      <c r="E402" s="8"/>
      <c r="F402" s="9"/>
      <c r="G402" s="9"/>
      <c r="H402" s="6"/>
      <c r="I402" s="9"/>
      <c r="J402" s="9" t="s">
        <v>145</v>
      </c>
    </row>
    <row r="403" spans="1:10">
      <c r="A403" s="5"/>
      <c r="B403" s="6"/>
      <c r="C403" s="7"/>
      <c r="D403" s="9"/>
      <c r="E403" s="8"/>
      <c r="F403" s="9"/>
      <c r="G403" s="9"/>
      <c r="H403" s="6"/>
      <c r="I403" s="9"/>
      <c r="J403" s="9" t="s">
        <v>145</v>
      </c>
    </row>
    <row r="404" spans="1:10">
      <c r="A404" s="5"/>
      <c r="B404" s="6"/>
      <c r="C404" s="7"/>
      <c r="D404" s="9"/>
      <c r="E404" s="8"/>
      <c r="F404" s="9"/>
      <c r="G404" s="9"/>
      <c r="H404" s="6"/>
      <c r="I404" s="9"/>
      <c r="J404" s="9" t="s">
        <v>145</v>
      </c>
    </row>
    <row r="405" spans="1:10">
      <c r="A405" s="5"/>
      <c r="B405" s="6"/>
      <c r="C405" s="7"/>
      <c r="D405" s="9"/>
      <c r="E405" s="4"/>
      <c r="F405" s="9"/>
      <c r="G405" s="9"/>
      <c r="H405" s="6"/>
      <c r="I405" s="9"/>
      <c r="J405" s="9" t="s">
        <v>145</v>
      </c>
    </row>
    <row r="406" spans="1:10">
      <c r="A406" s="5"/>
      <c r="B406" s="6"/>
      <c r="C406" s="7"/>
      <c r="D406" s="9"/>
      <c r="E406" s="8"/>
      <c r="F406" s="9"/>
      <c r="G406" s="9"/>
      <c r="H406" s="6"/>
      <c r="I406" s="9"/>
      <c r="J406" s="9" t="s">
        <v>145</v>
      </c>
    </row>
    <row r="407" spans="1:10">
      <c r="A407" s="5"/>
      <c r="B407" s="6"/>
      <c r="C407" s="7"/>
      <c r="D407" s="9"/>
      <c r="E407" s="8"/>
      <c r="F407" s="9"/>
      <c r="G407" s="9"/>
      <c r="H407" s="6"/>
      <c r="I407" s="9"/>
      <c r="J407" s="9" t="s">
        <v>145</v>
      </c>
    </row>
    <row r="408" spans="1:10">
      <c r="A408" s="5"/>
      <c r="B408" s="6"/>
      <c r="C408" s="7"/>
      <c r="D408" s="9"/>
      <c r="E408" s="4"/>
      <c r="F408" s="9"/>
      <c r="G408" s="9"/>
      <c r="H408" s="6"/>
      <c r="I408" s="9"/>
      <c r="J408" s="9" t="s">
        <v>145</v>
      </c>
    </row>
    <row r="409" spans="1:10">
      <c r="A409" s="5"/>
      <c r="B409" s="6"/>
      <c r="C409" s="7"/>
      <c r="D409" s="9"/>
      <c r="E409" s="8"/>
      <c r="F409" s="9"/>
      <c r="G409" s="9"/>
      <c r="H409" s="6"/>
      <c r="I409" s="9"/>
      <c r="J409" s="9" t="s">
        <v>145</v>
      </c>
    </row>
    <row r="410" spans="1:10">
      <c r="A410" s="5"/>
      <c r="B410" s="6"/>
      <c r="C410" s="7"/>
      <c r="D410" s="9"/>
      <c r="E410" s="8"/>
      <c r="F410" s="9"/>
      <c r="G410" s="9"/>
      <c r="H410" s="6"/>
      <c r="I410" s="9"/>
      <c r="J410" s="9" t="s">
        <v>145</v>
      </c>
    </row>
    <row r="411" spans="1:10">
      <c r="A411" s="5"/>
      <c r="B411" s="6"/>
      <c r="C411" s="7"/>
      <c r="D411" s="9"/>
      <c r="E411" s="4"/>
      <c r="F411" s="9"/>
      <c r="G411" s="9"/>
      <c r="H411" s="6"/>
      <c r="I411" s="9"/>
      <c r="J411" s="9" t="s">
        <v>145</v>
      </c>
    </row>
    <row r="412" spans="1:10">
      <c r="A412" s="5"/>
      <c r="B412" s="6"/>
      <c r="C412" s="7"/>
      <c r="D412" s="9"/>
      <c r="E412" s="8"/>
      <c r="F412" s="9"/>
      <c r="G412" s="9"/>
      <c r="H412" s="6"/>
      <c r="I412" s="9"/>
      <c r="J412" s="9" t="s">
        <v>145</v>
      </c>
    </row>
    <row r="413" spans="1:10">
      <c r="A413" s="5"/>
      <c r="B413" s="6"/>
      <c r="C413" s="7"/>
      <c r="D413" s="9"/>
      <c r="E413" s="8"/>
      <c r="F413" s="9"/>
      <c r="G413" s="9"/>
      <c r="H413" s="6"/>
      <c r="I413" s="9"/>
      <c r="J413" s="9" t="s">
        <v>145</v>
      </c>
    </row>
    <row r="414" spans="1:10">
      <c r="A414" s="5"/>
      <c r="B414" s="6"/>
      <c r="C414" s="7"/>
      <c r="D414" s="9"/>
      <c r="E414" s="8"/>
      <c r="F414" s="9"/>
      <c r="G414" s="9"/>
      <c r="H414" s="6"/>
      <c r="I414" s="9"/>
      <c r="J414" s="9" t="s">
        <v>145</v>
      </c>
    </row>
    <row r="415" spans="1:10">
      <c r="A415" s="5"/>
      <c r="B415" s="6"/>
      <c r="C415" s="7"/>
      <c r="D415" s="9"/>
      <c r="E415" s="8"/>
      <c r="F415" s="9"/>
      <c r="G415" s="9"/>
      <c r="H415" s="6"/>
      <c r="I415" s="9"/>
      <c r="J415" s="9" t="s">
        <v>145</v>
      </c>
    </row>
    <row r="416" spans="1:10">
      <c r="A416" s="5"/>
      <c r="B416" s="6"/>
      <c r="C416" s="7"/>
      <c r="D416" s="9"/>
      <c r="E416" s="8"/>
      <c r="F416" s="9"/>
      <c r="G416" s="9"/>
      <c r="H416" s="6"/>
      <c r="I416" s="9"/>
      <c r="J416" s="9" t="s">
        <v>145</v>
      </c>
    </row>
    <row r="417" spans="1:10">
      <c r="A417" s="5"/>
      <c r="B417" s="6"/>
      <c r="C417" s="7"/>
      <c r="D417" s="9"/>
      <c r="E417" s="4"/>
      <c r="F417" s="9"/>
      <c r="G417" s="9"/>
      <c r="H417" s="6"/>
      <c r="I417" s="9"/>
      <c r="J417" s="9" t="s">
        <v>145</v>
      </c>
    </row>
    <row r="418" spans="1:10">
      <c r="A418" s="5"/>
      <c r="B418" s="6"/>
      <c r="C418" s="7"/>
      <c r="D418" s="9"/>
      <c r="E418" s="8"/>
      <c r="F418" s="9"/>
      <c r="G418" s="9"/>
      <c r="H418" s="6"/>
      <c r="I418" s="9"/>
      <c r="J418" s="9" t="s">
        <v>145</v>
      </c>
    </row>
    <row r="419" spans="1:10">
      <c r="A419" s="5"/>
      <c r="B419" s="6"/>
      <c r="C419" s="7"/>
      <c r="D419" s="9"/>
      <c r="E419" s="8"/>
      <c r="F419" s="9"/>
      <c r="G419" s="9"/>
      <c r="H419" s="6"/>
      <c r="I419" s="9"/>
      <c r="J419" s="9" t="s">
        <v>145</v>
      </c>
    </row>
    <row r="420" spans="1:10">
      <c r="A420" s="5"/>
      <c r="B420" s="6"/>
      <c r="C420" s="7"/>
      <c r="D420" s="9"/>
      <c r="E420" s="8"/>
      <c r="F420" s="9"/>
      <c r="G420" s="9"/>
      <c r="H420" s="6"/>
      <c r="I420" s="9"/>
      <c r="J420" s="9" t="s">
        <v>145</v>
      </c>
    </row>
    <row r="421" spans="1:10">
      <c r="A421" s="5"/>
      <c r="B421" s="6"/>
      <c r="C421" s="7"/>
      <c r="D421" s="9"/>
      <c r="E421" s="8"/>
      <c r="F421" s="9"/>
      <c r="G421" s="9"/>
      <c r="H421" s="6"/>
      <c r="I421" s="9"/>
      <c r="J421" s="9" t="s">
        <v>145</v>
      </c>
    </row>
    <row r="422" spans="1:10">
      <c r="A422" s="5"/>
      <c r="B422" s="6"/>
      <c r="C422" s="7"/>
      <c r="D422" s="9"/>
      <c r="E422" s="8"/>
      <c r="F422" s="9"/>
      <c r="G422" s="9"/>
      <c r="H422" s="6"/>
      <c r="I422" s="9"/>
      <c r="J422" s="9" t="s">
        <v>145</v>
      </c>
    </row>
    <row r="423" spans="1:10">
      <c r="A423" s="5"/>
      <c r="B423" s="6"/>
      <c r="C423" s="7"/>
      <c r="D423" s="9"/>
      <c r="E423" s="8"/>
      <c r="F423" s="9"/>
      <c r="G423" s="9"/>
      <c r="H423" s="6"/>
      <c r="I423" s="9"/>
      <c r="J423" s="9" t="s">
        <v>145</v>
      </c>
    </row>
    <row r="424" spans="1:10">
      <c r="A424" s="5"/>
      <c r="B424" s="6"/>
      <c r="C424" s="7"/>
      <c r="D424" s="9"/>
      <c r="E424" s="8"/>
      <c r="F424" s="9"/>
      <c r="G424" s="9"/>
      <c r="H424" s="6"/>
      <c r="I424" s="9"/>
      <c r="J424" s="9" t="s">
        <v>145</v>
      </c>
    </row>
    <row r="425" spans="1:10">
      <c r="A425" s="5"/>
      <c r="B425" s="6"/>
      <c r="C425" s="7"/>
      <c r="D425" s="9"/>
      <c r="E425" s="8"/>
      <c r="F425" s="9"/>
      <c r="G425" s="9"/>
      <c r="H425" s="6"/>
      <c r="I425" s="9"/>
      <c r="J425" s="9" t="s">
        <v>145</v>
      </c>
    </row>
    <row r="426" spans="1:10">
      <c r="A426" s="5"/>
      <c r="B426" s="6"/>
      <c r="C426" s="7"/>
      <c r="D426" s="9"/>
      <c r="E426" s="8"/>
      <c r="F426" s="9"/>
      <c r="G426" s="9"/>
      <c r="H426" s="6"/>
      <c r="I426" s="9"/>
      <c r="J426" s="9" t="s">
        <v>145</v>
      </c>
    </row>
    <row r="427" spans="1:10">
      <c r="A427" s="5"/>
      <c r="B427" s="6"/>
      <c r="C427" s="7"/>
      <c r="D427" s="9"/>
      <c r="E427" s="8"/>
      <c r="F427" s="9"/>
      <c r="G427" s="9"/>
      <c r="H427" s="6"/>
      <c r="I427" s="9"/>
      <c r="J427" s="9" t="s">
        <v>145</v>
      </c>
    </row>
    <row r="428" spans="1:10">
      <c r="A428" s="5"/>
      <c r="B428" s="6"/>
      <c r="C428" s="7"/>
      <c r="D428" s="9"/>
      <c r="E428" s="8"/>
      <c r="F428" s="9"/>
      <c r="G428" s="9"/>
      <c r="H428" s="6"/>
      <c r="I428" s="9"/>
      <c r="J428" s="9" t="s">
        <v>145</v>
      </c>
    </row>
    <row r="429" spans="1:10">
      <c r="A429" s="5"/>
      <c r="B429" s="6"/>
      <c r="C429" s="7"/>
      <c r="D429" s="9"/>
      <c r="E429" s="8"/>
      <c r="F429" s="9"/>
      <c r="G429" s="9"/>
      <c r="H429" s="6"/>
      <c r="I429" s="9"/>
      <c r="J429" s="9" t="s">
        <v>145</v>
      </c>
    </row>
    <row r="430" spans="1:10">
      <c r="A430" s="5"/>
      <c r="B430" s="6"/>
      <c r="C430" s="7"/>
      <c r="D430" s="9"/>
      <c r="E430" s="8"/>
      <c r="F430" s="9"/>
      <c r="G430" s="9"/>
      <c r="H430" s="6"/>
      <c r="I430" s="9"/>
      <c r="J430" s="9" t="s">
        <v>145</v>
      </c>
    </row>
    <row r="431" spans="1:10">
      <c r="A431" s="5"/>
      <c r="B431" s="6"/>
      <c r="C431" s="7"/>
      <c r="D431" s="9"/>
      <c r="E431" s="4"/>
      <c r="F431" s="9"/>
      <c r="G431" s="9"/>
      <c r="H431" s="6"/>
      <c r="I431" s="9"/>
      <c r="J431" s="9" t="s">
        <v>145</v>
      </c>
    </row>
    <row r="432" spans="1:10">
      <c r="A432" s="5"/>
      <c r="B432" s="6"/>
      <c r="C432" s="7"/>
      <c r="D432" s="9"/>
      <c r="E432" s="8"/>
      <c r="F432" s="9"/>
      <c r="G432" s="9"/>
      <c r="H432" s="6"/>
      <c r="I432" s="9"/>
      <c r="J432" s="9" t="s">
        <v>145</v>
      </c>
    </row>
    <row r="433" spans="1:10">
      <c r="A433" s="5"/>
      <c r="B433" s="6"/>
      <c r="C433" s="7"/>
      <c r="D433" s="9"/>
      <c r="E433" s="8"/>
      <c r="F433" s="9"/>
      <c r="G433" s="9"/>
      <c r="H433" s="6"/>
      <c r="I433" s="9"/>
      <c r="J433" s="9" t="s">
        <v>145</v>
      </c>
    </row>
    <row r="434" spans="1:10">
      <c r="A434" s="5"/>
      <c r="B434" s="6"/>
      <c r="C434" s="7"/>
      <c r="D434" s="9"/>
      <c r="E434" s="8"/>
      <c r="F434" s="9"/>
      <c r="G434" s="9"/>
      <c r="H434" s="6"/>
      <c r="I434" s="9"/>
      <c r="J434" s="9" t="s">
        <v>145</v>
      </c>
    </row>
    <row r="435" spans="1:10">
      <c r="A435" s="5"/>
      <c r="B435" s="6"/>
      <c r="C435" s="7"/>
      <c r="D435" s="9"/>
      <c r="E435" s="8"/>
      <c r="F435" s="9"/>
      <c r="G435" s="9"/>
      <c r="H435" s="6"/>
      <c r="I435" s="9"/>
      <c r="J435" s="9" t="s">
        <v>145</v>
      </c>
    </row>
    <row r="436" spans="1:10">
      <c r="A436" s="5"/>
      <c r="B436" s="6"/>
      <c r="C436" s="7"/>
      <c r="D436" s="9"/>
      <c r="E436" s="8"/>
      <c r="F436" s="9"/>
      <c r="G436" s="9"/>
      <c r="H436" s="6"/>
      <c r="I436" s="9"/>
      <c r="J436" s="9" t="s">
        <v>145</v>
      </c>
    </row>
    <row r="437" spans="1:10">
      <c r="A437" s="5"/>
      <c r="B437" s="6"/>
      <c r="C437" s="7"/>
      <c r="D437" s="9"/>
      <c r="E437" s="8"/>
      <c r="F437" s="9"/>
      <c r="G437" s="9"/>
      <c r="H437" s="6"/>
      <c r="I437" s="9"/>
      <c r="J437" s="9" t="s">
        <v>145</v>
      </c>
    </row>
    <row r="438" spans="1:10">
      <c r="A438" s="5"/>
      <c r="B438" s="6"/>
      <c r="C438" s="7"/>
      <c r="D438" s="9"/>
      <c r="E438" s="4"/>
      <c r="F438" s="9"/>
      <c r="G438" s="9"/>
      <c r="H438" s="6"/>
      <c r="I438" s="9"/>
      <c r="J438" s="9" t="s">
        <v>145</v>
      </c>
    </row>
    <row r="439" spans="1:10">
      <c r="A439" s="5"/>
      <c r="B439" s="6"/>
      <c r="C439" s="7"/>
      <c r="D439" s="9"/>
      <c r="E439" s="4"/>
      <c r="F439" s="9"/>
      <c r="G439" s="9"/>
      <c r="H439" s="6"/>
      <c r="I439" s="9"/>
      <c r="J439" s="9" t="s">
        <v>145</v>
      </c>
    </row>
    <row r="440" spans="1:10">
      <c r="A440" s="5"/>
      <c r="B440" s="6"/>
      <c r="C440" s="7"/>
      <c r="D440" s="9"/>
      <c r="E440" s="8"/>
      <c r="F440" s="9"/>
      <c r="G440" s="9"/>
      <c r="H440" s="6"/>
      <c r="I440" s="9"/>
      <c r="J440" s="9" t="s">
        <v>145</v>
      </c>
    </row>
    <row r="441" spans="1:10">
      <c r="A441" s="5"/>
      <c r="B441" s="6"/>
      <c r="C441" s="7"/>
      <c r="D441" s="9"/>
      <c r="E441" s="8"/>
      <c r="F441" s="9"/>
      <c r="G441" s="9"/>
      <c r="H441" s="6"/>
      <c r="I441" s="9"/>
      <c r="J441" s="9" t="s">
        <v>145</v>
      </c>
    </row>
    <row r="442" spans="1:10">
      <c r="A442" s="5"/>
      <c r="B442" s="6"/>
      <c r="C442" s="7"/>
      <c r="D442" s="9"/>
      <c r="E442" s="8"/>
      <c r="F442" s="9"/>
      <c r="G442" s="9"/>
      <c r="H442" s="6"/>
      <c r="I442" s="9"/>
      <c r="J442" s="9" t="s">
        <v>145</v>
      </c>
    </row>
    <row r="443" spans="1:10">
      <c r="A443" s="5"/>
      <c r="B443" s="6"/>
      <c r="C443" s="7"/>
      <c r="D443" s="9"/>
      <c r="E443" s="4"/>
      <c r="F443" s="9"/>
      <c r="G443" s="9"/>
      <c r="H443" s="6"/>
      <c r="I443" s="9"/>
      <c r="J443" s="9" t="s">
        <v>145</v>
      </c>
    </row>
    <row r="444" spans="1:10">
      <c r="A444" s="5"/>
      <c r="B444" s="6"/>
      <c r="C444" s="7"/>
      <c r="D444" s="9"/>
      <c r="E444" s="8"/>
      <c r="F444" s="9"/>
      <c r="G444" s="9"/>
      <c r="H444" s="6"/>
      <c r="I444" s="9"/>
      <c r="J444" s="9" t="s">
        <v>145</v>
      </c>
    </row>
    <row r="445" spans="1:10">
      <c r="A445" s="5"/>
      <c r="B445" s="6"/>
      <c r="C445" s="7"/>
      <c r="D445" s="9"/>
      <c r="E445" s="8"/>
      <c r="F445" s="9"/>
      <c r="G445" s="9"/>
      <c r="H445" s="6"/>
      <c r="I445" s="9"/>
      <c r="J445" s="9" t="s">
        <v>145</v>
      </c>
    </row>
    <row r="446" spans="1:10">
      <c r="A446" s="5"/>
      <c r="B446" s="6"/>
      <c r="C446" s="7"/>
      <c r="D446" s="9"/>
      <c r="E446" s="8"/>
      <c r="F446" s="9"/>
      <c r="G446" s="9"/>
      <c r="H446" s="6"/>
      <c r="I446" s="9"/>
      <c r="J446" s="9" t="s">
        <v>145</v>
      </c>
    </row>
    <row r="447" spans="1:10">
      <c r="A447" s="5"/>
      <c r="B447" s="6"/>
      <c r="C447" s="7"/>
      <c r="D447" s="9"/>
      <c r="E447" s="4"/>
      <c r="F447" s="9"/>
      <c r="G447" s="9"/>
      <c r="H447" s="6"/>
      <c r="I447" s="9"/>
      <c r="J447" s="9" t="s">
        <v>145</v>
      </c>
    </row>
    <row r="448" spans="1:10">
      <c r="A448" s="5"/>
      <c r="B448" s="6"/>
      <c r="C448" s="7"/>
      <c r="D448" s="9"/>
      <c r="E448" s="8"/>
      <c r="F448" s="9"/>
      <c r="G448" s="9"/>
      <c r="H448" s="6"/>
      <c r="I448" s="9"/>
      <c r="J448" s="9" t="s">
        <v>145</v>
      </c>
    </row>
    <row r="449" spans="1:10">
      <c r="A449" s="5"/>
      <c r="B449" s="6"/>
      <c r="C449" s="7"/>
      <c r="D449" s="9"/>
      <c r="E449" s="4"/>
      <c r="F449" s="9"/>
      <c r="G449" s="9"/>
      <c r="H449" s="6"/>
      <c r="I449" s="9"/>
      <c r="J449" s="9" t="s">
        <v>145</v>
      </c>
    </row>
    <row r="450" spans="1:10">
      <c r="A450" s="5"/>
      <c r="B450" s="6"/>
      <c r="C450" s="7"/>
      <c r="D450" s="9"/>
      <c r="E450" s="8"/>
      <c r="F450" s="9"/>
      <c r="G450" s="9"/>
      <c r="H450" s="6"/>
      <c r="I450" s="9"/>
      <c r="J450" s="9" t="s">
        <v>145</v>
      </c>
    </row>
    <row r="451" spans="1:10">
      <c r="A451" s="5"/>
      <c r="B451" s="6"/>
      <c r="C451" s="7"/>
      <c r="D451" s="9"/>
      <c r="E451" s="4"/>
      <c r="F451" s="9"/>
      <c r="G451" s="9"/>
      <c r="H451" s="6"/>
      <c r="I451" s="9"/>
      <c r="J451" s="9" t="s">
        <v>145</v>
      </c>
    </row>
    <row r="452" spans="1:10">
      <c r="A452" s="5"/>
      <c r="B452" s="6"/>
      <c r="C452" s="7"/>
      <c r="D452" s="9"/>
      <c r="E452" s="8"/>
      <c r="F452" s="9"/>
      <c r="G452" s="9"/>
      <c r="H452" s="6"/>
      <c r="I452" s="9"/>
      <c r="J452" s="9" t="s">
        <v>145</v>
      </c>
    </row>
    <row r="453" spans="1:10">
      <c r="A453" s="5"/>
      <c r="B453" s="6"/>
      <c r="C453" s="7"/>
      <c r="D453" s="9"/>
      <c r="E453" s="8"/>
      <c r="F453" s="9"/>
      <c r="G453" s="9"/>
      <c r="H453" s="6"/>
      <c r="I453" s="9"/>
      <c r="J453" s="9" t="s">
        <v>145</v>
      </c>
    </row>
    <row r="454" spans="1:10">
      <c r="A454" s="5"/>
      <c r="B454" s="6"/>
      <c r="C454" s="7"/>
      <c r="D454" s="9"/>
      <c r="E454" s="4"/>
      <c r="F454" s="9"/>
      <c r="G454" s="9"/>
      <c r="H454" s="6"/>
      <c r="I454" s="9"/>
      <c r="J454" s="9" t="s">
        <v>145</v>
      </c>
    </row>
    <row r="455" spans="1:10">
      <c r="A455" s="5"/>
      <c r="B455" s="6"/>
      <c r="C455" s="7"/>
      <c r="D455" s="9"/>
      <c r="E455" s="8"/>
      <c r="F455" s="9"/>
      <c r="G455" s="9"/>
      <c r="H455" s="6"/>
      <c r="I455" s="9"/>
      <c r="J455" s="9" t="s">
        <v>145</v>
      </c>
    </row>
    <row r="456" spans="1:10">
      <c r="A456" s="5"/>
      <c r="B456" s="6"/>
      <c r="C456" s="7"/>
      <c r="D456" s="9"/>
      <c r="E456" s="8"/>
      <c r="F456" s="9"/>
      <c r="G456" s="9"/>
      <c r="H456" s="6"/>
      <c r="I456" s="9"/>
      <c r="J456" s="9" t="s">
        <v>145</v>
      </c>
    </row>
    <row r="457" spans="1:10">
      <c r="A457" s="5"/>
      <c r="B457" s="6"/>
      <c r="C457" s="7"/>
      <c r="D457" s="9"/>
      <c r="E457" s="8"/>
      <c r="F457" s="9"/>
      <c r="G457" s="9"/>
      <c r="H457" s="6"/>
      <c r="I457" s="9"/>
      <c r="J457" s="9" t="s">
        <v>145</v>
      </c>
    </row>
    <row r="458" spans="1:10">
      <c r="A458" s="5"/>
      <c r="B458" s="6"/>
      <c r="C458" s="7"/>
      <c r="D458" s="9"/>
      <c r="E458" s="8"/>
      <c r="F458" s="9"/>
      <c r="G458" s="9"/>
      <c r="H458" s="6"/>
      <c r="I458" s="9"/>
      <c r="J458" s="9" t="s">
        <v>145</v>
      </c>
    </row>
    <row r="459" spans="1:10">
      <c r="A459" s="5"/>
      <c r="B459" s="6"/>
      <c r="C459" s="7"/>
      <c r="D459" s="9"/>
      <c r="E459" s="8"/>
      <c r="F459" s="9"/>
      <c r="G459" s="9"/>
      <c r="H459" s="6"/>
      <c r="I459" s="9"/>
      <c r="J459" s="9" t="s">
        <v>145</v>
      </c>
    </row>
    <row r="460" spans="1:10">
      <c r="A460" s="5"/>
      <c r="B460" s="6"/>
      <c r="C460" s="7"/>
      <c r="D460" s="9"/>
      <c r="E460" s="8"/>
      <c r="F460" s="9"/>
      <c r="G460" s="9"/>
      <c r="H460" s="6"/>
      <c r="I460" s="9"/>
      <c r="J460" s="9" t="s">
        <v>145</v>
      </c>
    </row>
    <row r="461" spans="1:10">
      <c r="A461" s="5"/>
      <c r="B461" s="6"/>
      <c r="C461" s="7"/>
      <c r="D461" s="9"/>
      <c r="E461" s="4"/>
      <c r="F461" s="9"/>
      <c r="G461" s="9"/>
      <c r="H461" s="6"/>
      <c r="I461" s="9"/>
      <c r="J461" s="9" t="s">
        <v>145</v>
      </c>
    </row>
    <row r="462" spans="1:10">
      <c r="A462" s="5"/>
      <c r="B462" s="6"/>
      <c r="C462" s="7"/>
      <c r="D462" s="9"/>
      <c r="E462" s="4"/>
      <c r="F462" s="9"/>
      <c r="G462" s="9"/>
      <c r="H462" s="6"/>
      <c r="I462" s="9"/>
      <c r="J462" s="9" t="s">
        <v>145</v>
      </c>
    </row>
    <row r="463" spans="1:10">
      <c r="A463" s="5"/>
      <c r="B463" s="6"/>
      <c r="C463" s="7"/>
      <c r="D463" s="9"/>
      <c r="E463" s="8"/>
      <c r="F463" s="9"/>
      <c r="G463" s="9"/>
      <c r="H463" s="6"/>
      <c r="I463" s="9"/>
      <c r="J463" s="9" t="s">
        <v>145</v>
      </c>
    </row>
    <row r="464" spans="1:10">
      <c r="A464" s="5"/>
      <c r="B464" s="6"/>
      <c r="C464" s="7"/>
      <c r="D464" s="9"/>
      <c r="E464" s="8"/>
      <c r="F464" s="9"/>
      <c r="G464" s="9"/>
      <c r="H464" s="6"/>
      <c r="I464" s="9"/>
      <c r="J464" s="9" t="s">
        <v>145</v>
      </c>
    </row>
    <row r="465" spans="1:10">
      <c r="A465" s="5"/>
      <c r="B465" s="6"/>
      <c r="C465" s="7"/>
      <c r="D465" s="9"/>
      <c r="E465" s="8"/>
      <c r="F465" s="9"/>
      <c r="G465" s="9"/>
      <c r="H465" s="6"/>
      <c r="I465" s="9"/>
      <c r="J465" s="9" t="s">
        <v>145</v>
      </c>
    </row>
    <row r="466" spans="1:10">
      <c r="A466" s="5"/>
      <c r="B466" s="6"/>
      <c r="C466" s="7"/>
      <c r="D466" s="9"/>
      <c r="E466" s="4"/>
      <c r="F466" s="9"/>
      <c r="G466" s="9"/>
      <c r="H466" s="6"/>
      <c r="I466" s="9"/>
      <c r="J466" s="9" t="s">
        <v>145</v>
      </c>
    </row>
    <row r="467" spans="1:10">
      <c r="A467" s="5"/>
      <c r="B467" s="6"/>
      <c r="C467" s="7"/>
      <c r="D467" s="9"/>
      <c r="E467" s="8"/>
      <c r="F467" s="9"/>
      <c r="G467" s="9"/>
      <c r="H467" s="6"/>
      <c r="I467" s="9"/>
      <c r="J467" s="9" t="s">
        <v>145</v>
      </c>
    </row>
    <row r="468" spans="1:10">
      <c r="A468" s="5"/>
      <c r="B468" s="6"/>
      <c r="C468" s="7"/>
      <c r="D468" s="9"/>
      <c r="E468" s="8"/>
      <c r="F468" s="9"/>
      <c r="G468" s="9"/>
      <c r="H468" s="6"/>
      <c r="I468" s="9"/>
      <c r="J468" s="9" t="s">
        <v>145</v>
      </c>
    </row>
    <row r="469" spans="1:10">
      <c r="A469" s="5"/>
      <c r="B469" s="6"/>
      <c r="C469" s="7"/>
      <c r="D469" s="9"/>
      <c r="E469" s="8"/>
      <c r="F469" s="9"/>
      <c r="G469" s="9"/>
      <c r="H469" s="6"/>
      <c r="I469" s="9"/>
      <c r="J469" s="9" t="s">
        <v>145</v>
      </c>
    </row>
    <row r="470" spans="1:10">
      <c r="A470" s="5"/>
      <c r="B470" s="6"/>
      <c r="C470" s="7"/>
      <c r="D470" s="9"/>
      <c r="E470" s="4"/>
      <c r="F470" s="9"/>
      <c r="G470" s="9"/>
      <c r="H470" s="6"/>
      <c r="I470" s="9"/>
      <c r="J470" s="9" t="s">
        <v>145</v>
      </c>
    </row>
    <row r="471" spans="1:10">
      <c r="A471" s="5"/>
      <c r="B471" s="6"/>
      <c r="C471" s="7"/>
      <c r="D471" s="9"/>
      <c r="E471" s="8"/>
      <c r="F471" s="9"/>
      <c r="G471" s="9"/>
      <c r="H471" s="6"/>
      <c r="I471" s="9"/>
      <c r="J471" s="9" t="s">
        <v>145</v>
      </c>
    </row>
    <row r="472" spans="1:10">
      <c r="A472" s="5"/>
      <c r="B472" s="6"/>
      <c r="C472" s="7"/>
      <c r="D472" s="9"/>
      <c r="E472" s="4"/>
      <c r="F472" s="9"/>
      <c r="G472" s="9"/>
      <c r="H472" s="6"/>
      <c r="I472" s="9"/>
      <c r="J472" s="9" t="s">
        <v>145</v>
      </c>
    </row>
    <row r="473" spans="1:10">
      <c r="A473" s="5"/>
      <c r="B473" s="6"/>
      <c r="C473" s="7"/>
      <c r="D473" s="9"/>
      <c r="E473" s="8"/>
      <c r="F473" s="9"/>
      <c r="G473" s="9"/>
      <c r="H473" s="6"/>
      <c r="I473" s="9"/>
      <c r="J473" s="9" t="s">
        <v>145</v>
      </c>
    </row>
    <row r="474" spans="1:10">
      <c r="A474" s="5"/>
      <c r="B474" s="6"/>
      <c r="C474" s="7"/>
      <c r="D474" s="9"/>
      <c r="E474" s="4"/>
      <c r="F474" s="9"/>
      <c r="G474" s="9"/>
      <c r="H474" s="6"/>
      <c r="I474" s="9"/>
      <c r="J474" s="9" t="s">
        <v>145</v>
      </c>
    </row>
    <row r="475" spans="1:10">
      <c r="A475" s="5"/>
      <c r="B475" s="6"/>
      <c r="C475" s="7"/>
      <c r="D475" s="9"/>
      <c r="E475" s="8"/>
      <c r="F475" s="9"/>
      <c r="G475" s="9"/>
      <c r="H475" s="6"/>
      <c r="I475" s="9"/>
      <c r="J475" s="9" t="s">
        <v>145</v>
      </c>
    </row>
    <row r="476" spans="1:10">
      <c r="A476" s="5"/>
      <c r="B476" s="6"/>
      <c r="C476" s="7"/>
      <c r="D476" s="9"/>
      <c r="E476" s="8"/>
      <c r="F476" s="9"/>
      <c r="G476" s="9"/>
      <c r="H476" s="6"/>
      <c r="I476" s="9"/>
      <c r="J476" s="9" t="s">
        <v>145</v>
      </c>
    </row>
    <row r="477" spans="1:10">
      <c r="A477" s="5"/>
      <c r="B477" s="6"/>
      <c r="C477" s="7"/>
      <c r="D477" s="9"/>
      <c r="E477" s="8"/>
      <c r="F477" s="9"/>
      <c r="G477" s="9"/>
      <c r="H477" s="6"/>
      <c r="I477" s="9"/>
      <c r="J477" s="9" t="s">
        <v>145</v>
      </c>
    </row>
    <row r="478" spans="1:10">
      <c r="A478" s="5"/>
      <c r="B478" s="6"/>
      <c r="C478" s="7"/>
      <c r="D478" s="9"/>
      <c r="E478" s="8"/>
      <c r="F478" s="9"/>
      <c r="G478" s="9"/>
      <c r="H478" s="6"/>
      <c r="I478" s="9"/>
      <c r="J478" s="9" t="s">
        <v>145</v>
      </c>
    </row>
    <row r="479" spans="1:10">
      <c r="A479" s="5"/>
      <c r="B479" s="6"/>
      <c r="C479" s="7"/>
      <c r="D479" s="9"/>
      <c r="E479" s="4"/>
      <c r="F479" s="9"/>
      <c r="G479" s="9"/>
      <c r="H479" s="6"/>
      <c r="I479" s="9"/>
      <c r="J479" s="9" t="s">
        <v>145</v>
      </c>
    </row>
    <row r="480" spans="1:10">
      <c r="A480" s="5"/>
      <c r="B480" s="6"/>
      <c r="C480" s="7"/>
      <c r="D480" s="9"/>
      <c r="E480" s="8"/>
      <c r="F480" s="9"/>
      <c r="G480" s="9"/>
      <c r="H480" s="6"/>
      <c r="I480" s="9"/>
      <c r="J480" s="9" t="s">
        <v>145</v>
      </c>
    </row>
    <row r="481" spans="1:10">
      <c r="A481" s="5"/>
      <c r="B481" s="6"/>
      <c r="C481" s="7"/>
      <c r="D481" s="9"/>
      <c r="E481" s="8"/>
      <c r="F481" s="9"/>
      <c r="G481" s="9"/>
      <c r="H481" s="6"/>
      <c r="I481" s="9"/>
      <c r="J481" s="9" t="s">
        <v>145</v>
      </c>
    </row>
    <row r="482" spans="1:10">
      <c r="A482" s="5"/>
      <c r="B482" s="6"/>
      <c r="C482" s="7"/>
      <c r="D482" s="9"/>
      <c r="E482" s="8"/>
      <c r="F482" s="9"/>
      <c r="G482" s="9"/>
      <c r="H482" s="6"/>
      <c r="I482" s="9"/>
      <c r="J482" s="9" t="s">
        <v>145</v>
      </c>
    </row>
    <row r="483" spans="1:10">
      <c r="A483" s="5"/>
      <c r="B483" s="6"/>
      <c r="C483" s="7"/>
      <c r="D483" s="9"/>
      <c r="E483" s="8"/>
      <c r="F483" s="9"/>
      <c r="G483" s="9"/>
      <c r="H483" s="6"/>
      <c r="I483" s="9"/>
      <c r="J483" s="9" t="s">
        <v>145</v>
      </c>
    </row>
    <row r="484" spans="1:10">
      <c r="A484" s="5"/>
      <c r="B484" s="6"/>
      <c r="C484" s="7"/>
      <c r="D484" s="9"/>
      <c r="E484" s="8"/>
      <c r="F484" s="9"/>
      <c r="G484" s="9"/>
      <c r="H484" s="6"/>
      <c r="I484" s="9"/>
      <c r="J484" s="9" t="s">
        <v>145</v>
      </c>
    </row>
    <row r="485" spans="1:10">
      <c r="A485" s="5"/>
      <c r="B485" s="6"/>
      <c r="C485" s="7"/>
      <c r="D485" s="9"/>
      <c r="E485" s="8"/>
      <c r="F485" s="9"/>
      <c r="G485" s="9"/>
      <c r="H485" s="6"/>
      <c r="I485" s="9"/>
      <c r="J485" s="9" t="s">
        <v>145</v>
      </c>
    </row>
    <row r="486" spans="1:10">
      <c r="A486" s="5"/>
      <c r="B486" s="6"/>
      <c r="C486" s="7"/>
      <c r="D486" s="9"/>
      <c r="E486" s="8"/>
      <c r="F486" s="9"/>
      <c r="G486" s="9"/>
      <c r="H486" s="6"/>
      <c r="I486" s="9"/>
      <c r="J486" s="9" t="s">
        <v>145</v>
      </c>
    </row>
    <row r="487" spans="1:10">
      <c r="A487" s="5"/>
      <c r="B487" s="6"/>
      <c r="C487" s="7"/>
      <c r="D487" s="9"/>
      <c r="E487" s="8"/>
      <c r="F487" s="9"/>
      <c r="G487" s="9"/>
      <c r="H487" s="6"/>
      <c r="I487" s="9"/>
      <c r="J487" s="9" t="s">
        <v>145</v>
      </c>
    </row>
    <row r="488" spans="1:10">
      <c r="A488" s="5"/>
      <c r="B488" s="6"/>
      <c r="C488" s="7"/>
      <c r="D488" s="9"/>
      <c r="E488" s="8"/>
      <c r="F488" s="9"/>
      <c r="G488" s="9"/>
      <c r="H488" s="6"/>
      <c r="I488" s="9"/>
      <c r="J488" s="9" t="s">
        <v>145</v>
      </c>
    </row>
    <row r="489" spans="1:10">
      <c r="A489" s="5"/>
      <c r="B489" s="6"/>
      <c r="C489" s="7"/>
      <c r="D489" s="9"/>
      <c r="E489" s="8"/>
      <c r="F489" s="9"/>
      <c r="G489" s="9"/>
      <c r="H489" s="6"/>
      <c r="I489" s="9"/>
      <c r="J489" s="9" t="s">
        <v>145</v>
      </c>
    </row>
    <row r="490" spans="1:10">
      <c r="A490" s="5"/>
      <c r="B490" s="6"/>
      <c r="C490" s="7"/>
      <c r="D490" s="9"/>
      <c r="E490" s="8"/>
      <c r="F490" s="9"/>
      <c r="G490" s="9"/>
      <c r="H490" s="6"/>
      <c r="I490" s="9"/>
      <c r="J490" s="9" t="s">
        <v>145</v>
      </c>
    </row>
    <row r="491" spans="1:10">
      <c r="A491" s="5"/>
      <c r="B491" s="6"/>
      <c r="C491" s="7"/>
      <c r="D491" s="9"/>
      <c r="E491" s="8"/>
      <c r="F491" s="9"/>
      <c r="G491" s="9"/>
      <c r="H491" s="6"/>
      <c r="I491" s="9"/>
      <c r="J491" s="9" t="s">
        <v>145</v>
      </c>
    </row>
    <row r="492" spans="1:10">
      <c r="A492" s="5"/>
      <c r="B492" s="6"/>
      <c r="C492" s="7"/>
      <c r="D492" s="9"/>
      <c r="E492" s="8"/>
      <c r="F492" s="9"/>
      <c r="G492" s="9"/>
      <c r="H492" s="6"/>
      <c r="I492" s="9"/>
      <c r="J492" s="9" t="s">
        <v>145</v>
      </c>
    </row>
    <row r="493" spans="1:10">
      <c r="A493" s="5"/>
      <c r="B493" s="6"/>
      <c r="C493" s="7"/>
      <c r="D493" s="9"/>
      <c r="E493" s="4"/>
      <c r="F493" s="9"/>
      <c r="G493" s="9"/>
      <c r="H493" s="6"/>
      <c r="I493" s="9"/>
      <c r="J493" s="9" t="s">
        <v>145</v>
      </c>
    </row>
    <row r="494" spans="1:10">
      <c r="A494" s="5"/>
      <c r="B494" s="6"/>
      <c r="C494" s="7"/>
      <c r="D494" s="9"/>
      <c r="E494" s="8"/>
      <c r="F494" s="9"/>
      <c r="G494" s="9"/>
      <c r="H494" s="6"/>
      <c r="I494" s="9"/>
      <c r="J494" s="9" t="s">
        <v>145</v>
      </c>
    </row>
    <row r="495" spans="1:10">
      <c r="A495" s="5"/>
      <c r="B495" s="6"/>
      <c r="C495" s="7"/>
      <c r="D495" s="9"/>
      <c r="E495" s="8"/>
      <c r="F495" s="9"/>
      <c r="G495" s="9"/>
      <c r="H495" s="6"/>
      <c r="I495" s="9"/>
      <c r="J495" s="9" t="s">
        <v>145</v>
      </c>
    </row>
    <row r="496" spans="1:10">
      <c r="A496" s="5"/>
      <c r="B496" s="6"/>
      <c r="C496" s="7"/>
      <c r="D496" s="9"/>
      <c r="E496" s="8"/>
      <c r="F496" s="9"/>
      <c r="G496" s="9"/>
      <c r="H496" s="6"/>
      <c r="I496" s="9"/>
      <c r="J496" s="9" t="s">
        <v>145</v>
      </c>
    </row>
    <row r="497" spans="1:10">
      <c r="A497" s="5"/>
      <c r="B497" s="6"/>
      <c r="C497" s="7"/>
      <c r="D497" s="9"/>
      <c r="E497" s="8"/>
      <c r="F497" s="9"/>
      <c r="G497" s="9"/>
      <c r="H497" s="6"/>
      <c r="I497" s="9"/>
      <c r="J497" s="9" t="s">
        <v>145</v>
      </c>
    </row>
    <row r="498" spans="1:10">
      <c r="A498" s="5"/>
      <c r="B498" s="6"/>
      <c r="C498" s="7"/>
      <c r="D498" s="9"/>
      <c r="E498" s="8"/>
      <c r="F498" s="9"/>
      <c r="G498" s="9"/>
      <c r="H498" s="6"/>
      <c r="I498" s="9"/>
      <c r="J498" s="9" t="s">
        <v>145</v>
      </c>
    </row>
    <row r="499" spans="1:10">
      <c r="A499" s="5"/>
      <c r="B499" s="6"/>
      <c r="C499" s="7"/>
      <c r="D499" s="9"/>
      <c r="E499" s="8"/>
      <c r="F499" s="9"/>
      <c r="G499" s="9"/>
      <c r="H499" s="6"/>
      <c r="I499" s="9"/>
      <c r="J499" s="9" t="s">
        <v>145</v>
      </c>
    </row>
    <row r="500" spans="1:10">
      <c r="A500" s="5"/>
      <c r="B500" s="6"/>
      <c r="C500" s="7"/>
      <c r="D500" s="9"/>
      <c r="E500" s="4"/>
      <c r="F500" s="9"/>
      <c r="G500" s="9"/>
      <c r="H500" s="6"/>
      <c r="I500" s="9"/>
      <c r="J500" s="9" t="s">
        <v>145</v>
      </c>
    </row>
    <row r="501" spans="1:10">
      <c r="A501" s="5"/>
      <c r="B501" s="6"/>
      <c r="C501" s="7"/>
      <c r="D501" s="9"/>
      <c r="E501" s="4"/>
      <c r="F501" s="9"/>
      <c r="G501" s="9"/>
      <c r="H501" s="6"/>
      <c r="I501" s="9"/>
      <c r="J501" s="9" t="s">
        <v>145</v>
      </c>
    </row>
    <row r="502" spans="1:10">
      <c r="A502" s="5"/>
      <c r="B502" s="6"/>
      <c r="C502" s="7"/>
      <c r="D502" s="9"/>
      <c r="E502" s="8"/>
      <c r="F502" s="9"/>
      <c r="G502" s="9"/>
      <c r="H502" s="6"/>
      <c r="I502" s="9"/>
      <c r="J502" s="9" t="s">
        <v>145</v>
      </c>
    </row>
    <row r="503" spans="1:10">
      <c r="A503" s="5"/>
      <c r="B503" s="6"/>
      <c r="C503" s="7"/>
      <c r="D503" s="9"/>
      <c r="E503" s="8"/>
      <c r="F503" s="9"/>
      <c r="G503" s="9"/>
      <c r="H503" s="6"/>
      <c r="I503" s="9"/>
      <c r="J503" s="9" t="s">
        <v>145</v>
      </c>
    </row>
    <row r="504" spans="1:10">
      <c r="A504" s="5"/>
      <c r="B504" s="6"/>
      <c r="C504" s="7"/>
      <c r="D504" s="9"/>
      <c r="E504" s="8"/>
      <c r="F504" s="9"/>
      <c r="G504" s="9"/>
      <c r="H504" s="6"/>
      <c r="I504" s="9"/>
      <c r="J504" s="9" t="s">
        <v>145</v>
      </c>
    </row>
    <row r="505" spans="1:10">
      <c r="A505" s="5"/>
      <c r="B505" s="6"/>
      <c r="C505" s="7"/>
      <c r="D505" s="9"/>
      <c r="E505" s="4"/>
      <c r="F505" s="9"/>
      <c r="G505" s="9"/>
      <c r="H505" s="6"/>
      <c r="I505" s="9"/>
      <c r="J505" s="9" t="s">
        <v>145</v>
      </c>
    </row>
    <row r="506" spans="1:10">
      <c r="A506" s="5"/>
      <c r="B506" s="6"/>
      <c r="C506" s="7"/>
      <c r="D506" s="9"/>
      <c r="E506" s="8"/>
      <c r="F506" s="9"/>
      <c r="G506" s="9"/>
      <c r="H506" s="6"/>
      <c r="I506" s="9"/>
      <c r="J506" s="9" t="s">
        <v>145</v>
      </c>
    </row>
    <row r="507" spans="1:10">
      <c r="A507" s="5"/>
      <c r="B507" s="6"/>
      <c r="C507" s="7"/>
      <c r="D507" s="9"/>
      <c r="E507" s="8"/>
      <c r="F507" s="9"/>
      <c r="G507" s="9"/>
      <c r="H507" s="6"/>
      <c r="I507" s="9"/>
      <c r="J507" s="9" t="s">
        <v>145</v>
      </c>
    </row>
    <row r="508" spans="1:10">
      <c r="A508" s="5"/>
      <c r="B508" s="6"/>
      <c r="C508" s="7"/>
      <c r="D508" s="9"/>
      <c r="E508" s="8"/>
      <c r="F508" s="9"/>
      <c r="G508" s="9"/>
      <c r="H508" s="6"/>
      <c r="I508" s="9"/>
      <c r="J508" s="9" t="s">
        <v>145</v>
      </c>
    </row>
    <row r="509" spans="1:10">
      <c r="A509" s="5"/>
      <c r="B509" s="6"/>
      <c r="C509" s="7"/>
      <c r="D509" s="9"/>
      <c r="E509" s="4"/>
      <c r="F509" s="9"/>
      <c r="G509" s="9"/>
      <c r="H509" s="6"/>
      <c r="I509" s="9"/>
      <c r="J509" s="9" t="s">
        <v>145</v>
      </c>
    </row>
    <row r="510" spans="1:10">
      <c r="A510" s="5"/>
      <c r="B510" s="6"/>
      <c r="C510" s="7"/>
      <c r="D510" s="9"/>
      <c r="E510" s="8"/>
      <c r="F510" s="9"/>
      <c r="G510" s="9"/>
      <c r="H510" s="6"/>
      <c r="I510" s="9"/>
      <c r="J510" s="9" t="s">
        <v>145</v>
      </c>
    </row>
    <row r="511" spans="1:10">
      <c r="A511" s="5"/>
      <c r="B511" s="6"/>
      <c r="C511" s="7"/>
      <c r="D511" s="9"/>
      <c r="E511" s="4"/>
      <c r="F511" s="9"/>
      <c r="G511" s="9"/>
      <c r="H511" s="6"/>
      <c r="I511" s="9"/>
      <c r="J511" s="9" t="s">
        <v>145</v>
      </c>
    </row>
    <row r="512" spans="1:10">
      <c r="A512" s="5"/>
      <c r="B512" s="6"/>
      <c r="C512" s="7"/>
      <c r="D512" s="9"/>
      <c r="E512" s="8"/>
      <c r="F512" s="9"/>
      <c r="G512" s="9"/>
      <c r="H512" s="6"/>
      <c r="I512" s="9"/>
      <c r="J512" s="9" t="s">
        <v>145</v>
      </c>
    </row>
    <row r="513" spans="1:10">
      <c r="A513" s="5"/>
      <c r="B513" s="6"/>
      <c r="C513" s="7"/>
      <c r="D513" s="9"/>
      <c r="E513" s="4"/>
      <c r="F513" s="9"/>
      <c r="G513" s="9"/>
      <c r="H513" s="6"/>
      <c r="I513" s="9"/>
      <c r="J513" s="9" t="s">
        <v>145</v>
      </c>
    </row>
    <row r="514" spans="1:10">
      <c r="A514" s="5"/>
      <c r="B514" s="6"/>
      <c r="C514" s="7"/>
      <c r="D514" s="9"/>
      <c r="E514" s="8"/>
      <c r="F514" s="9"/>
      <c r="G514" s="9"/>
      <c r="H514" s="6"/>
      <c r="I514" s="9"/>
      <c r="J514" s="9" t="s">
        <v>145</v>
      </c>
    </row>
    <row r="515" spans="1:10">
      <c r="A515" s="5"/>
      <c r="B515" s="6"/>
      <c r="C515" s="7"/>
      <c r="D515" s="9"/>
      <c r="E515" s="8"/>
      <c r="F515" s="9"/>
      <c r="G515" s="9"/>
      <c r="H515" s="6"/>
      <c r="I515" s="9"/>
      <c r="J515" s="9" t="s">
        <v>145</v>
      </c>
    </row>
    <row r="516" spans="1:10">
      <c r="A516" s="5"/>
      <c r="B516" s="6"/>
      <c r="C516" s="7"/>
      <c r="D516" s="9"/>
      <c r="E516" s="4"/>
      <c r="F516" s="9"/>
      <c r="G516" s="9"/>
      <c r="H516" s="6"/>
      <c r="I516" s="9"/>
      <c r="J516" s="9" t="s">
        <v>145</v>
      </c>
    </row>
    <row r="517" spans="1:10">
      <c r="A517" s="5"/>
      <c r="B517" s="6"/>
      <c r="C517" s="7"/>
      <c r="D517" s="9"/>
      <c r="E517" s="8"/>
      <c r="F517" s="9"/>
      <c r="G517" s="9"/>
      <c r="H517" s="6"/>
      <c r="I517" s="9"/>
      <c r="J517" s="9" t="s">
        <v>145</v>
      </c>
    </row>
    <row r="518" spans="1:10">
      <c r="A518" s="5"/>
      <c r="B518" s="6"/>
      <c r="C518" s="7"/>
      <c r="D518" s="9"/>
      <c r="E518" s="4"/>
      <c r="F518" s="9"/>
      <c r="G518" s="9"/>
      <c r="H518" s="6"/>
      <c r="I518" s="9"/>
      <c r="J518" s="9" t="s">
        <v>145</v>
      </c>
    </row>
    <row r="519" spans="1:10">
      <c r="A519" s="5"/>
      <c r="B519" s="6"/>
      <c r="C519" s="7"/>
      <c r="D519" s="9"/>
      <c r="E519" s="8"/>
      <c r="F519" s="9"/>
      <c r="G519" s="9"/>
      <c r="H519" s="6"/>
      <c r="I519" s="9"/>
      <c r="J519" s="9" t="s">
        <v>145</v>
      </c>
    </row>
  </sheetData>
  <autoFilter ref="A6:M454" xr:uid="{B7411325-D959-40C5-9F01-09913600F1C6}"/>
  <mergeCells count="2">
    <mergeCell ref="A2:J2"/>
    <mergeCell ref="A3:B3"/>
  </mergeCells>
  <phoneticPr fontId="5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7B968-842F-4F13-9BA2-68D3F025E85E}">
  <dimension ref="A2:M419"/>
  <sheetViews>
    <sheetView workbookViewId="0">
      <selection sqref="A1:A1048576"/>
    </sheetView>
  </sheetViews>
  <sheetFormatPr defaultColWidth="9.81640625" defaultRowHeight="17"/>
  <cols>
    <col min="1" max="1" width="7.81640625" style="10" customWidth="1"/>
    <col min="2" max="2" width="35.81640625" style="3" bestFit="1" customWidth="1"/>
    <col min="3" max="3" width="16.453125" style="10" customWidth="1"/>
    <col min="4" max="4" width="20.1796875" style="10" customWidth="1"/>
    <col min="5" max="5" width="27.453125" style="11" customWidth="1"/>
    <col min="6" max="7" width="10.54296875" style="10" customWidth="1"/>
    <col min="8" max="8" width="52.1796875" style="3" customWidth="1"/>
    <col min="9" max="9" width="8.7265625" style="10" customWidth="1"/>
    <col min="10" max="10" width="20" style="10" hidden="1" customWidth="1"/>
    <col min="11" max="16384" width="9.81640625" style="3"/>
  </cols>
  <sheetData>
    <row r="2" spans="1:13" s="31" customFormat="1" ht="35.15" customHeight="1">
      <c r="A2" s="96"/>
      <c r="B2" s="96"/>
      <c r="C2" s="96"/>
      <c r="D2" s="96"/>
      <c r="E2" s="96"/>
      <c r="F2" s="96"/>
      <c r="G2" s="96"/>
      <c r="H2" s="96"/>
      <c r="I2" s="96"/>
      <c r="J2" s="96"/>
      <c r="K2" s="30"/>
      <c r="L2" s="30"/>
      <c r="M2" s="30"/>
    </row>
    <row r="3" spans="1:13" s="31" customFormat="1" ht="23.15" customHeight="1">
      <c r="A3" s="97" t="s">
        <v>236</v>
      </c>
      <c r="B3" s="97"/>
      <c r="C3" s="32"/>
      <c r="D3" s="33"/>
      <c r="E3" s="32"/>
      <c r="F3" s="32"/>
      <c r="G3" s="32"/>
      <c r="H3" s="32"/>
      <c r="I3" s="32"/>
      <c r="J3" s="32"/>
      <c r="K3" s="32"/>
      <c r="L3" s="32"/>
      <c r="M3" s="34"/>
    </row>
    <row r="4" spans="1:13" ht="5.15" customHeight="1"/>
    <row r="5" spans="1:13">
      <c r="G5" s="10">
        <f>SUBTOTAL(3,G7:G419)</f>
        <v>0</v>
      </c>
    </row>
    <row r="6" spans="1:13" ht="25.5" customHeight="1">
      <c r="A6" s="1" t="s">
        <v>102</v>
      </c>
      <c r="B6" s="2" t="s">
        <v>103</v>
      </c>
      <c r="C6" s="1" t="s">
        <v>104</v>
      </c>
      <c r="D6" s="1" t="s">
        <v>105</v>
      </c>
      <c r="E6" s="2" t="s">
        <v>106</v>
      </c>
      <c r="F6" s="1" t="s">
        <v>107</v>
      </c>
      <c r="G6" s="1" t="s">
        <v>6</v>
      </c>
      <c r="H6" s="1" t="s">
        <v>108</v>
      </c>
      <c r="I6" s="1" t="s">
        <v>109</v>
      </c>
      <c r="J6" s="1" t="s">
        <v>110</v>
      </c>
    </row>
    <row r="7" spans="1:13">
      <c r="A7" s="5"/>
      <c r="B7" s="6"/>
      <c r="C7" s="7"/>
      <c r="D7" s="9"/>
      <c r="E7" s="8"/>
      <c r="F7" s="9"/>
      <c r="G7" s="9"/>
      <c r="H7" s="6"/>
      <c r="I7" s="9"/>
      <c r="J7" s="9" t="s">
        <v>145</v>
      </c>
    </row>
    <row r="8" spans="1:13">
      <c r="A8" s="5"/>
      <c r="B8" s="6"/>
      <c r="C8" s="7"/>
      <c r="D8" s="9"/>
      <c r="E8" s="4"/>
      <c r="F8" s="9"/>
      <c r="G8" s="9"/>
      <c r="H8" s="6"/>
      <c r="I8" s="9"/>
      <c r="J8" s="9" t="s">
        <v>145</v>
      </c>
    </row>
    <row r="9" spans="1:13">
      <c r="A9" s="5"/>
      <c r="B9" s="6"/>
      <c r="C9" s="7"/>
      <c r="D9" s="9"/>
      <c r="E9" s="8"/>
      <c r="F9" s="9"/>
      <c r="G9" s="9"/>
      <c r="H9" s="6"/>
      <c r="I9" s="9"/>
      <c r="J9" s="9" t="s">
        <v>145</v>
      </c>
    </row>
    <row r="10" spans="1:13">
      <c r="A10" s="5"/>
      <c r="B10" s="6"/>
      <c r="C10" s="7"/>
      <c r="D10" s="9"/>
      <c r="E10" s="4"/>
      <c r="F10" s="9"/>
      <c r="G10" s="9"/>
      <c r="H10" s="6"/>
      <c r="I10" s="9"/>
      <c r="J10" s="9" t="s">
        <v>145</v>
      </c>
    </row>
    <row r="11" spans="1:13">
      <c r="A11" s="5"/>
      <c r="B11" s="6"/>
      <c r="C11" s="7"/>
      <c r="D11" s="9"/>
      <c r="E11" s="8"/>
      <c r="F11" s="9"/>
      <c r="G11" s="9"/>
      <c r="H11" s="6"/>
      <c r="I11" s="9"/>
      <c r="J11" s="9" t="s">
        <v>145</v>
      </c>
    </row>
    <row r="12" spans="1:13">
      <c r="A12" s="5"/>
      <c r="B12" s="6"/>
      <c r="C12" s="7"/>
      <c r="D12" s="9"/>
      <c r="E12" s="8"/>
      <c r="F12" s="9"/>
      <c r="G12" s="9"/>
      <c r="H12" s="6"/>
      <c r="I12" s="9"/>
      <c r="J12" s="9" t="s">
        <v>145</v>
      </c>
    </row>
    <row r="13" spans="1:13">
      <c r="A13" s="5"/>
      <c r="B13" s="6"/>
      <c r="C13" s="7"/>
      <c r="D13" s="9"/>
      <c r="E13" s="8"/>
      <c r="F13" s="9"/>
      <c r="G13" s="9"/>
      <c r="H13" s="6"/>
      <c r="I13" s="9"/>
      <c r="J13" s="9" t="s">
        <v>145</v>
      </c>
    </row>
    <row r="14" spans="1:13">
      <c r="A14" s="5"/>
      <c r="B14" s="6"/>
      <c r="C14" s="7"/>
      <c r="D14" s="9"/>
      <c r="E14" s="8"/>
      <c r="F14" s="9"/>
      <c r="G14" s="9"/>
      <c r="H14" s="6"/>
      <c r="I14" s="9"/>
      <c r="J14" s="9" t="s">
        <v>145</v>
      </c>
    </row>
    <row r="15" spans="1:13">
      <c r="A15" s="5"/>
      <c r="B15" s="6"/>
      <c r="C15" s="7"/>
      <c r="D15" s="9"/>
      <c r="E15" s="8"/>
      <c r="F15" s="9"/>
      <c r="G15" s="9"/>
      <c r="H15" s="6"/>
      <c r="I15" s="9"/>
      <c r="J15" s="9" t="s">
        <v>145</v>
      </c>
    </row>
    <row r="16" spans="1:13">
      <c r="A16" s="5"/>
      <c r="B16" s="6"/>
      <c r="C16" s="7"/>
      <c r="D16" s="9"/>
      <c r="E16" s="8"/>
      <c r="F16" s="9"/>
      <c r="G16" s="9"/>
      <c r="H16" s="6"/>
      <c r="I16" s="9"/>
      <c r="J16" s="9" t="s">
        <v>145</v>
      </c>
    </row>
    <row r="17" spans="1:10">
      <c r="A17" s="5"/>
      <c r="B17" s="6"/>
      <c r="C17" s="7"/>
      <c r="D17" s="9"/>
      <c r="E17" s="8"/>
      <c r="F17" s="9"/>
      <c r="G17" s="9"/>
      <c r="H17" s="6"/>
      <c r="I17" s="9"/>
      <c r="J17" s="9" t="s">
        <v>145</v>
      </c>
    </row>
    <row r="18" spans="1:10">
      <c r="A18" s="5"/>
      <c r="B18" s="6"/>
      <c r="C18" s="7"/>
      <c r="D18" s="9"/>
      <c r="E18" s="8"/>
      <c r="F18" s="9"/>
      <c r="G18" s="9"/>
      <c r="H18" s="6"/>
      <c r="I18" s="9"/>
      <c r="J18" s="9" t="s">
        <v>145</v>
      </c>
    </row>
    <row r="19" spans="1:10">
      <c r="A19" s="5"/>
      <c r="B19" s="6"/>
      <c r="C19" s="7"/>
      <c r="D19" s="9"/>
      <c r="E19" s="8"/>
      <c r="F19" s="9"/>
      <c r="G19" s="9"/>
      <c r="H19" s="6"/>
      <c r="I19" s="9"/>
      <c r="J19" s="9" t="s">
        <v>145</v>
      </c>
    </row>
    <row r="20" spans="1:10">
      <c r="A20" s="5"/>
      <c r="B20" s="6"/>
      <c r="C20" s="7"/>
      <c r="D20" s="9"/>
      <c r="E20" s="4"/>
      <c r="F20" s="9"/>
      <c r="G20" s="9"/>
      <c r="H20" s="6"/>
      <c r="I20" s="9"/>
      <c r="J20" s="9" t="s">
        <v>145</v>
      </c>
    </row>
    <row r="21" spans="1:10">
      <c r="A21" s="5"/>
      <c r="B21" s="6"/>
      <c r="C21" s="7"/>
      <c r="D21" s="9"/>
      <c r="E21" s="8"/>
      <c r="F21" s="9"/>
      <c r="G21" s="9"/>
      <c r="H21" s="6"/>
      <c r="I21" s="9"/>
      <c r="J21" s="9" t="s">
        <v>145</v>
      </c>
    </row>
    <row r="22" spans="1:10">
      <c r="A22" s="5"/>
      <c r="B22" s="6"/>
      <c r="C22" s="7"/>
      <c r="D22" s="9"/>
      <c r="E22" s="8"/>
      <c r="F22" s="9"/>
      <c r="G22" s="9"/>
      <c r="H22" s="6"/>
      <c r="I22" s="9"/>
      <c r="J22" s="9" t="s">
        <v>145</v>
      </c>
    </row>
    <row r="23" spans="1:10">
      <c r="A23" s="5"/>
      <c r="B23" s="6"/>
      <c r="C23" s="7"/>
      <c r="D23" s="9"/>
      <c r="E23" s="8"/>
      <c r="F23" s="9"/>
      <c r="G23" s="9"/>
      <c r="H23" s="6"/>
      <c r="I23" s="9"/>
      <c r="J23" s="9" t="s">
        <v>145</v>
      </c>
    </row>
    <row r="24" spans="1:10">
      <c r="A24" s="5"/>
      <c r="B24" s="6"/>
      <c r="C24" s="7"/>
      <c r="D24" s="9"/>
      <c r="E24" s="8"/>
      <c r="F24" s="9"/>
      <c r="G24" s="9"/>
      <c r="H24" s="6"/>
      <c r="I24" s="9"/>
      <c r="J24" s="9" t="s">
        <v>145</v>
      </c>
    </row>
    <row r="25" spans="1:10">
      <c r="A25" s="5"/>
      <c r="B25" s="6"/>
      <c r="C25" s="7"/>
      <c r="D25" s="9"/>
      <c r="E25" s="8"/>
      <c r="F25" s="9"/>
      <c r="G25" s="9"/>
      <c r="H25" s="6"/>
      <c r="I25" s="9"/>
      <c r="J25" s="9" t="s">
        <v>145</v>
      </c>
    </row>
    <row r="26" spans="1:10">
      <c r="A26" s="5"/>
      <c r="B26" s="6"/>
      <c r="C26" s="7"/>
      <c r="D26" s="9"/>
      <c r="E26" s="4"/>
      <c r="F26" s="9"/>
      <c r="G26" s="9"/>
      <c r="H26" s="6"/>
      <c r="I26" s="9"/>
      <c r="J26" s="9" t="s">
        <v>145</v>
      </c>
    </row>
    <row r="27" spans="1:10">
      <c r="A27" s="5"/>
      <c r="B27" s="6"/>
      <c r="C27" s="7"/>
      <c r="D27" s="9"/>
      <c r="E27" s="8"/>
      <c r="F27" s="9"/>
      <c r="G27" s="9"/>
      <c r="H27" s="6"/>
      <c r="I27" s="9"/>
      <c r="J27" s="9" t="s">
        <v>145</v>
      </c>
    </row>
    <row r="28" spans="1:10">
      <c r="A28" s="5"/>
      <c r="B28" s="6"/>
      <c r="C28" s="7"/>
      <c r="D28" s="9"/>
      <c r="E28" s="8"/>
      <c r="F28" s="9"/>
      <c r="G28" s="9"/>
      <c r="H28" s="6"/>
      <c r="I28" s="9"/>
      <c r="J28" s="9" t="s">
        <v>145</v>
      </c>
    </row>
    <row r="29" spans="1:10">
      <c r="A29" s="5"/>
      <c r="B29" s="6"/>
      <c r="C29" s="7"/>
      <c r="D29" s="9"/>
      <c r="E29" s="8"/>
      <c r="F29" s="9"/>
      <c r="G29" s="9"/>
      <c r="H29" s="6"/>
      <c r="I29" s="9"/>
      <c r="J29" s="9" t="s">
        <v>145</v>
      </c>
    </row>
    <row r="30" spans="1:10">
      <c r="A30" s="5"/>
      <c r="B30" s="6"/>
      <c r="C30" s="7"/>
      <c r="D30" s="9"/>
      <c r="E30" s="4"/>
      <c r="F30" s="9"/>
      <c r="G30" s="9"/>
      <c r="H30" s="6"/>
      <c r="I30" s="9"/>
      <c r="J30" s="9" t="s">
        <v>145</v>
      </c>
    </row>
    <row r="31" spans="1:10">
      <c r="A31" s="5"/>
      <c r="B31" s="6"/>
      <c r="C31" s="7"/>
      <c r="D31" s="9"/>
      <c r="E31" s="8"/>
      <c r="F31" s="9"/>
      <c r="G31" s="9"/>
      <c r="H31" s="6"/>
      <c r="I31" s="9"/>
      <c r="J31" s="9" t="s">
        <v>145</v>
      </c>
    </row>
    <row r="32" spans="1:10">
      <c r="A32" s="5"/>
      <c r="B32" s="6"/>
      <c r="C32" s="7"/>
      <c r="D32" s="9"/>
      <c r="E32" s="8"/>
      <c r="F32" s="9"/>
      <c r="G32" s="9"/>
      <c r="H32" s="6"/>
      <c r="I32" s="9"/>
      <c r="J32" s="9" t="s">
        <v>145</v>
      </c>
    </row>
    <row r="33" spans="1:10">
      <c r="A33" s="5"/>
      <c r="B33" s="6"/>
      <c r="C33" s="7"/>
      <c r="D33" s="9"/>
      <c r="E33" s="8"/>
      <c r="F33" s="9"/>
      <c r="G33" s="9"/>
      <c r="H33" s="6"/>
      <c r="I33" s="9"/>
      <c r="J33" s="9" t="s">
        <v>145</v>
      </c>
    </row>
    <row r="34" spans="1:10">
      <c r="A34" s="5"/>
      <c r="B34" s="6"/>
      <c r="C34" s="7"/>
      <c r="D34" s="9"/>
      <c r="E34" s="8"/>
      <c r="F34" s="9"/>
      <c r="G34" s="9"/>
      <c r="H34" s="6"/>
      <c r="I34" s="9"/>
      <c r="J34" s="9" t="s">
        <v>145</v>
      </c>
    </row>
    <row r="35" spans="1:10">
      <c r="A35" s="5"/>
      <c r="B35" s="6"/>
      <c r="C35" s="7"/>
      <c r="D35" s="9"/>
      <c r="E35" s="8"/>
      <c r="F35" s="9"/>
      <c r="G35" s="9"/>
      <c r="H35" s="6"/>
      <c r="I35" s="9"/>
      <c r="J35" s="9" t="s">
        <v>145</v>
      </c>
    </row>
    <row r="36" spans="1:10">
      <c r="A36" s="5"/>
      <c r="B36" s="6"/>
      <c r="C36" s="7"/>
      <c r="D36" s="9"/>
      <c r="E36" s="8"/>
      <c r="F36" s="9"/>
      <c r="G36" s="9"/>
      <c r="H36" s="6"/>
      <c r="I36" s="9"/>
      <c r="J36" s="9" t="s">
        <v>145</v>
      </c>
    </row>
    <row r="37" spans="1:10">
      <c r="A37" s="5"/>
      <c r="B37" s="6"/>
      <c r="C37" s="7"/>
      <c r="D37" s="9"/>
      <c r="E37" s="8"/>
      <c r="F37" s="9"/>
      <c r="G37" s="9"/>
      <c r="H37" s="6"/>
      <c r="I37" s="9"/>
      <c r="J37" s="9" t="s">
        <v>145</v>
      </c>
    </row>
    <row r="38" spans="1:10">
      <c r="A38" s="5"/>
      <c r="B38" s="6"/>
      <c r="C38" s="7"/>
      <c r="D38" s="9"/>
      <c r="E38" s="8"/>
      <c r="F38" s="9"/>
      <c r="G38" s="9"/>
      <c r="H38" s="6"/>
      <c r="I38" s="9"/>
      <c r="J38" s="9" t="s">
        <v>145</v>
      </c>
    </row>
    <row r="39" spans="1:10">
      <c r="A39" s="5"/>
      <c r="B39" s="6"/>
      <c r="C39" s="7"/>
      <c r="D39" s="9"/>
      <c r="E39" s="8"/>
      <c r="F39" s="9"/>
      <c r="G39" s="9"/>
      <c r="H39" s="6"/>
      <c r="I39" s="9"/>
      <c r="J39" s="9" t="s">
        <v>145</v>
      </c>
    </row>
    <row r="40" spans="1:10">
      <c r="A40" s="5"/>
      <c r="B40" s="6"/>
      <c r="C40" s="7"/>
      <c r="D40" s="9"/>
      <c r="E40" s="8"/>
      <c r="F40" s="9"/>
      <c r="G40" s="9"/>
      <c r="H40" s="6"/>
      <c r="I40" s="9"/>
      <c r="J40" s="9" t="s">
        <v>145</v>
      </c>
    </row>
    <row r="41" spans="1:10">
      <c r="A41" s="5"/>
      <c r="B41" s="6"/>
      <c r="C41" s="7"/>
      <c r="D41" s="9"/>
      <c r="E41" s="8"/>
      <c r="F41" s="9"/>
      <c r="G41" s="9"/>
      <c r="H41" s="6"/>
      <c r="I41" s="9"/>
      <c r="J41" s="9" t="s">
        <v>145</v>
      </c>
    </row>
    <row r="42" spans="1:10">
      <c r="A42" s="5"/>
      <c r="B42" s="6"/>
      <c r="C42" s="7"/>
      <c r="D42" s="9"/>
      <c r="E42" s="8"/>
      <c r="F42" s="9"/>
      <c r="G42" s="9"/>
      <c r="H42" s="6"/>
      <c r="I42" s="9"/>
      <c r="J42" s="9" t="s">
        <v>145</v>
      </c>
    </row>
    <row r="43" spans="1:10">
      <c r="A43" s="5"/>
      <c r="B43" s="6"/>
      <c r="C43" s="7"/>
      <c r="D43" s="9"/>
      <c r="E43" s="8"/>
      <c r="F43" s="9"/>
      <c r="G43" s="9"/>
      <c r="H43" s="6"/>
      <c r="I43" s="9"/>
      <c r="J43" s="9" t="s">
        <v>145</v>
      </c>
    </row>
    <row r="44" spans="1:10">
      <c r="A44" s="5"/>
      <c r="B44" s="6"/>
      <c r="C44" s="7"/>
      <c r="D44" s="9"/>
      <c r="E44" s="8"/>
      <c r="F44" s="9"/>
      <c r="G44" s="9"/>
      <c r="H44" s="6"/>
      <c r="I44" s="9"/>
      <c r="J44" s="9" t="s">
        <v>145</v>
      </c>
    </row>
    <row r="45" spans="1:10">
      <c r="A45" s="5"/>
      <c r="B45" s="6"/>
      <c r="C45" s="7"/>
      <c r="D45" s="9"/>
      <c r="E45" s="8"/>
      <c r="F45" s="9"/>
      <c r="G45" s="9"/>
      <c r="H45" s="6"/>
      <c r="I45" s="9"/>
      <c r="J45" s="9" t="s">
        <v>145</v>
      </c>
    </row>
    <row r="46" spans="1:10">
      <c r="A46" s="5"/>
      <c r="B46" s="6"/>
      <c r="C46" s="7"/>
      <c r="D46" s="9"/>
      <c r="E46" s="8"/>
      <c r="F46" s="9"/>
      <c r="G46" s="9"/>
      <c r="H46" s="6"/>
      <c r="I46" s="9"/>
      <c r="J46" s="9" t="s">
        <v>145</v>
      </c>
    </row>
    <row r="47" spans="1:10">
      <c r="A47" s="5"/>
      <c r="B47" s="6"/>
      <c r="C47" s="7"/>
      <c r="D47" s="9"/>
      <c r="E47" s="8"/>
      <c r="F47" s="9"/>
      <c r="G47" s="9"/>
      <c r="H47" s="6"/>
      <c r="I47" s="9"/>
      <c r="J47" s="9" t="s">
        <v>145</v>
      </c>
    </row>
    <row r="48" spans="1:10">
      <c r="A48" s="5"/>
      <c r="B48" s="6"/>
      <c r="C48" s="7"/>
      <c r="D48" s="9"/>
      <c r="E48" s="4"/>
      <c r="F48" s="9"/>
      <c r="G48" s="9"/>
      <c r="H48" s="6"/>
      <c r="I48" s="9"/>
      <c r="J48" s="9" t="s">
        <v>145</v>
      </c>
    </row>
    <row r="49" spans="1:10">
      <c r="A49" s="5"/>
      <c r="B49" s="6"/>
      <c r="C49" s="7"/>
      <c r="D49" s="9"/>
      <c r="E49" s="4"/>
      <c r="F49" s="9"/>
      <c r="G49" s="9"/>
      <c r="H49" s="6"/>
      <c r="I49" s="9"/>
      <c r="J49" s="9" t="s">
        <v>145</v>
      </c>
    </row>
    <row r="50" spans="1:10">
      <c r="A50" s="5"/>
      <c r="B50" s="6"/>
      <c r="C50" s="7"/>
      <c r="D50" s="9"/>
      <c r="E50" s="8"/>
      <c r="F50" s="9"/>
      <c r="G50" s="9"/>
      <c r="H50" s="6"/>
      <c r="I50" s="9"/>
      <c r="J50" s="9" t="s">
        <v>145</v>
      </c>
    </row>
    <row r="51" spans="1:10">
      <c r="A51" s="5"/>
      <c r="B51" s="6"/>
      <c r="C51" s="7"/>
      <c r="D51" s="9"/>
      <c r="E51" s="8"/>
      <c r="F51" s="9"/>
      <c r="G51" s="9"/>
      <c r="H51" s="6"/>
      <c r="I51" s="9"/>
      <c r="J51" s="9" t="s">
        <v>145</v>
      </c>
    </row>
    <row r="52" spans="1:10">
      <c r="A52" s="5"/>
      <c r="B52" s="6"/>
      <c r="C52" s="7"/>
      <c r="D52" s="9"/>
      <c r="E52" s="8"/>
      <c r="F52" s="9"/>
      <c r="G52" s="9"/>
      <c r="H52" s="6"/>
      <c r="I52" s="9"/>
      <c r="J52" s="9" t="s">
        <v>145</v>
      </c>
    </row>
    <row r="53" spans="1:10">
      <c r="A53" s="5"/>
      <c r="B53" s="6"/>
      <c r="C53" s="7"/>
      <c r="D53" s="9"/>
      <c r="E53" s="4"/>
      <c r="F53" s="9"/>
      <c r="G53" s="9"/>
      <c r="H53" s="6"/>
      <c r="I53" s="9"/>
      <c r="J53" s="9" t="s">
        <v>145</v>
      </c>
    </row>
    <row r="54" spans="1:10">
      <c r="A54" s="5"/>
      <c r="B54" s="6"/>
      <c r="C54" s="7"/>
      <c r="D54" s="9"/>
      <c r="E54" s="8"/>
      <c r="F54" s="9"/>
      <c r="G54" s="9"/>
      <c r="H54" s="6"/>
      <c r="I54" s="9"/>
      <c r="J54" s="9" t="s">
        <v>145</v>
      </c>
    </row>
    <row r="55" spans="1:10">
      <c r="A55" s="5"/>
      <c r="B55" s="6"/>
      <c r="C55" s="7"/>
      <c r="D55" s="9"/>
      <c r="E55" s="4"/>
      <c r="F55" s="9"/>
      <c r="G55" s="9"/>
      <c r="H55" s="6"/>
      <c r="I55" s="9"/>
      <c r="J55" s="9" t="s">
        <v>145</v>
      </c>
    </row>
    <row r="56" spans="1:10">
      <c r="A56" s="5"/>
      <c r="B56" s="6"/>
      <c r="C56" s="7"/>
      <c r="D56" s="9"/>
      <c r="E56" s="8"/>
      <c r="F56" s="9"/>
      <c r="G56" s="9"/>
      <c r="H56" s="6"/>
      <c r="I56" s="9"/>
      <c r="J56" s="9" t="s">
        <v>145</v>
      </c>
    </row>
    <row r="57" spans="1:10">
      <c r="A57" s="5"/>
      <c r="B57" s="6"/>
      <c r="C57" s="7"/>
      <c r="D57" s="9"/>
      <c r="E57" s="4"/>
      <c r="F57" s="9"/>
      <c r="G57" s="9"/>
      <c r="H57" s="6"/>
      <c r="I57" s="9"/>
      <c r="J57" s="9" t="s">
        <v>145</v>
      </c>
    </row>
    <row r="58" spans="1:10">
      <c r="A58" s="5"/>
      <c r="B58" s="6"/>
      <c r="C58" s="7"/>
      <c r="D58" s="9"/>
      <c r="E58" s="8"/>
      <c r="F58" s="9"/>
      <c r="G58" s="9"/>
      <c r="H58" s="6"/>
      <c r="I58" s="9"/>
      <c r="J58" s="9" t="s">
        <v>145</v>
      </c>
    </row>
    <row r="59" spans="1:10">
      <c r="A59" s="5"/>
      <c r="B59" s="6"/>
      <c r="C59" s="7"/>
      <c r="D59" s="9"/>
      <c r="E59" s="8"/>
      <c r="F59" s="9"/>
      <c r="G59" s="9"/>
      <c r="H59" s="6"/>
      <c r="I59" s="9"/>
      <c r="J59" s="9" t="s">
        <v>145</v>
      </c>
    </row>
    <row r="60" spans="1:10">
      <c r="A60" s="5"/>
      <c r="B60" s="6"/>
      <c r="C60" s="7"/>
      <c r="D60" s="9"/>
      <c r="E60" s="8"/>
      <c r="F60" s="9"/>
      <c r="G60" s="9"/>
      <c r="H60" s="6"/>
      <c r="I60" s="9"/>
      <c r="J60" s="9" t="s">
        <v>145</v>
      </c>
    </row>
    <row r="61" spans="1:10">
      <c r="A61" s="5"/>
      <c r="B61" s="6"/>
      <c r="C61" s="7"/>
      <c r="D61" s="9"/>
      <c r="E61" s="8"/>
      <c r="F61" s="9"/>
      <c r="G61" s="9"/>
      <c r="H61" s="6"/>
      <c r="I61" s="9"/>
      <c r="J61" s="9" t="s">
        <v>145</v>
      </c>
    </row>
    <row r="62" spans="1:10">
      <c r="A62" s="5"/>
      <c r="B62" s="6"/>
      <c r="C62" s="7"/>
      <c r="D62" s="9"/>
      <c r="E62" s="8"/>
      <c r="F62" s="9"/>
      <c r="G62" s="9"/>
      <c r="H62" s="6"/>
      <c r="I62" s="9"/>
      <c r="J62" s="9" t="s">
        <v>145</v>
      </c>
    </row>
    <row r="63" spans="1:10">
      <c r="A63" s="5"/>
      <c r="B63" s="6"/>
      <c r="C63" s="7"/>
      <c r="D63" s="9"/>
      <c r="E63" s="4"/>
      <c r="F63" s="9"/>
      <c r="G63" s="9"/>
      <c r="H63" s="6"/>
      <c r="I63" s="9"/>
      <c r="J63" s="9" t="s">
        <v>145</v>
      </c>
    </row>
    <row r="64" spans="1:10">
      <c r="A64" s="5"/>
      <c r="B64" s="6"/>
      <c r="C64" s="7"/>
      <c r="D64" s="9"/>
      <c r="E64" s="8"/>
      <c r="F64" s="9"/>
      <c r="G64" s="9"/>
      <c r="H64" s="6"/>
      <c r="I64" s="9"/>
      <c r="J64" s="9" t="s">
        <v>145</v>
      </c>
    </row>
    <row r="65" spans="1:10">
      <c r="A65" s="5"/>
      <c r="B65" s="6"/>
      <c r="C65" s="7"/>
      <c r="D65" s="9"/>
      <c r="E65" s="8"/>
      <c r="F65" s="9"/>
      <c r="G65" s="9"/>
      <c r="H65" s="6"/>
      <c r="I65" s="9"/>
      <c r="J65" s="9" t="s">
        <v>145</v>
      </c>
    </row>
    <row r="66" spans="1:10">
      <c r="A66" s="5"/>
      <c r="B66" s="6"/>
      <c r="C66" s="7"/>
      <c r="D66" s="9"/>
      <c r="E66" s="8"/>
      <c r="F66" s="9"/>
      <c r="G66" s="9"/>
      <c r="H66" s="6"/>
      <c r="I66" s="9"/>
      <c r="J66" s="9" t="s">
        <v>145</v>
      </c>
    </row>
    <row r="67" spans="1:10">
      <c r="A67" s="5"/>
      <c r="B67" s="6"/>
      <c r="C67" s="7"/>
      <c r="D67" s="9"/>
      <c r="E67" s="8"/>
      <c r="F67" s="9"/>
      <c r="G67" s="9"/>
      <c r="H67" s="6"/>
      <c r="I67" s="9"/>
      <c r="J67" s="9" t="s">
        <v>145</v>
      </c>
    </row>
    <row r="68" spans="1:10">
      <c r="A68" s="5"/>
      <c r="B68" s="6"/>
      <c r="C68" s="7"/>
      <c r="D68" s="9"/>
      <c r="E68" s="8"/>
      <c r="F68" s="9"/>
      <c r="G68" s="9"/>
      <c r="H68" s="6"/>
      <c r="I68" s="9"/>
      <c r="J68" s="9" t="s">
        <v>145</v>
      </c>
    </row>
    <row r="69" spans="1:10">
      <c r="A69" s="5"/>
      <c r="B69" s="6"/>
      <c r="C69" s="7"/>
      <c r="D69" s="9"/>
      <c r="E69" s="8"/>
      <c r="F69" s="9"/>
      <c r="G69" s="9"/>
      <c r="H69" s="6"/>
      <c r="I69" s="9"/>
      <c r="J69" s="9" t="s">
        <v>145</v>
      </c>
    </row>
    <row r="70" spans="1:10">
      <c r="A70" s="5"/>
      <c r="B70" s="6"/>
      <c r="C70" s="7"/>
      <c r="D70" s="9"/>
      <c r="E70" s="8"/>
      <c r="F70" s="9"/>
      <c r="G70" s="9"/>
      <c r="H70" s="6"/>
      <c r="I70" s="9"/>
      <c r="J70" s="9" t="s">
        <v>145</v>
      </c>
    </row>
    <row r="71" spans="1:10">
      <c r="A71" s="5"/>
      <c r="B71" s="6"/>
      <c r="C71" s="7"/>
      <c r="D71" s="9"/>
      <c r="E71" s="8"/>
      <c r="F71" s="9"/>
      <c r="G71" s="9"/>
      <c r="H71" s="6"/>
      <c r="I71" s="9"/>
      <c r="J71" s="9" t="s">
        <v>145</v>
      </c>
    </row>
    <row r="72" spans="1:10">
      <c r="A72" s="5"/>
      <c r="B72" s="6"/>
      <c r="C72" s="7"/>
      <c r="D72" s="9"/>
      <c r="E72" s="4"/>
      <c r="F72" s="9"/>
      <c r="G72" s="9"/>
      <c r="H72" s="6"/>
      <c r="I72" s="9"/>
      <c r="J72" s="9" t="s">
        <v>145</v>
      </c>
    </row>
    <row r="73" spans="1:10">
      <c r="A73" s="5"/>
      <c r="B73" s="6"/>
      <c r="C73" s="7"/>
      <c r="D73" s="9"/>
      <c r="E73" s="8"/>
      <c r="F73" s="9"/>
      <c r="G73" s="9"/>
      <c r="H73" s="6"/>
      <c r="I73" s="9"/>
      <c r="J73" s="9" t="s">
        <v>145</v>
      </c>
    </row>
    <row r="74" spans="1:10">
      <c r="A74" s="5"/>
      <c r="B74" s="6"/>
      <c r="C74" s="7"/>
      <c r="D74" s="9"/>
      <c r="E74" s="8"/>
      <c r="F74" s="9"/>
      <c r="G74" s="9"/>
      <c r="H74" s="6"/>
      <c r="I74" s="9"/>
      <c r="J74" s="9" t="s">
        <v>145</v>
      </c>
    </row>
    <row r="75" spans="1:10">
      <c r="A75" s="5"/>
      <c r="B75" s="6"/>
      <c r="C75" s="7"/>
      <c r="D75" s="9"/>
      <c r="E75" s="8"/>
      <c r="F75" s="9"/>
      <c r="G75" s="9"/>
      <c r="H75" s="6"/>
      <c r="I75" s="9"/>
      <c r="J75" s="9" t="s">
        <v>145</v>
      </c>
    </row>
    <row r="76" spans="1:10">
      <c r="A76" s="5"/>
      <c r="B76" s="6"/>
      <c r="C76" s="7"/>
      <c r="D76" s="9"/>
      <c r="E76" s="8"/>
      <c r="F76" s="9"/>
      <c r="G76" s="9"/>
      <c r="H76" s="6"/>
      <c r="I76" s="9"/>
      <c r="J76" s="9" t="s">
        <v>145</v>
      </c>
    </row>
    <row r="77" spans="1:10">
      <c r="A77" s="5"/>
      <c r="B77" s="6"/>
      <c r="C77" s="7"/>
      <c r="D77" s="9"/>
      <c r="E77" s="8"/>
      <c r="F77" s="9"/>
      <c r="G77" s="9"/>
      <c r="H77" s="6"/>
      <c r="I77" s="9"/>
      <c r="J77" s="9" t="s">
        <v>145</v>
      </c>
    </row>
    <row r="78" spans="1:10">
      <c r="A78" s="5"/>
      <c r="B78" s="6"/>
      <c r="C78" s="7"/>
      <c r="D78" s="9"/>
      <c r="E78" s="8"/>
      <c r="F78" s="9"/>
      <c r="G78" s="9"/>
      <c r="H78" s="6"/>
      <c r="I78" s="9"/>
      <c r="J78" s="9" t="s">
        <v>145</v>
      </c>
    </row>
    <row r="79" spans="1:10">
      <c r="A79" s="5"/>
      <c r="B79" s="6"/>
      <c r="C79" s="7"/>
      <c r="D79" s="9"/>
      <c r="E79" s="8"/>
      <c r="F79" s="9"/>
      <c r="G79" s="9"/>
      <c r="H79" s="6"/>
      <c r="I79" s="9"/>
      <c r="J79" s="9" t="s">
        <v>145</v>
      </c>
    </row>
    <row r="80" spans="1:10">
      <c r="A80" s="5"/>
      <c r="B80" s="6"/>
      <c r="C80" s="7"/>
      <c r="D80" s="9"/>
      <c r="E80" s="4"/>
      <c r="F80" s="9"/>
      <c r="G80" s="9"/>
      <c r="H80" s="6"/>
      <c r="I80" s="9"/>
      <c r="J80" s="9" t="s">
        <v>145</v>
      </c>
    </row>
    <row r="81" spans="1:10">
      <c r="A81" s="5"/>
      <c r="B81" s="6"/>
      <c r="C81" s="7"/>
      <c r="D81" s="9"/>
      <c r="E81" s="8"/>
      <c r="F81" s="9"/>
      <c r="G81" s="9"/>
      <c r="H81" s="6"/>
      <c r="I81" s="9"/>
      <c r="J81" s="9" t="s">
        <v>145</v>
      </c>
    </row>
    <row r="82" spans="1:10">
      <c r="A82" s="5"/>
      <c r="B82" s="6"/>
      <c r="C82" s="7"/>
      <c r="D82" s="9"/>
      <c r="E82" s="8"/>
      <c r="F82" s="9"/>
      <c r="G82" s="9"/>
      <c r="H82" s="6"/>
      <c r="I82" s="9"/>
      <c r="J82" s="9" t="s">
        <v>145</v>
      </c>
    </row>
    <row r="83" spans="1:10">
      <c r="A83" s="5"/>
      <c r="B83" s="6"/>
      <c r="C83" s="7"/>
      <c r="D83" s="9"/>
      <c r="E83" s="8"/>
      <c r="F83" s="9"/>
      <c r="G83" s="9"/>
      <c r="H83" s="6"/>
      <c r="I83" s="9"/>
      <c r="J83" s="9" t="s">
        <v>145</v>
      </c>
    </row>
    <row r="84" spans="1:10">
      <c r="A84" s="5"/>
      <c r="B84" s="6"/>
      <c r="C84" s="7"/>
      <c r="D84" s="9"/>
      <c r="E84" s="8"/>
      <c r="F84" s="9"/>
      <c r="G84" s="9"/>
      <c r="H84" s="6"/>
      <c r="I84" s="9"/>
      <c r="J84" s="9" t="s">
        <v>145</v>
      </c>
    </row>
    <row r="85" spans="1:10">
      <c r="A85" s="5"/>
      <c r="B85" s="6"/>
      <c r="C85" s="7"/>
      <c r="D85" s="9"/>
      <c r="E85" s="8"/>
      <c r="F85" s="9"/>
      <c r="G85" s="9"/>
      <c r="H85" s="6"/>
      <c r="I85" s="9"/>
      <c r="J85" s="9" t="s">
        <v>145</v>
      </c>
    </row>
    <row r="86" spans="1:10">
      <c r="A86" s="5"/>
      <c r="B86" s="6"/>
      <c r="C86" s="7"/>
      <c r="D86" s="9"/>
      <c r="E86" s="8"/>
      <c r="F86" s="9"/>
      <c r="G86" s="9"/>
      <c r="H86" s="6"/>
      <c r="I86" s="9"/>
      <c r="J86" s="9" t="s">
        <v>145</v>
      </c>
    </row>
    <row r="87" spans="1:10">
      <c r="A87" s="5"/>
      <c r="B87" s="6"/>
      <c r="C87" s="7"/>
      <c r="D87" s="9"/>
      <c r="E87" s="8"/>
      <c r="F87" s="9"/>
      <c r="G87" s="9"/>
      <c r="H87" s="6"/>
      <c r="I87" s="9"/>
      <c r="J87" s="9" t="s">
        <v>145</v>
      </c>
    </row>
    <row r="88" spans="1:10">
      <c r="A88" s="5"/>
      <c r="B88" s="6"/>
      <c r="C88" s="7"/>
      <c r="D88" s="9"/>
      <c r="E88" s="8"/>
      <c r="F88" s="9"/>
      <c r="G88" s="9"/>
      <c r="H88" s="6"/>
      <c r="I88" s="9"/>
      <c r="J88" s="9" t="s">
        <v>145</v>
      </c>
    </row>
    <row r="89" spans="1:10">
      <c r="A89" s="5"/>
      <c r="B89" s="6"/>
      <c r="C89" s="7"/>
      <c r="D89" s="9"/>
      <c r="E89" s="8"/>
      <c r="F89" s="9"/>
      <c r="G89" s="9"/>
      <c r="H89" s="6"/>
      <c r="I89" s="9"/>
      <c r="J89" s="9" t="s">
        <v>145</v>
      </c>
    </row>
    <row r="90" spans="1:10">
      <c r="A90" s="5"/>
      <c r="B90" s="6"/>
      <c r="C90" s="7"/>
      <c r="D90" s="9"/>
      <c r="E90" s="8"/>
      <c r="F90" s="9"/>
      <c r="G90" s="9"/>
      <c r="H90" s="6"/>
      <c r="I90" s="9"/>
      <c r="J90" s="9" t="s">
        <v>145</v>
      </c>
    </row>
    <row r="91" spans="1:10">
      <c r="A91" s="5"/>
      <c r="B91" s="6"/>
      <c r="C91" s="7"/>
      <c r="D91" s="9"/>
      <c r="E91" s="8"/>
      <c r="F91" s="9"/>
      <c r="G91" s="9"/>
      <c r="H91" s="6"/>
      <c r="I91" s="9"/>
      <c r="J91" s="9" t="s">
        <v>145</v>
      </c>
    </row>
    <row r="92" spans="1:10">
      <c r="A92" s="5"/>
      <c r="B92" s="6"/>
      <c r="C92" s="7"/>
      <c r="D92" s="9"/>
      <c r="E92" s="8"/>
      <c r="F92" s="9"/>
      <c r="G92" s="9"/>
      <c r="H92" s="6"/>
      <c r="I92" s="9"/>
      <c r="J92" s="9" t="s">
        <v>145</v>
      </c>
    </row>
    <row r="93" spans="1:10">
      <c r="A93" s="5"/>
      <c r="B93" s="6"/>
      <c r="C93" s="7"/>
      <c r="D93" s="9"/>
      <c r="E93" s="4"/>
      <c r="F93" s="9"/>
      <c r="G93" s="9"/>
      <c r="H93" s="6"/>
      <c r="I93" s="9"/>
      <c r="J93" s="9" t="s">
        <v>145</v>
      </c>
    </row>
    <row r="94" spans="1:10">
      <c r="A94" s="5"/>
      <c r="B94" s="6"/>
      <c r="C94" s="7"/>
      <c r="D94" s="9"/>
      <c r="E94" s="8"/>
      <c r="F94" s="9"/>
      <c r="G94" s="9"/>
      <c r="H94" s="6"/>
      <c r="I94" s="9"/>
      <c r="J94" s="9" t="s">
        <v>145</v>
      </c>
    </row>
    <row r="95" spans="1:10">
      <c r="A95" s="5"/>
      <c r="B95" s="6"/>
      <c r="C95" s="7"/>
      <c r="D95" s="9"/>
      <c r="E95" s="8"/>
      <c r="F95" s="9"/>
      <c r="G95" s="9"/>
      <c r="H95" s="6"/>
      <c r="I95" s="9"/>
      <c r="J95" s="9" t="s">
        <v>145</v>
      </c>
    </row>
    <row r="96" spans="1:10">
      <c r="A96" s="5"/>
      <c r="B96" s="6"/>
      <c r="C96" s="7"/>
      <c r="D96" s="9"/>
      <c r="E96" s="8"/>
      <c r="F96" s="9"/>
      <c r="G96" s="9"/>
      <c r="H96" s="6"/>
      <c r="I96" s="9"/>
      <c r="J96" s="9" t="s">
        <v>145</v>
      </c>
    </row>
    <row r="97" spans="1:10">
      <c r="A97" s="5"/>
      <c r="B97" s="6"/>
      <c r="C97" s="7"/>
      <c r="D97" s="9"/>
      <c r="E97" s="8"/>
      <c r="F97" s="9"/>
      <c r="G97" s="9"/>
      <c r="H97" s="6"/>
      <c r="I97" s="9"/>
      <c r="J97" s="9" t="s">
        <v>145</v>
      </c>
    </row>
    <row r="98" spans="1:10">
      <c r="A98" s="5"/>
      <c r="B98" s="6"/>
      <c r="C98" s="7"/>
      <c r="D98" s="9"/>
      <c r="E98" s="8"/>
      <c r="F98" s="9"/>
      <c r="G98" s="9"/>
      <c r="H98" s="6"/>
      <c r="I98" s="9"/>
      <c r="J98" s="9" t="s">
        <v>145</v>
      </c>
    </row>
    <row r="99" spans="1:10">
      <c r="A99" s="5"/>
      <c r="B99" s="6"/>
      <c r="C99" s="7"/>
      <c r="D99" s="9"/>
      <c r="E99" s="8"/>
      <c r="F99" s="9"/>
      <c r="G99" s="9"/>
      <c r="H99" s="6"/>
      <c r="I99" s="9"/>
      <c r="J99" s="9" t="s">
        <v>145</v>
      </c>
    </row>
    <row r="100" spans="1:10">
      <c r="A100" s="5"/>
      <c r="B100" s="6"/>
      <c r="C100" s="7"/>
      <c r="D100" s="9"/>
      <c r="E100" s="8"/>
      <c r="F100" s="9"/>
      <c r="G100" s="9"/>
      <c r="H100" s="6"/>
      <c r="I100" s="9"/>
      <c r="J100" s="9" t="s">
        <v>145</v>
      </c>
    </row>
    <row r="101" spans="1:10">
      <c r="A101" s="5"/>
      <c r="B101" s="6"/>
      <c r="C101" s="7"/>
      <c r="D101" s="9"/>
      <c r="E101" s="8"/>
      <c r="F101" s="9"/>
      <c r="G101" s="9"/>
      <c r="H101" s="6"/>
      <c r="I101" s="9"/>
      <c r="J101" s="9" t="s">
        <v>145</v>
      </c>
    </row>
    <row r="102" spans="1:10">
      <c r="A102" s="5"/>
      <c r="B102" s="6"/>
      <c r="C102" s="7"/>
      <c r="D102" s="9"/>
      <c r="E102" s="8"/>
      <c r="F102" s="9"/>
      <c r="G102" s="9"/>
      <c r="H102" s="6"/>
      <c r="I102" s="9"/>
      <c r="J102" s="9" t="s">
        <v>145</v>
      </c>
    </row>
    <row r="103" spans="1:10">
      <c r="A103" s="5"/>
      <c r="B103" s="6"/>
      <c r="C103" s="7"/>
      <c r="D103" s="9"/>
      <c r="E103" s="8"/>
      <c r="F103" s="9"/>
      <c r="G103" s="9"/>
      <c r="H103" s="6"/>
      <c r="I103" s="9"/>
      <c r="J103" s="9" t="s">
        <v>145</v>
      </c>
    </row>
    <row r="104" spans="1:10">
      <c r="A104" s="5"/>
      <c r="B104" s="6"/>
      <c r="C104" s="7"/>
      <c r="D104" s="9"/>
      <c r="E104" s="8"/>
      <c r="F104" s="9"/>
      <c r="G104" s="9"/>
      <c r="H104" s="6"/>
      <c r="I104" s="9"/>
      <c r="J104" s="9" t="s">
        <v>145</v>
      </c>
    </row>
    <row r="105" spans="1:10">
      <c r="A105" s="5"/>
      <c r="B105" s="6"/>
      <c r="C105" s="7"/>
      <c r="D105" s="9"/>
      <c r="E105" s="8"/>
      <c r="F105" s="9"/>
      <c r="G105" s="9"/>
      <c r="H105" s="6"/>
      <c r="I105" s="9"/>
      <c r="J105" s="9" t="s">
        <v>145</v>
      </c>
    </row>
    <row r="106" spans="1:10">
      <c r="A106" s="5"/>
      <c r="B106" s="6"/>
      <c r="C106" s="7"/>
      <c r="D106" s="9"/>
      <c r="E106" s="8"/>
      <c r="F106" s="9"/>
      <c r="G106" s="9"/>
      <c r="H106" s="6"/>
      <c r="I106" s="9"/>
      <c r="J106" s="9" t="s">
        <v>145</v>
      </c>
    </row>
    <row r="107" spans="1:10">
      <c r="A107" s="5"/>
      <c r="B107" s="6"/>
      <c r="C107" s="7"/>
      <c r="D107" s="9"/>
      <c r="E107" s="8"/>
      <c r="F107" s="9"/>
      <c r="G107" s="9"/>
      <c r="H107" s="6"/>
      <c r="I107" s="9"/>
      <c r="J107" s="9" t="s">
        <v>145</v>
      </c>
    </row>
    <row r="108" spans="1:10">
      <c r="A108" s="5"/>
      <c r="B108" s="6"/>
      <c r="C108" s="7"/>
      <c r="D108" s="9"/>
      <c r="E108" s="8"/>
      <c r="F108" s="9"/>
      <c r="G108" s="9"/>
      <c r="H108" s="6"/>
      <c r="I108" s="9"/>
      <c r="J108" s="9" t="s">
        <v>145</v>
      </c>
    </row>
    <row r="109" spans="1:10">
      <c r="A109" s="5"/>
      <c r="B109" s="6"/>
      <c r="C109" s="7"/>
      <c r="D109" s="9"/>
      <c r="E109" s="4"/>
      <c r="F109" s="9"/>
      <c r="G109" s="9"/>
      <c r="H109" s="6"/>
      <c r="I109" s="9"/>
      <c r="J109" s="9" t="s">
        <v>145</v>
      </c>
    </row>
    <row r="110" spans="1:10">
      <c r="A110" s="5"/>
      <c r="B110" s="6"/>
      <c r="C110" s="7"/>
      <c r="D110" s="9"/>
      <c r="E110" s="8"/>
      <c r="F110" s="9"/>
      <c r="G110" s="9"/>
      <c r="H110" s="6"/>
      <c r="I110" s="9"/>
      <c r="J110" s="9" t="s">
        <v>145</v>
      </c>
    </row>
    <row r="111" spans="1:10" ht="15" customHeight="1">
      <c r="A111" s="5"/>
      <c r="B111" s="6"/>
      <c r="C111" s="7"/>
      <c r="D111" s="9"/>
      <c r="E111" s="8"/>
      <c r="F111" s="9"/>
      <c r="G111" s="9"/>
      <c r="H111" s="6"/>
      <c r="I111" s="9"/>
      <c r="J111" s="9" t="s">
        <v>145</v>
      </c>
    </row>
    <row r="112" spans="1:10">
      <c r="A112" s="5"/>
      <c r="B112" s="6"/>
      <c r="C112" s="7"/>
      <c r="D112" s="9"/>
      <c r="E112" s="4"/>
      <c r="F112" s="9"/>
      <c r="G112" s="9"/>
      <c r="H112" s="6"/>
      <c r="I112" s="9"/>
      <c r="J112" s="9" t="s">
        <v>145</v>
      </c>
    </row>
    <row r="113" spans="1:10">
      <c r="A113" s="5"/>
      <c r="B113" s="6"/>
      <c r="C113" s="7"/>
      <c r="D113" s="9"/>
      <c r="E113" s="8"/>
      <c r="F113" s="9"/>
      <c r="G113" s="9"/>
      <c r="H113" s="6"/>
      <c r="I113" s="9"/>
      <c r="J113" s="9" t="s">
        <v>145</v>
      </c>
    </row>
    <row r="114" spans="1:10">
      <c r="A114" s="5"/>
      <c r="B114" s="6"/>
      <c r="C114" s="7"/>
      <c r="D114" s="9"/>
      <c r="E114" s="8"/>
      <c r="F114" s="9"/>
      <c r="G114" s="9"/>
      <c r="H114" s="6"/>
      <c r="I114" s="9"/>
      <c r="J114" s="9" t="s">
        <v>145</v>
      </c>
    </row>
    <row r="115" spans="1:10">
      <c r="A115" s="5"/>
      <c r="B115" s="6"/>
      <c r="C115" s="7"/>
      <c r="D115" s="9"/>
      <c r="E115" s="4"/>
      <c r="F115" s="9"/>
      <c r="G115" s="9"/>
      <c r="H115" s="6"/>
      <c r="I115" s="9"/>
      <c r="J115" s="9" t="s">
        <v>145</v>
      </c>
    </row>
    <row r="116" spans="1:10">
      <c r="A116" s="5"/>
      <c r="B116" s="6"/>
      <c r="C116" s="7"/>
      <c r="D116" s="9"/>
      <c r="E116" s="8"/>
      <c r="F116" s="9"/>
      <c r="G116" s="9"/>
      <c r="H116" s="6"/>
      <c r="I116" s="9"/>
      <c r="J116" s="9" t="s">
        <v>145</v>
      </c>
    </row>
    <row r="117" spans="1:10">
      <c r="A117" s="5"/>
      <c r="B117" s="6"/>
      <c r="C117" s="7"/>
      <c r="D117" s="9"/>
      <c r="E117" s="8"/>
      <c r="F117" s="9"/>
      <c r="G117" s="9"/>
      <c r="H117" s="6"/>
      <c r="I117" s="9"/>
      <c r="J117" s="9" t="s">
        <v>145</v>
      </c>
    </row>
    <row r="118" spans="1:10">
      <c r="A118" s="5"/>
      <c r="B118" s="6"/>
      <c r="C118" s="7"/>
      <c r="D118" s="9"/>
      <c r="E118" s="8"/>
      <c r="F118" s="9"/>
      <c r="G118" s="9"/>
      <c r="H118" s="6"/>
      <c r="I118" s="9"/>
      <c r="J118" s="9" t="s">
        <v>145</v>
      </c>
    </row>
    <row r="119" spans="1:10">
      <c r="A119" s="5"/>
      <c r="B119" s="6"/>
      <c r="C119" s="7"/>
      <c r="D119" s="9"/>
      <c r="E119" s="8"/>
      <c r="F119" s="9"/>
      <c r="G119" s="9"/>
      <c r="H119" s="6"/>
      <c r="I119" s="9"/>
      <c r="J119" s="9" t="s">
        <v>145</v>
      </c>
    </row>
    <row r="120" spans="1:10">
      <c r="A120" s="5"/>
      <c r="B120" s="6"/>
      <c r="C120" s="7"/>
      <c r="D120" s="9"/>
      <c r="E120" s="8"/>
      <c r="F120" s="9"/>
      <c r="G120" s="9"/>
      <c r="H120" s="6"/>
      <c r="I120" s="9"/>
      <c r="J120" s="9" t="s">
        <v>145</v>
      </c>
    </row>
    <row r="121" spans="1:10">
      <c r="A121" s="5"/>
      <c r="B121" s="6"/>
      <c r="C121" s="7"/>
      <c r="D121" s="9"/>
      <c r="E121" s="4"/>
      <c r="F121" s="9"/>
      <c r="G121" s="9"/>
      <c r="H121" s="6"/>
      <c r="I121" s="9"/>
      <c r="J121" s="9" t="s">
        <v>145</v>
      </c>
    </row>
    <row r="122" spans="1:10">
      <c r="A122" s="5"/>
      <c r="B122" s="6"/>
      <c r="C122" s="7"/>
      <c r="D122" s="9"/>
      <c r="E122" s="8"/>
      <c r="F122" s="9"/>
      <c r="G122" s="9"/>
      <c r="H122" s="6"/>
      <c r="I122" s="9"/>
      <c r="J122" s="9" t="s">
        <v>145</v>
      </c>
    </row>
    <row r="123" spans="1:10">
      <c r="A123" s="5"/>
      <c r="B123" s="6"/>
      <c r="C123" s="7"/>
      <c r="D123" s="9"/>
      <c r="E123" s="8"/>
      <c r="F123" s="9"/>
      <c r="G123" s="9"/>
      <c r="H123" s="6"/>
      <c r="I123" s="9"/>
      <c r="J123" s="9" t="s">
        <v>145</v>
      </c>
    </row>
    <row r="124" spans="1:10">
      <c r="A124" s="5"/>
      <c r="B124" s="6"/>
      <c r="C124" s="7"/>
      <c r="D124" s="9"/>
      <c r="E124" s="8"/>
      <c r="F124" s="9"/>
      <c r="G124" s="9"/>
      <c r="H124" s="6"/>
      <c r="I124" s="9"/>
      <c r="J124" s="9" t="s">
        <v>145</v>
      </c>
    </row>
    <row r="125" spans="1:10">
      <c r="A125" s="5"/>
      <c r="B125" s="6"/>
      <c r="C125" s="7"/>
      <c r="D125" s="9"/>
      <c r="E125" s="8"/>
      <c r="F125" s="9"/>
      <c r="G125" s="9"/>
      <c r="H125" s="6"/>
      <c r="I125" s="9"/>
      <c r="J125" s="9" t="s">
        <v>145</v>
      </c>
    </row>
    <row r="126" spans="1:10">
      <c r="A126" s="5"/>
      <c r="B126" s="6"/>
      <c r="C126" s="7"/>
      <c r="D126" s="9"/>
      <c r="E126" s="8"/>
      <c r="F126" s="9"/>
      <c r="G126" s="9"/>
      <c r="H126" s="6"/>
      <c r="I126" s="9"/>
      <c r="J126" s="9" t="s">
        <v>145</v>
      </c>
    </row>
    <row r="127" spans="1:10">
      <c r="A127" s="5"/>
      <c r="B127" s="6"/>
      <c r="C127" s="7"/>
      <c r="D127" s="9"/>
      <c r="E127" s="8"/>
      <c r="F127" s="9"/>
      <c r="G127" s="9"/>
      <c r="H127" s="6"/>
      <c r="I127" s="9"/>
      <c r="J127" s="9" t="s">
        <v>145</v>
      </c>
    </row>
    <row r="128" spans="1:10">
      <c r="A128" s="5"/>
      <c r="B128" s="6"/>
      <c r="C128" s="7"/>
      <c r="D128" s="9"/>
      <c r="E128" s="8"/>
      <c r="F128" s="9"/>
      <c r="G128" s="9"/>
      <c r="H128" s="6"/>
      <c r="I128" s="9"/>
      <c r="J128" s="9" t="s">
        <v>145</v>
      </c>
    </row>
    <row r="129" spans="1:10">
      <c r="A129" s="5"/>
      <c r="B129" s="6"/>
      <c r="C129" s="7"/>
      <c r="D129" s="9"/>
      <c r="E129" s="8"/>
      <c r="F129" s="9"/>
      <c r="G129" s="9"/>
      <c r="H129" s="6"/>
      <c r="I129" s="9"/>
      <c r="J129" s="9" t="s">
        <v>145</v>
      </c>
    </row>
    <row r="130" spans="1:10">
      <c r="A130" s="5"/>
      <c r="B130" s="6"/>
      <c r="C130" s="7"/>
      <c r="D130" s="9"/>
      <c r="E130" s="8"/>
      <c r="F130" s="9"/>
      <c r="G130" s="9"/>
      <c r="H130" s="6"/>
      <c r="I130" s="9"/>
      <c r="J130" s="9" t="s">
        <v>145</v>
      </c>
    </row>
    <row r="131" spans="1:10">
      <c r="A131" s="5"/>
      <c r="B131" s="6"/>
      <c r="C131" s="7"/>
      <c r="D131" s="9"/>
      <c r="E131" s="8"/>
      <c r="F131" s="9"/>
      <c r="G131" s="9"/>
      <c r="H131" s="6"/>
      <c r="I131" s="9"/>
      <c r="J131" s="9" t="s">
        <v>145</v>
      </c>
    </row>
    <row r="132" spans="1:10">
      <c r="A132" s="5"/>
      <c r="B132" s="6"/>
      <c r="C132" s="7"/>
      <c r="D132" s="9"/>
      <c r="E132" s="8"/>
      <c r="F132" s="9"/>
      <c r="G132" s="9"/>
      <c r="H132" s="6"/>
      <c r="I132" s="9"/>
      <c r="J132" s="9" t="s">
        <v>145</v>
      </c>
    </row>
    <row r="133" spans="1:10">
      <c r="A133" s="5"/>
      <c r="B133" s="6"/>
      <c r="C133" s="7"/>
      <c r="D133" s="9"/>
      <c r="E133" s="8"/>
      <c r="F133" s="9"/>
      <c r="G133" s="9"/>
      <c r="H133" s="6"/>
      <c r="I133" s="9"/>
      <c r="J133" s="9" t="s">
        <v>145</v>
      </c>
    </row>
    <row r="134" spans="1:10">
      <c r="A134" s="5"/>
      <c r="B134" s="6"/>
      <c r="C134" s="7"/>
      <c r="D134" s="9"/>
      <c r="E134" s="8"/>
      <c r="F134" s="9"/>
      <c r="G134" s="9"/>
      <c r="H134" s="6"/>
      <c r="I134" s="9"/>
      <c r="J134" s="9" t="s">
        <v>145</v>
      </c>
    </row>
    <row r="135" spans="1:10">
      <c r="A135" s="5"/>
      <c r="B135" s="6"/>
      <c r="C135" s="7"/>
      <c r="D135" s="9"/>
      <c r="E135" s="4"/>
      <c r="F135" s="9"/>
      <c r="G135" s="9"/>
      <c r="H135" s="6"/>
      <c r="I135" s="9"/>
      <c r="J135" s="9" t="s">
        <v>145</v>
      </c>
    </row>
    <row r="136" spans="1:10">
      <c r="A136" s="5"/>
      <c r="B136" s="6"/>
      <c r="C136" s="7"/>
      <c r="D136" s="9"/>
      <c r="E136" s="8"/>
      <c r="F136" s="9"/>
      <c r="G136" s="9"/>
      <c r="H136" s="6"/>
      <c r="I136" s="9"/>
      <c r="J136" s="9" t="s">
        <v>145</v>
      </c>
    </row>
    <row r="137" spans="1:10">
      <c r="A137" s="5"/>
      <c r="B137" s="6"/>
      <c r="C137" s="7"/>
      <c r="D137" s="9"/>
      <c r="E137" s="8"/>
      <c r="F137" s="9"/>
      <c r="G137" s="9"/>
      <c r="H137" s="6"/>
      <c r="I137" s="9"/>
      <c r="J137" s="9" t="s">
        <v>145</v>
      </c>
    </row>
    <row r="138" spans="1:10">
      <c r="A138" s="5"/>
      <c r="B138" s="6"/>
      <c r="C138" s="7"/>
      <c r="D138" s="9"/>
      <c r="E138" s="8"/>
      <c r="F138" s="9"/>
      <c r="G138" s="9"/>
      <c r="H138" s="6"/>
      <c r="I138" s="9"/>
      <c r="J138" s="9" t="s">
        <v>145</v>
      </c>
    </row>
    <row r="139" spans="1:10">
      <c r="A139" s="5"/>
      <c r="B139" s="6"/>
      <c r="C139" s="7"/>
      <c r="D139" s="9"/>
      <c r="E139" s="8"/>
      <c r="F139" s="9"/>
      <c r="G139" s="9"/>
      <c r="H139" s="6"/>
      <c r="I139" s="9"/>
      <c r="J139" s="9" t="s">
        <v>145</v>
      </c>
    </row>
    <row r="140" spans="1:10">
      <c r="A140" s="5"/>
      <c r="B140" s="6"/>
      <c r="C140" s="7"/>
      <c r="D140" s="9"/>
      <c r="E140" s="8"/>
      <c r="F140" s="9"/>
      <c r="G140" s="9"/>
      <c r="H140" s="6"/>
      <c r="I140" s="9"/>
      <c r="J140" s="9" t="s">
        <v>145</v>
      </c>
    </row>
    <row r="141" spans="1:10">
      <c r="A141" s="5"/>
      <c r="B141" s="6"/>
      <c r="C141" s="7"/>
      <c r="D141" s="9"/>
      <c r="E141" s="8"/>
      <c r="F141" s="9"/>
      <c r="G141" s="9"/>
      <c r="H141" s="6"/>
      <c r="I141" s="9"/>
      <c r="J141" s="9" t="s">
        <v>145</v>
      </c>
    </row>
    <row r="142" spans="1:10">
      <c r="A142" s="5"/>
      <c r="B142" s="6"/>
      <c r="C142" s="7"/>
      <c r="D142" s="9"/>
      <c r="E142" s="4"/>
      <c r="F142" s="9"/>
      <c r="G142" s="9"/>
      <c r="H142" s="6"/>
      <c r="I142" s="9"/>
      <c r="J142" s="9" t="s">
        <v>145</v>
      </c>
    </row>
    <row r="143" spans="1:10">
      <c r="A143" s="5"/>
      <c r="B143" s="6"/>
      <c r="C143" s="7"/>
      <c r="D143" s="9"/>
      <c r="E143" s="4"/>
      <c r="F143" s="9"/>
      <c r="G143" s="9"/>
      <c r="H143" s="6"/>
      <c r="I143" s="9"/>
      <c r="J143" s="9" t="s">
        <v>145</v>
      </c>
    </row>
    <row r="144" spans="1:10">
      <c r="A144" s="5"/>
      <c r="B144" s="6"/>
      <c r="C144" s="7"/>
      <c r="D144" s="9"/>
      <c r="E144" s="8"/>
      <c r="F144" s="9"/>
      <c r="G144" s="9"/>
      <c r="H144" s="6"/>
      <c r="I144" s="9"/>
      <c r="J144" s="9" t="s">
        <v>145</v>
      </c>
    </row>
    <row r="145" spans="1:10">
      <c r="A145" s="5"/>
      <c r="B145" s="6"/>
      <c r="C145" s="7"/>
      <c r="D145" s="9"/>
      <c r="E145" s="8"/>
      <c r="F145" s="9"/>
      <c r="G145" s="9"/>
      <c r="H145" s="6"/>
      <c r="I145" s="9"/>
      <c r="J145" s="9" t="s">
        <v>145</v>
      </c>
    </row>
    <row r="146" spans="1:10">
      <c r="A146" s="5"/>
      <c r="B146" s="6"/>
      <c r="C146" s="7"/>
      <c r="D146" s="9"/>
      <c r="E146" s="8"/>
      <c r="F146" s="9"/>
      <c r="G146" s="9"/>
      <c r="H146" s="6"/>
      <c r="I146" s="9"/>
      <c r="J146" s="9" t="s">
        <v>145</v>
      </c>
    </row>
    <row r="147" spans="1:10">
      <c r="A147" s="5"/>
      <c r="B147" s="6"/>
      <c r="C147" s="7"/>
      <c r="D147" s="9"/>
      <c r="E147" s="4"/>
      <c r="F147" s="9"/>
      <c r="G147" s="9"/>
      <c r="H147" s="6"/>
      <c r="I147" s="9"/>
      <c r="J147" s="9" t="s">
        <v>145</v>
      </c>
    </row>
    <row r="148" spans="1:10">
      <c r="A148" s="5"/>
      <c r="B148" s="6"/>
      <c r="C148" s="7"/>
      <c r="D148" s="9"/>
      <c r="E148" s="8"/>
      <c r="F148" s="9"/>
      <c r="G148" s="9"/>
      <c r="H148" s="6"/>
      <c r="I148" s="9"/>
      <c r="J148" s="9" t="s">
        <v>145</v>
      </c>
    </row>
    <row r="149" spans="1:10">
      <c r="A149" s="5"/>
      <c r="B149" s="6"/>
      <c r="C149" s="7"/>
      <c r="D149" s="9"/>
      <c r="E149" s="8"/>
      <c r="F149" s="9"/>
      <c r="G149" s="9"/>
      <c r="H149" s="6"/>
      <c r="I149" s="9"/>
      <c r="J149" s="9" t="s">
        <v>145</v>
      </c>
    </row>
    <row r="150" spans="1:10">
      <c r="A150" s="5"/>
      <c r="B150" s="6"/>
      <c r="C150" s="7"/>
      <c r="D150" s="9"/>
      <c r="E150" s="8"/>
      <c r="F150" s="9"/>
      <c r="G150" s="9"/>
      <c r="H150" s="6"/>
      <c r="I150" s="9"/>
      <c r="J150" s="9" t="s">
        <v>145</v>
      </c>
    </row>
    <row r="151" spans="1:10">
      <c r="A151" s="5"/>
      <c r="B151" s="6"/>
      <c r="C151" s="7"/>
      <c r="D151" s="9"/>
      <c r="E151" s="4"/>
      <c r="F151" s="9"/>
      <c r="G151" s="9"/>
      <c r="H151" s="6"/>
      <c r="I151" s="9"/>
      <c r="J151" s="9" t="s">
        <v>145</v>
      </c>
    </row>
    <row r="152" spans="1:10">
      <c r="A152" s="5"/>
      <c r="B152" s="6"/>
      <c r="C152" s="7"/>
      <c r="D152" s="9"/>
      <c r="E152" s="8"/>
      <c r="F152" s="9"/>
      <c r="G152" s="9"/>
      <c r="H152" s="6"/>
      <c r="I152" s="9"/>
      <c r="J152" s="9" t="s">
        <v>145</v>
      </c>
    </row>
    <row r="153" spans="1:10">
      <c r="A153" s="5"/>
      <c r="B153" s="6"/>
      <c r="C153" s="7"/>
      <c r="D153" s="9"/>
      <c r="E153" s="4"/>
      <c r="F153" s="9"/>
      <c r="G153" s="9"/>
      <c r="H153" s="6"/>
      <c r="I153" s="9"/>
      <c r="J153" s="9" t="s">
        <v>145</v>
      </c>
    </row>
    <row r="154" spans="1:10">
      <c r="A154" s="5"/>
      <c r="B154" s="6"/>
      <c r="C154" s="7"/>
      <c r="D154" s="9"/>
      <c r="E154" s="8"/>
      <c r="F154" s="9"/>
      <c r="G154" s="9"/>
      <c r="H154" s="6"/>
      <c r="I154" s="9"/>
      <c r="J154" s="9" t="s">
        <v>145</v>
      </c>
    </row>
    <row r="155" spans="1:10">
      <c r="A155" s="5"/>
      <c r="B155" s="6"/>
      <c r="C155" s="7"/>
      <c r="D155" s="9"/>
      <c r="E155" s="4"/>
      <c r="F155" s="9"/>
      <c r="G155" s="9"/>
      <c r="H155" s="6"/>
      <c r="I155" s="9"/>
      <c r="J155" s="9" t="s">
        <v>145</v>
      </c>
    </row>
    <row r="156" spans="1:10">
      <c r="A156" s="5"/>
      <c r="B156" s="6"/>
      <c r="C156" s="7"/>
      <c r="D156" s="9"/>
      <c r="E156" s="8"/>
      <c r="F156" s="9"/>
      <c r="G156" s="9"/>
      <c r="H156" s="6"/>
      <c r="I156" s="9"/>
      <c r="J156" s="9" t="s">
        <v>145</v>
      </c>
    </row>
    <row r="157" spans="1:10">
      <c r="A157" s="5"/>
      <c r="B157" s="6"/>
      <c r="C157" s="7"/>
      <c r="D157" s="9"/>
      <c r="E157" s="8"/>
      <c r="F157" s="9"/>
      <c r="G157" s="9"/>
      <c r="H157" s="6"/>
      <c r="I157" s="9"/>
      <c r="J157" s="9" t="s">
        <v>145</v>
      </c>
    </row>
    <row r="158" spans="1:10">
      <c r="A158" s="5"/>
      <c r="B158" s="6"/>
      <c r="C158" s="7"/>
      <c r="D158" s="9"/>
      <c r="E158" s="4"/>
      <c r="F158" s="9"/>
      <c r="G158" s="9"/>
      <c r="H158" s="6"/>
      <c r="I158" s="9"/>
      <c r="J158" s="9" t="s">
        <v>145</v>
      </c>
    </row>
    <row r="159" spans="1:10">
      <c r="A159" s="5"/>
      <c r="B159" s="6"/>
      <c r="C159" s="7"/>
      <c r="D159" s="9"/>
      <c r="E159" s="8"/>
      <c r="F159" s="9"/>
      <c r="G159" s="9"/>
      <c r="H159" s="6"/>
      <c r="I159" s="9"/>
      <c r="J159" s="9" t="s">
        <v>145</v>
      </c>
    </row>
    <row r="160" spans="1:10">
      <c r="A160" s="5"/>
      <c r="B160" s="6"/>
      <c r="C160" s="7"/>
      <c r="D160" s="9"/>
      <c r="E160" s="4"/>
      <c r="F160" s="9"/>
      <c r="G160" s="9"/>
      <c r="H160" s="6"/>
      <c r="I160" s="9"/>
      <c r="J160" s="9" t="s">
        <v>145</v>
      </c>
    </row>
    <row r="161" spans="1:10">
      <c r="A161" s="5"/>
      <c r="B161" s="6"/>
      <c r="C161" s="7"/>
      <c r="D161" s="9"/>
      <c r="E161" s="8"/>
      <c r="F161" s="9"/>
      <c r="G161" s="9"/>
      <c r="H161" s="6"/>
      <c r="I161" s="9"/>
      <c r="J161" s="9" t="s">
        <v>145</v>
      </c>
    </row>
    <row r="162" spans="1:10">
      <c r="A162" s="5"/>
      <c r="B162" s="6"/>
      <c r="C162" s="7"/>
      <c r="D162" s="9"/>
      <c r="E162" s="4"/>
      <c r="F162" s="9"/>
      <c r="G162" s="9"/>
      <c r="H162" s="6"/>
      <c r="I162" s="9"/>
      <c r="J162" s="9" t="s">
        <v>145</v>
      </c>
    </row>
    <row r="163" spans="1:10">
      <c r="A163" s="5"/>
      <c r="B163" s="6"/>
      <c r="C163" s="7"/>
      <c r="D163" s="9"/>
      <c r="E163" s="8"/>
      <c r="F163" s="9"/>
      <c r="G163" s="9"/>
      <c r="H163" s="6"/>
      <c r="I163" s="9"/>
      <c r="J163" s="9" t="s">
        <v>145</v>
      </c>
    </row>
    <row r="164" spans="1:10">
      <c r="A164" s="5"/>
      <c r="B164" s="6"/>
      <c r="C164" s="7"/>
      <c r="D164" s="9"/>
      <c r="E164" s="8"/>
      <c r="F164" s="9"/>
      <c r="G164" s="9"/>
      <c r="H164" s="6"/>
      <c r="I164" s="9"/>
      <c r="J164" s="9" t="s">
        <v>145</v>
      </c>
    </row>
    <row r="165" spans="1:10">
      <c r="A165" s="5"/>
      <c r="B165" s="6"/>
      <c r="C165" s="7"/>
      <c r="D165" s="9"/>
      <c r="E165" s="8"/>
      <c r="F165" s="9"/>
      <c r="G165" s="9"/>
      <c r="H165" s="6"/>
      <c r="I165" s="9"/>
      <c r="J165" s="9" t="s">
        <v>145</v>
      </c>
    </row>
    <row r="166" spans="1:10">
      <c r="A166" s="5"/>
      <c r="B166" s="6"/>
      <c r="C166" s="7"/>
      <c r="D166" s="9"/>
      <c r="E166" s="8"/>
      <c r="F166" s="9"/>
      <c r="G166" s="9"/>
      <c r="H166" s="6"/>
      <c r="I166" s="9"/>
      <c r="J166" s="9" t="s">
        <v>145</v>
      </c>
    </row>
    <row r="167" spans="1:10">
      <c r="A167" s="5"/>
      <c r="B167" s="6"/>
      <c r="C167" s="7"/>
      <c r="D167" s="9"/>
      <c r="E167" s="8"/>
      <c r="F167" s="9"/>
      <c r="G167" s="9"/>
      <c r="H167" s="6"/>
      <c r="I167" s="9"/>
      <c r="J167" s="9" t="s">
        <v>145</v>
      </c>
    </row>
    <row r="168" spans="1:10">
      <c r="A168" s="5"/>
      <c r="B168" s="6"/>
      <c r="C168" s="7"/>
      <c r="D168" s="9"/>
      <c r="E168" s="8"/>
      <c r="F168" s="9"/>
      <c r="G168" s="9"/>
      <c r="H168" s="6"/>
      <c r="I168" s="9"/>
      <c r="J168" s="9" t="s">
        <v>145</v>
      </c>
    </row>
    <row r="169" spans="1:10">
      <c r="A169" s="5"/>
      <c r="B169" s="6"/>
      <c r="C169" s="7"/>
      <c r="D169" s="9"/>
      <c r="E169" s="8"/>
      <c r="F169" s="9"/>
      <c r="G169" s="9"/>
      <c r="H169" s="6"/>
      <c r="I169" s="9"/>
      <c r="J169" s="9" t="s">
        <v>145</v>
      </c>
    </row>
    <row r="170" spans="1:10">
      <c r="A170" s="5"/>
      <c r="B170" s="6"/>
      <c r="C170" s="7"/>
      <c r="D170" s="9"/>
      <c r="E170" s="4"/>
      <c r="F170" s="9"/>
      <c r="G170" s="9"/>
      <c r="H170" s="6"/>
      <c r="I170" s="9"/>
      <c r="J170" s="9" t="s">
        <v>145</v>
      </c>
    </row>
    <row r="171" spans="1:10">
      <c r="A171" s="5"/>
      <c r="B171" s="6"/>
      <c r="C171" s="7"/>
      <c r="D171" s="9"/>
      <c r="E171" s="8"/>
      <c r="F171" s="9"/>
      <c r="G171" s="9"/>
      <c r="H171" s="6"/>
      <c r="I171" s="9"/>
      <c r="J171" s="9" t="s">
        <v>145</v>
      </c>
    </row>
    <row r="172" spans="1:10">
      <c r="A172" s="5"/>
      <c r="B172" s="6"/>
      <c r="C172" s="7"/>
      <c r="D172" s="9"/>
      <c r="E172" s="8"/>
      <c r="F172" s="9"/>
      <c r="G172" s="9"/>
      <c r="H172" s="6"/>
      <c r="I172" s="9"/>
      <c r="J172" s="9" t="s">
        <v>145</v>
      </c>
    </row>
    <row r="173" spans="1:10">
      <c r="A173" s="5"/>
      <c r="B173" s="6"/>
      <c r="C173" s="7"/>
      <c r="D173" s="9"/>
      <c r="E173" s="8"/>
      <c r="F173" s="9"/>
      <c r="G173" s="9"/>
      <c r="H173" s="6"/>
      <c r="I173" s="9"/>
      <c r="J173" s="9" t="s">
        <v>145</v>
      </c>
    </row>
    <row r="174" spans="1:10">
      <c r="A174" s="5"/>
      <c r="B174" s="6"/>
      <c r="C174" s="7"/>
      <c r="D174" s="9"/>
      <c r="E174" s="4"/>
      <c r="F174" s="9"/>
      <c r="G174" s="9"/>
      <c r="H174" s="6"/>
      <c r="I174" s="9"/>
      <c r="J174" s="9" t="s">
        <v>145</v>
      </c>
    </row>
    <row r="175" spans="1:10">
      <c r="A175" s="5"/>
      <c r="B175" s="6"/>
      <c r="C175" s="7"/>
      <c r="D175" s="9"/>
      <c r="E175" s="8"/>
      <c r="F175" s="9"/>
      <c r="G175" s="9"/>
      <c r="H175" s="6"/>
      <c r="I175" s="9"/>
      <c r="J175" s="9" t="s">
        <v>145</v>
      </c>
    </row>
    <row r="176" spans="1:10">
      <c r="A176" s="5"/>
      <c r="B176" s="6"/>
      <c r="C176" s="7"/>
      <c r="D176" s="9"/>
      <c r="E176" s="8"/>
      <c r="F176" s="9"/>
      <c r="G176" s="9"/>
      <c r="H176" s="6"/>
      <c r="I176" s="9"/>
      <c r="J176" s="9" t="s">
        <v>145</v>
      </c>
    </row>
    <row r="177" spans="1:10">
      <c r="A177" s="5"/>
      <c r="B177" s="6"/>
      <c r="C177" s="7"/>
      <c r="D177" s="9"/>
      <c r="E177" s="8"/>
      <c r="F177" s="9"/>
      <c r="G177" s="9"/>
      <c r="H177" s="6"/>
      <c r="I177" s="9"/>
      <c r="J177" s="9" t="s">
        <v>145</v>
      </c>
    </row>
    <row r="178" spans="1:10">
      <c r="A178" s="5"/>
      <c r="B178" s="6"/>
      <c r="C178" s="7"/>
      <c r="D178" s="9"/>
      <c r="E178" s="8"/>
      <c r="F178" s="9"/>
      <c r="G178" s="9"/>
      <c r="H178" s="6"/>
      <c r="I178" s="9"/>
      <c r="J178" s="9" t="s">
        <v>145</v>
      </c>
    </row>
    <row r="179" spans="1:10">
      <c r="A179" s="5"/>
      <c r="B179" s="6"/>
      <c r="C179" s="7"/>
      <c r="D179" s="9"/>
      <c r="E179" s="8"/>
      <c r="F179" s="9"/>
      <c r="G179" s="9"/>
      <c r="H179" s="6"/>
      <c r="I179" s="9"/>
      <c r="J179" s="9" t="s">
        <v>145</v>
      </c>
    </row>
    <row r="180" spans="1:10">
      <c r="A180" s="5"/>
      <c r="B180" s="6"/>
      <c r="C180" s="7"/>
      <c r="D180" s="9"/>
      <c r="E180" s="8"/>
      <c r="F180" s="9"/>
      <c r="G180" s="9"/>
      <c r="H180" s="6"/>
      <c r="I180" s="9"/>
      <c r="J180" s="9" t="s">
        <v>145</v>
      </c>
    </row>
    <row r="181" spans="1:10">
      <c r="A181" s="5"/>
      <c r="B181" s="6"/>
      <c r="C181" s="7"/>
      <c r="D181" s="9"/>
      <c r="E181" s="4"/>
      <c r="F181" s="9"/>
      <c r="G181" s="9"/>
      <c r="H181" s="6"/>
      <c r="I181" s="9"/>
      <c r="J181" s="9" t="s">
        <v>145</v>
      </c>
    </row>
    <row r="182" spans="1:10">
      <c r="A182" s="5"/>
      <c r="B182" s="6"/>
      <c r="C182" s="7"/>
      <c r="D182" s="9"/>
      <c r="E182" s="8"/>
      <c r="F182" s="9"/>
      <c r="G182" s="9"/>
      <c r="H182" s="6"/>
      <c r="I182" s="9"/>
      <c r="J182" s="9" t="s">
        <v>145</v>
      </c>
    </row>
    <row r="183" spans="1:10">
      <c r="A183" s="5"/>
      <c r="B183" s="6"/>
      <c r="C183" s="7"/>
      <c r="D183" s="9"/>
      <c r="E183" s="4"/>
      <c r="F183" s="9"/>
      <c r="G183" s="9"/>
      <c r="H183" s="6"/>
      <c r="I183" s="9"/>
      <c r="J183" s="9" t="s">
        <v>145</v>
      </c>
    </row>
    <row r="184" spans="1:10">
      <c r="A184" s="5"/>
      <c r="B184" s="6"/>
      <c r="C184" s="7"/>
      <c r="D184" s="9"/>
      <c r="E184" s="8"/>
      <c r="F184" s="9"/>
      <c r="G184" s="9"/>
      <c r="H184" s="6"/>
      <c r="I184" s="9"/>
      <c r="J184" s="9" t="s">
        <v>145</v>
      </c>
    </row>
    <row r="185" spans="1:10">
      <c r="A185" s="5"/>
      <c r="B185" s="6"/>
      <c r="C185" s="7"/>
      <c r="D185" s="9"/>
      <c r="E185" s="8"/>
      <c r="F185" s="9"/>
      <c r="G185" s="9"/>
      <c r="H185" s="6"/>
      <c r="I185" s="9"/>
      <c r="J185" s="9" t="s">
        <v>145</v>
      </c>
    </row>
    <row r="186" spans="1:10">
      <c r="A186" s="5"/>
      <c r="B186" s="6"/>
      <c r="C186" s="7"/>
      <c r="D186" s="9"/>
      <c r="E186" s="8"/>
      <c r="F186" s="9"/>
      <c r="G186" s="9"/>
      <c r="H186" s="6"/>
      <c r="I186" s="9"/>
      <c r="J186" s="9" t="s">
        <v>145</v>
      </c>
    </row>
    <row r="187" spans="1:10">
      <c r="A187" s="5"/>
      <c r="B187" s="6"/>
      <c r="C187" s="7"/>
      <c r="D187" s="9"/>
      <c r="E187" s="8"/>
      <c r="F187" s="9"/>
      <c r="G187" s="9"/>
      <c r="H187" s="6"/>
      <c r="I187" s="9"/>
      <c r="J187" s="9" t="s">
        <v>145</v>
      </c>
    </row>
    <row r="188" spans="1:10">
      <c r="A188" s="5"/>
      <c r="B188" s="6"/>
      <c r="C188" s="7"/>
      <c r="D188" s="9"/>
      <c r="E188" s="8"/>
      <c r="F188" s="9"/>
      <c r="G188" s="9"/>
      <c r="H188" s="6"/>
      <c r="I188" s="9"/>
      <c r="J188" s="9" t="s">
        <v>145</v>
      </c>
    </row>
    <row r="189" spans="1:10">
      <c r="A189" s="5"/>
      <c r="B189" s="6"/>
      <c r="C189" s="7"/>
      <c r="D189" s="9"/>
      <c r="E189" s="8"/>
      <c r="F189" s="9"/>
      <c r="G189" s="9"/>
      <c r="H189" s="6"/>
      <c r="I189" s="9"/>
      <c r="J189" s="9" t="s">
        <v>145</v>
      </c>
    </row>
    <row r="190" spans="1:10">
      <c r="A190" s="5"/>
      <c r="B190" s="6"/>
      <c r="C190" s="7"/>
      <c r="D190" s="9"/>
      <c r="E190" s="8"/>
      <c r="F190" s="9"/>
      <c r="G190" s="9"/>
      <c r="H190" s="6"/>
      <c r="I190" s="9"/>
      <c r="J190" s="9" t="s">
        <v>145</v>
      </c>
    </row>
    <row r="191" spans="1:10">
      <c r="A191" s="5"/>
      <c r="B191" s="6"/>
      <c r="C191" s="7"/>
      <c r="D191" s="9"/>
      <c r="E191" s="8"/>
      <c r="F191" s="9"/>
      <c r="G191" s="9"/>
      <c r="H191" s="6"/>
      <c r="I191" s="9"/>
      <c r="J191" s="9" t="s">
        <v>145</v>
      </c>
    </row>
    <row r="192" spans="1:10">
      <c r="A192" s="5"/>
      <c r="B192" s="6"/>
      <c r="C192" s="7"/>
      <c r="D192" s="9"/>
      <c r="E192" s="4"/>
      <c r="F192" s="9"/>
      <c r="G192" s="9"/>
      <c r="H192" s="6"/>
      <c r="I192" s="9"/>
      <c r="J192" s="9" t="s">
        <v>145</v>
      </c>
    </row>
    <row r="193" spans="1:10">
      <c r="A193" s="5"/>
      <c r="B193" s="6"/>
      <c r="C193" s="7"/>
      <c r="D193" s="9"/>
      <c r="E193" s="8"/>
      <c r="F193" s="9"/>
      <c r="G193" s="9"/>
      <c r="H193" s="6"/>
      <c r="I193" s="9"/>
      <c r="J193" s="9" t="s">
        <v>145</v>
      </c>
    </row>
    <row r="194" spans="1:10">
      <c r="A194" s="5"/>
      <c r="B194" s="6"/>
      <c r="C194" s="7"/>
      <c r="D194" s="9"/>
      <c r="E194" s="8"/>
      <c r="F194" s="9"/>
      <c r="G194" s="9"/>
      <c r="H194" s="6"/>
      <c r="I194" s="9"/>
      <c r="J194" s="9" t="s">
        <v>145</v>
      </c>
    </row>
    <row r="195" spans="1:10">
      <c r="A195" s="5"/>
      <c r="B195" s="6"/>
      <c r="C195" s="7"/>
      <c r="D195" s="9"/>
      <c r="E195" s="8"/>
      <c r="F195" s="9"/>
      <c r="G195" s="9"/>
      <c r="H195" s="6"/>
      <c r="I195" s="9"/>
      <c r="J195" s="9" t="s">
        <v>145</v>
      </c>
    </row>
    <row r="196" spans="1:10">
      <c r="A196" s="5"/>
      <c r="B196" s="6"/>
      <c r="C196" s="7"/>
      <c r="D196" s="9"/>
      <c r="E196" s="8"/>
      <c r="F196" s="9"/>
      <c r="G196" s="9"/>
      <c r="H196" s="6"/>
      <c r="I196" s="9"/>
      <c r="J196" s="9" t="s">
        <v>145</v>
      </c>
    </row>
    <row r="197" spans="1:10">
      <c r="A197" s="5"/>
      <c r="B197" s="6"/>
      <c r="C197" s="7"/>
      <c r="D197" s="9"/>
      <c r="E197" s="8"/>
      <c r="F197" s="9"/>
      <c r="G197" s="9"/>
      <c r="H197" s="6"/>
      <c r="I197" s="9"/>
      <c r="J197" s="9" t="s">
        <v>145</v>
      </c>
    </row>
    <row r="198" spans="1:10">
      <c r="A198" s="5"/>
      <c r="B198" s="6"/>
      <c r="C198" s="7"/>
      <c r="D198" s="9"/>
      <c r="E198" s="4"/>
      <c r="F198" s="9"/>
      <c r="G198" s="9"/>
      <c r="H198" s="6"/>
      <c r="I198" s="9"/>
      <c r="J198" s="9" t="s">
        <v>145</v>
      </c>
    </row>
    <row r="199" spans="1:10">
      <c r="A199" s="5"/>
      <c r="B199" s="6"/>
      <c r="C199" s="7"/>
      <c r="D199" s="9"/>
      <c r="E199" s="8"/>
      <c r="F199" s="9"/>
      <c r="G199" s="9"/>
      <c r="H199" s="6"/>
      <c r="I199" s="9"/>
      <c r="J199" s="9" t="s">
        <v>145</v>
      </c>
    </row>
    <row r="200" spans="1:10">
      <c r="A200" s="5"/>
      <c r="B200" s="6"/>
      <c r="C200" s="7"/>
      <c r="D200" s="9"/>
      <c r="E200" s="8"/>
      <c r="F200" s="9"/>
      <c r="G200" s="9"/>
      <c r="H200" s="6"/>
      <c r="I200" s="9"/>
      <c r="J200" s="9" t="s">
        <v>145</v>
      </c>
    </row>
    <row r="201" spans="1:10">
      <c r="A201" s="5"/>
      <c r="B201" s="6"/>
      <c r="C201" s="7"/>
      <c r="D201" s="9"/>
      <c r="E201" s="8"/>
      <c r="F201" s="9"/>
      <c r="G201" s="9"/>
      <c r="H201" s="6"/>
      <c r="I201" s="9"/>
      <c r="J201" s="9" t="s">
        <v>145</v>
      </c>
    </row>
    <row r="202" spans="1:10">
      <c r="A202" s="5"/>
      <c r="B202" s="6"/>
      <c r="C202" s="7"/>
      <c r="D202" s="9"/>
      <c r="E202" s="8"/>
      <c r="F202" s="9"/>
      <c r="G202" s="9"/>
      <c r="H202" s="6"/>
      <c r="I202" s="9"/>
      <c r="J202" s="9" t="s">
        <v>145</v>
      </c>
    </row>
    <row r="203" spans="1:10">
      <c r="A203" s="5"/>
      <c r="B203" s="6"/>
      <c r="C203" s="7"/>
      <c r="D203" s="9"/>
      <c r="E203" s="4"/>
      <c r="F203" s="9"/>
      <c r="G203" s="9"/>
      <c r="H203" s="6"/>
      <c r="I203" s="9"/>
      <c r="J203" s="9" t="s">
        <v>145</v>
      </c>
    </row>
    <row r="204" spans="1:10">
      <c r="A204" s="5"/>
      <c r="B204" s="6"/>
      <c r="C204" s="7"/>
      <c r="D204" s="9"/>
      <c r="E204" s="8"/>
      <c r="F204" s="9"/>
      <c r="G204" s="9"/>
      <c r="H204" s="6"/>
      <c r="I204" s="9"/>
      <c r="J204" s="9" t="s">
        <v>145</v>
      </c>
    </row>
    <row r="205" spans="1:10">
      <c r="A205" s="5"/>
      <c r="B205" s="6"/>
      <c r="C205" s="7"/>
      <c r="D205" s="9"/>
      <c r="E205" s="8"/>
      <c r="F205" s="9"/>
      <c r="G205" s="9"/>
      <c r="H205" s="6"/>
      <c r="I205" s="9"/>
      <c r="J205" s="9" t="s">
        <v>145</v>
      </c>
    </row>
    <row r="206" spans="1:10">
      <c r="A206" s="5"/>
      <c r="B206" s="6"/>
      <c r="C206" s="7"/>
      <c r="D206" s="9"/>
      <c r="E206" s="8"/>
      <c r="F206" s="9"/>
      <c r="G206" s="9"/>
      <c r="H206" s="6"/>
      <c r="I206" s="9"/>
      <c r="J206" s="9" t="s">
        <v>145</v>
      </c>
    </row>
    <row r="207" spans="1:10">
      <c r="A207" s="5"/>
      <c r="B207" s="6"/>
      <c r="C207" s="7"/>
      <c r="D207" s="9"/>
      <c r="E207" s="8"/>
      <c r="F207" s="9"/>
      <c r="G207" s="9"/>
      <c r="H207" s="6"/>
      <c r="I207" s="9"/>
      <c r="J207" s="9" t="s">
        <v>145</v>
      </c>
    </row>
    <row r="208" spans="1:10">
      <c r="A208" s="5"/>
      <c r="B208" s="6"/>
      <c r="C208" s="7"/>
      <c r="D208" s="9"/>
      <c r="E208" s="8"/>
      <c r="F208" s="9"/>
      <c r="G208" s="9"/>
      <c r="H208" s="6"/>
      <c r="I208" s="9"/>
      <c r="J208" s="9" t="s">
        <v>145</v>
      </c>
    </row>
    <row r="209" spans="1:10">
      <c r="A209" s="5"/>
      <c r="B209" s="6"/>
      <c r="C209" s="7"/>
      <c r="D209" s="9"/>
      <c r="E209" s="8"/>
      <c r="F209" s="9"/>
      <c r="G209" s="9"/>
      <c r="H209" s="6"/>
      <c r="I209" s="9"/>
      <c r="J209" s="9" t="s">
        <v>145</v>
      </c>
    </row>
    <row r="210" spans="1:10">
      <c r="A210" s="5"/>
      <c r="B210" s="6"/>
      <c r="C210" s="7"/>
      <c r="D210" s="9"/>
      <c r="E210" s="8"/>
      <c r="F210" s="9"/>
      <c r="G210" s="9"/>
      <c r="H210" s="6"/>
      <c r="I210" s="9"/>
      <c r="J210" s="9" t="s">
        <v>145</v>
      </c>
    </row>
    <row r="211" spans="1:10">
      <c r="A211" s="5"/>
      <c r="B211" s="6"/>
      <c r="C211" s="7"/>
      <c r="D211" s="9"/>
      <c r="E211" s="8"/>
      <c r="F211" s="9"/>
      <c r="G211" s="9"/>
      <c r="H211" s="6"/>
      <c r="I211" s="9"/>
      <c r="J211" s="9" t="s">
        <v>145</v>
      </c>
    </row>
    <row r="212" spans="1:10">
      <c r="A212" s="5"/>
      <c r="B212" s="6"/>
      <c r="C212" s="7"/>
      <c r="D212" s="9"/>
      <c r="E212" s="8"/>
      <c r="F212" s="9"/>
      <c r="G212" s="9"/>
      <c r="H212" s="6"/>
      <c r="I212" s="9"/>
      <c r="J212" s="9" t="s">
        <v>145</v>
      </c>
    </row>
    <row r="213" spans="1:10">
      <c r="A213" s="5"/>
      <c r="B213" s="6"/>
      <c r="C213" s="7"/>
      <c r="D213" s="9"/>
      <c r="E213" s="8"/>
      <c r="F213" s="9"/>
      <c r="G213" s="9"/>
      <c r="H213" s="6"/>
      <c r="I213" s="9"/>
      <c r="J213" s="9" t="s">
        <v>145</v>
      </c>
    </row>
    <row r="214" spans="1:10">
      <c r="A214" s="5"/>
      <c r="B214" s="6"/>
      <c r="C214" s="7"/>
      <c r="D214" s="9"/>
      <c r="E214" s="8"/>
      <c r="F214" s="9"/>
      <c r="G214" s="9"/>
      <c r="H214" s="6"/>
      <c r="I214" s="9"/>
      <c r="J214" s="9" t="s">
        <v>145</v>
      </c>
    </row>
    <row r="215" spans="1:10">
      <c r="A215" s="5"/>
      <c r="B215" s="6"/>
      <c r="C215" s="7"/>
      <c r="D215" s="9"/>
      <c r="E215" s="8"/>
      <c r="F215" s="9"/>
      <c r="G215" s="9"/>
      <c r="H215" s="6"/>
      <c r="I215" s="9"/>
      <c r="J215" s="9" t="s">
        <v>145</v>
      </c>
    </row>
    <row r="216" spans="1:10">
      <c r="A216" s="5"/>
      <c r="B216" s="6"/>
      <c r="C216" s="7"/>
      <c r="D216" s="9"/>
      <c r="E216" s="8"/>
      <c r="F216" s="9"/>
      <c r="G216" s="9"/>
      <c r="H216" s="6"/>
      <c r="I216" s="9"/>
      <c r="J216" s="9" t="s">
        <v>145</v>
      </c>
    </row>
    <row r="217" spans="1:10">
      <c r="A217" s="5"/>
      <c r="B217" s="6"/>
      <c r="C217" s="7"/>
      <c r="D217" s="9"/>
      <c r="E217" s="8"/>
      <c r="F217" s="9"/>
      <c r="G217" s="9"/>
      <c r="H217" s="6"/>
      <c r="I217" s="9"/>
      <c r="J217" s="9" t="s">
        <v>145</v>
      </c>
    </row>
    <row r="218" spans="1:10">
      <c r="A218" s="5"/>
      <c r="B218" s="6"/>
      <c r="C218" s="7"/>
      <c r="D218" s="9"/>
      <c r="E218" s="8"/>
      <c r="F218" s="9"/>
      <c r="G218" s="9"/>
      <c r="H218" s="6"/>
      <c r="I218" s="9"/>
      <c r="J218" s="9" t="s">
        <v>145</v>
      </c>
    </row>
    <row r="219" spans="1:10">
      <c r="A219" s="5"/>
      <c r="B219" s="6"/>
      <c r="C219" s="7"/>
      <c r="D219" s="9"/>
      <c r="E219" s="8"/>
      <c r="F219" s="9"/>
      <c r="G219" s="9"/>
      <c r="H219" s="6"/>
      <c r="I219" s="9"/>
      <c r="J219" s="9" t="s">
        <v>145</v>
      </c>
    </row>
    <row r="220" spans="1:10">
      <c r="A220" s="5"/>
      <c r="B220" s="6"/>
      <c r="C220" s="7"/>
      <c r="D220" s="9"/>
      <c r="E220" s="8"/>
      <c r="F220" s="9"/>
      <c r="G220" s="9"/>
      <c r="H220" s="6"/>
      <c r="I220" s="9"/>
      <c r="J220" s="9" t="s">
        <v>145</v>
      </c>
    </row>
    <row r="221" spans="1:10">
      <c r="A221" s="5"/>
      <c r="B221" s="6"/>
      <c r="C221" s="7"/>
      <c r="D221" s="9"/>
      <c r="E221" s="8"/>
      <c r="F221" s="9"/>
      <c r="G221" s="9"/>
      <c r="H221" s="6"/>
      <c r="I221" s="9"/>
      <c r="J221" s="9" t="s">
        <v>145</v>
      </c>
    </row>
    <row r="222" spans="1:10">
      <c r="A222" s="5"/>
      <c r="B222" s="6"/>
      <c r="C222" s="7"/>
      <c r="D222" s="9"/>
      <c r="E222" s="8"/>
      <c r="F222" s="9"/>
      <c r="G222" s="9"/>
      <c r="H222" s="6"/>
      <c r="I222" s="9"/>
      <c r="J222" s="9" t="s">
        <v>145</v>
      </c>
    </row>
    <row r="223" spans="1:10">
      <c r="A223" s="5"/>
      <c r="B223" s="6"/>
      <c r="C223" s="7"/>
      <c r="D223" s="9"/>
      <c r="E223" s="8"/>
      <c r="F223" s="9"/>
      <c r="G223" s="9"/>
      <c r="H223" s="6"/>
      <c r="I223" s="9"/>
      <c r="J223" s="9" t="s">
        <v>145</v>
      </c>
    </row>
    <row r="224" spans="1:10">
      <c r="A224" s="5"/>
      <c r="B224" s="6"/>
      <c r="C224" s="7"/>
      <c r="D224" s="9"/>
      <c r="E224" s="4"/>
      <c r="F224" s="9"/>
      <c r="G224" s="9"/>
      <c r="H224" s="6"/>
      <c r="I224" s="9"/>
      <c r="J224" s="9" t="s">
        <v>145</v>
      </c>
    </row>
    <row r="225" spans="1:10">
      <c r="A225" s="5"/>
      <c r="B225" s="6"/>
      <c r="C225" s="7"/>
      <c r="D225" s="9"/>
      <c r="E225" s="8"/>
      <c r="F225" s="9"/>
      <c r="G225" s="9"/>
      <c r="H225" s="6"/>
      <c r="I225" s="9"/>
      <c r="J225" s="9" t="s">
        <v>145</v>
      </c>
    </row>
    <row r="226" spans="1:10">
      <c r="A226" s="5"/>
      <c r="B226" s="6"/>
      <c r="C226" s="7"/>
      <c r="D226" s="9"/>
      <c r="E226" s="8"/>
      <c r="F226" s="9"/>
      <c r="G226" s="9"/>
      <c r="H226" s="6"/>
      <c r="I226" s="9"/>
      <c r="J226" s="9" t="s">
        <v>145</v>
      </c>
    </row>
    <row r="227" spans="1:10">
      <c r="A227" s="5"/>
      <c r="B227" s="6"/>
      <c r="C227" s="7"/>
      <c r="D227" s="9"/>
      <c r="E227" s="8"/>
      <c r="F227" s="9"/>
      <c r="G227" s="9"/>
      <c r="H227" s="6"/>
      <c r="I227" s="9"/>
      <c r="J227" s="9" t="s">
        <v>145</v>
      </c>
    </row>
    <row r="228" spans="1:10">
      <c r="A228" s="5"/>
      <c r="B228" s="6"/>
      <c r="C228" s="7"/>
      <c r="D228" s="9"/>
      <c r="E228" s="4"/>
      <c r="F228" s="9"/>
      <c r="G228" s="9"/>
      <c r="H228" s="6"/>
      <c r="I228" s="9"/>
      <c r="J228" s="9" t="s">
        <v>145</v>
      </c>
    </row>
    <row r="229" spans="1:10">
      <c r="A229" s="5"/>
      <c r="B229" s="6"/>
      <c r="C229" s="7"/>
      <c r="D229" s="9"/>
      <c r="E229" s="8"/>
      <c r="F229" s="9"/>
      <c r="G229" s="9"/>
      <c r="H229" s="6"/>
      <c r="I229" s="9"/>
      <c r="J229" s="9" t="s">
        <v>145</v>
      </c>
    </row>
    <row r="230" spans="1:10">
      <c r="A230" s="5"/>
      <c r="B230" s="6"/>
      <c r="C230" s="7"/>
      <c r="D230" s="9"/>
      <c r="E230" s="4"/>
      <c r="F230" s="9"/>
      <c r="G230" s="9"/>
      <c r="H230" s="6"/>
      <c r="I230" s="9"/>
      <c r="J230" s="9" t="s">
        <v>145</v>
      </c>
    </row>
    <row r="231" spans="1:10">
      <c r="A231" s="5"/>
      <c r="B231" s="6"/>
      <c r="C231" s="7"/>
      <c r="D231" s="9"/>
      <c r="E231" s="8"/>
      <c r="F231" s="9"/>
      <c r="G231" s="9"/>
      <c r="H231" s="6"/>
      <c r="I231" s="9"/>
      <c r="J231" s="9" t="s">
        <v>145</v>
      </c>
    </row>
    <row r="232" spans="1:10">
      <c r="A232" s="5"/>
      <c r="B232" s="6"/>
      <c r="C232" s="7"/>
      <c r="D232" s="9"/>
      <c r="E232" s="4"/>
      <c r="F232" s="9"/>
      <c r="G232" s="9"/>
      <c r="H232" s="6"/>
      <c r="I232" s="9"/>
      <c r="J232" s="9" t="s">
        <v>145</v>
      </c>
    </row>
    <row r="233" spans="1:10">
      <c r="A233" s="5"/>
      <c r="B233" s="6"/>
      <c r="C233" s="7"/>
      <c r="D233" s="9"/>
      <c r="E233" s="8"/>
      <c r="F233" s="9"/>
      <c r="G233" s="9"/>
      <c r="H233" s="6"/>
      <c r="I233" s="9"/>
      <c r="J233" s="9" t="s">
        <v>145</v>
      </c>
    </row>
    <row r="234" spans="1:10">
      <c r="A234" s="5"/>
      <c r="B234" s="6"/>
      <c r="C234" s="7"/>
      <c r="D234" s="9"/>
      <c r="E234" s="8"/>
      <c r="F234" s="9"/>
      <c r="G234" s="9"/>
      <c r="H234" s="6"/>
      <c r="I234" s="9"/>
      <c r="J234" s="9" t="s">
        <v>145</v>
      </c>
    </row>
    <row r="235" spans="1:10">
      <c r="A235" s="5"/>
      <c r="B235" s="6"/>
      <c r="C235" s="7"/>
      <c r="D235" s="9"/>
      <c r="E235" s="8"/>
      <c r="F235" s="9"/>
      <c r="G235" s="9"/>
      <c r="H235" s="6"/>
      <c r="I235" s="9"/>
      <c r="J235" s="9" t="s">
        <v>145</v>
      </c>
    </row>
    <row r="236" spans="1:10">
      <c r="A236" s="5"/>
      <c r="B236" s="6"/>
      <c r="C236" s="7"/>
      <c r="D236" s="9"/>
      <c r="E236" s="4"/>
      <c r="F236" s="9"/>
      <c r="G236" s="9"/>
      <c r="H236" s="6"/>
      <c r="I236" s="9"/>
      <c r="J236" s="9" t="s">
        <v>145</v>
      </c>
    </row>
    <row r="237" spans="1:10">
      <c r="A237" s="5"/>
      <c r="B237" s="6"/>
      <c r="C237" s="7"/>
      <c r="D237" s="9"/>
      <c r="E237" s="8"/>
      <c r="F237" s="9"/>
      <c r="G237" s="9"/>
      <c r="H237" s="6"/>
      <c r="I237" s="9"/>
      <c r="J237" s="9" t="s">
        <v>145</v>
      </c>
    </row>
    <row r="238" spans="1:10">
      <c r="A238" s="5"/>
      <c r="B238" s="6"/>
      <c r="C238" s="7"/>
      <c r="D238" s="9"/>
      <c r="E238" s="8"/>
      <c r="F238" s="9"/>
      <c r="G238" s="9"/>
      <c r="H238" s="6"/>
      <c r="I238" s="9"/>
      <c r="J238" s="9" t="s">
        <v>145</v>
      </c>
    </row>
    <row r="239" spans="1:10">
      <c r="A239" s="5"/>
      <c r="B239" s="6"/>
      <c r="C239" s="7"/>
      <c r="D239" s="9"/>
      <c r="E239" s="8"/>
      <c r="F239" s="9"/>
      <c r="G239" s="9"/>
      <c r="H239" s="6"/>
      <c r="I239" s="9"/>
      <c r="J239" s="9" t="s">
        <v>145</v>
      </c>
    </row>
    <row r="240" spans="1:10">
      <c r="A240" s="5"/>
      <c r="B240" s="6"/>
      <c r="C240" s="7"/>
      <c r="D240" s="9"/>
      <c r="E240" s="8"/>
      <c r="F240" s="9"/>
      <c r="G240" s="9"/>
      <c r="H240" s="6"/>
      <c r="I240" s="9"/>
      <c r="J240" s="9" t="s">
        <v>145</v>
      </c>
    </row>
    <row r="241" spans="1:10">
      <c r="A241" s="5"/>
      <c r="B241" s="6"/>
      <c r="C241" s="7"/>
      <c r="D241" s="9"/>
      <c r="E241" s="4"/>
      <c r="F241" s="9"/>
      <c r="G241" s="9"/>
      <c r="H241" s="6"/>
      <c r="I241" s="9"/>
      <c r="J241" s="9" t="s">
        <v>145</v>
      </c>
    </row>
    <row r="242" spans="1:10">
      <c r="A242" s="5"/>
      <c r="B242" s="6"/>
      <c r="C242" s="7"/>
      <c r="D242" s="9"/>
      <c r="E242" s="4"/>
      <c r="F242" s="9"/>
      <c r="G242" s="9"/>
      <c r="H242" s="6"/>
      <c r="I242" s="9"/>
      <c r="J242" s="9" t="s">
        <v>145</v>
      </c>
    </row>
    <row r="243" spans="1:10">
      <c r="A243" s="5"/>
      <c r="B243" s="6"/>
      <c r="C243" s="7"/>
      <c r="D243" s="9"/>
      <c r="E243" s="8"/>
      <c r="F243" s="9"/>
      <c r="G243" s="9"/>
      <c r="H243" s="6"/>
      <c r="I243" s="9"/>
      <c r="J243" s="9" t="s">
        <v>145</v>
      </c>
    </row>
    <row r="244" spans="1:10">
      <c r="A244" s="5"/>
      <c r="B244" s="6"/>
      <c r="C244" s="7"/>
      <c r="D244" s="9"/>
      <c r="E244" s="8"/>
      <c r="F244" s="9"/>
      <c r="G244" s="9"/>
      <c r="H244" s="6"/>
      <c r="I244" s="9"/>
      <c r="J244" s="9" t="s">
        <v>145</v>
      </c>
    </row>
    <row r="245" spans="1:10">
      <c r="A245" s="5"/>
      <c r="B245" s="6"/>
      <c r="C245" s="7"/>
      <c r="D245" s="9"/>
      <c r="E245" s="4"/>
      <c r="F245" s="9"/>
      <c r="G245" s="9"/>
      <c r="H245" s="6"/>
      <c r="I245" s="9"/>
      <c r="J245" s="9" t="s">
        <v>145</v>
      </c>
    </row>
    <row r="246" spans="1:10">
      <c r="A246" s="5"/>
      <c r="B246" s="6"/>
      <c r="C246" s="7"/>
      <c r="D246" s="9"/>
      <c r="E246" s="8"/>
      <c r="F246" s="9"/>
      <c r="G246" s="9"/>
      <c r="H246" s="6"/>
      <c r="I246" s="9"/>
      <c r="J246" s="9" t="s">
        <v>145</v>
      </c>
    </row>
    <row r="247" spans="1:10">
      <c r="A247" s="5"/>
      <c r="B247" s="6"/>
      <c r="C247" s="7"/>
      <c r="D247" s="9"/>
      <c r="E247" s="8"/>
      <c r="F247" s="9"/>
      <c r="G247" s="9"/>
      <c r="H247" s="6"/>
      <c r="I247" s="9"/>
      <c r="J247" s="9" t="s">
        <v>145</v>
      </c>
    </row>
    <row r="248" spans="1:10">
      <c r="A248" s="5"/>
      <c r="B248" s="6"/>
      <c r="C248" s="7"/>
      <c r="D248" s="9"/>
      <c r="E248" s="8"/>
      <c r="F248" s="9"/>
      <c r="G248" s="9"/>
      <c r="H248" s="6"/>
      <c r="I248" s="9"/>
      <c r="J248" s="9" t="s">
        <v>145</v>
      </c>
    </row>
    <row r="249" spans="1:10">
      <c r="A249" s="5"/>
      <c r="B249" s="6"/>
      <c r="C249" s="7"/>
      <c r="D249" s="9"/>
      <c r="E249" s="8"/>
      <c r="F249" s="9"/>
      <c r="G249" s="9"/>
      <c r="H249" s="6"/>
      <c r="I249" s="9"/>
      <c r="J249" s="9" t="s">
        <v>145</v>
      </c>
    </row>
    <row r="250" spans="1:10">
      <c r="A250" s="5"/>
      <c r="B250" s="6"/>
      <c r="C250" s="7"/>
      <c r="D250" s="9"/>
      <c r="E250" s="4"/>
      <c r="F250" s="9"/>
      <c r="G250" s="9"/>
      <c r="H250" s="6"/>
      <c r="I250" s="9"/>
      <c r="J250" s="9" t="s">
        <v>145</v>
      </c>
    </row>
    <row r="251" spans="1:10">
      <c r="A251" s="5"/>
      <c r="B251" s="6"/>
      <c r="C251" s="7"/>
      <c r="D251" s="9"/>
      <c r="E251" s="8"/>
      <c r="F251" s="9"/>
      <c r="G251" s="9"/>
      <c r="H251" s="6"/>
      <c r="I251" s="9"/>
      <c r="J251" s="9" t="s">
        <v>145</v>
      </c>
    </row>
    <row r="252" spans="1:10">
      <c r="A252" s="5"/>
      <c r="B252" s="6"/>
      <c r="C252" s="7"/>
      <c r="D252" s="9"/>
      <c r="E252" s="8"/>
      <c r="F252" s="9"/>
      <c r="G252" s="9"/>
      <c r="H252" s="6"/>
      <c r="I252" s="9"/>
      <c r="J252" s="9" t="s">
        <v>145</v>
      </c>
    </row>
    <row r="253" spans="1:10">
      <c r="A253" s="5"/>
      <c r="B253" s="6"/>
      <c r="C253" s="7"/>
      <c r="D253" s="9"/>
      <c r="E253" s="8"/>
      <c r="F253" s="9"/>
      <c r="G253" s="9"/>
      <c r="H253" s="6"/>
      <c r="I253" s="9"/>
      <c r="J253" s="9" t="s">
        <v>145</v>
      </c>
    </row>
    <row r="254" spans="1:10">
      <c r="A254" s="5"/>
      <c r="B254" s="6"/>
      <c r="C254" s="7"/>
      <c r="D254" s="9"/>
      <c r="E254" s="8"/>
      <c r="F254" s="9"/>
      <c r="G254" s="9"/>
      <c r="H254" s="6"/>
      <c r="I254" s="9"/>
      <c r="J254" s="9" t="s">
        <v>145</v>
      </c>
    </row>
    <row r="255" spans="1:10">
      <c r="A255" s="5"/>
      <c r="B255" s="6"/>
      <c r="C255" s="7"/>
      <c r="D255" s="9"/>
      <c r="E255" s="8"/>
      <c r="F255" s="9"/>
      <c r="G255" s="9"/>
      <c r="H255" s="6"/>
      <c r="I255" s="9"/>
      <c r="J255" s="9" t="s">
        <v>145</v>
      </c>
    </row>
    <row r="256" spans="1:10">
      <c r="A256" s="5"/>
      <c r="B256" s="6"/>
      <c r="C256" s="7"/>
      <c r="D256" s="9"/>
      <c r="E256" s="8"/>
      <c r="F256" s="9"/>
      <c r="G256" s="9"/>
      <c r="H256" s="6"/>
      <c r="I256" s="9"/>
      <c r="J256" s="9" t="s">
        <v>145</v>
      </c>
    </row>
    <row r="257" spans="1:10">
      <c r="A257" s="5"/>
      <c r="B257" s="6"/>
      <c r="C257" s="7"/>
      <c r="D257" s="9"/>
      <c r="E257" s="8"/>
      <c r="F257" s="9"/>
      <c r="G257" s="9"/>
      <c r="H257" s="6"/>
      <c r="I257" s="9"/>
      <c r="J257" s="9" t="s">
        <v>145</v>
      </c>
    </row>
    <row r="258" spans="1:10">
      <c r="A258" s="5"/>
      <c r="B258" s="6"/>
      <c r="C258" s="7"/>
      <c r="D258" s="9"/>
      <c r="E258" s="8"/>
      <c r="F258" s="9"/>
      <c r="G258" s="9"/>
      <c r="H258" s="6"/>
      <c r="I258" s="9"/>
      <c r="J258" s="9" t="s">
        <v>145</v>
      </c>
    </row>
    <row r="259" spans="1:10">
      <c r="A259" s="5"/>
      <c r="B259" s="6"/>
      <c r="C259" s="7"/>
      <c r="D259" s="9"/>
      <c r="E259" s="8"/>
      <c r="F259" s="9"/>
      <c r="G259" s="9"/>
      <c r="H259" s="6"/>
      <c r="I259" s="9"/>
      <c r="J259" s="9" t="s">
        <v>145</v>
      </c>
    </row>
    <row r="260" spans="1:10">
      <c r="A260" s="5"/>
      <c r="B260" s="6"/>
      <c r="C260" s="7"/>
      <c r="D260" s="9"/>
      <c r="E260" s="8"/>
      <c r="F260" s="9"/>
      <c r="G260" s="9"/>
      <c r="H260" s="6"/>
      <c r="I260" s="9"/>
      <c r="J260" s="9" t="s">
        <v>145</v>
      </c>
    </row>
    <row r="261" spans="1:10">
      <c r="A261" s="5"/>
      <c r="B261" s="6"/>
      <c r="C261" s="7"/>
      <c r="D261" s="9"/>
      <c r="E261" s="8"/>
      <c r="F261" s="9"/>
      <c r="G261" s="9"/>
      <c r="H261" s="6"/>
      <c r="I261" s="9"/>
      <c r="J261" s="9" t="s">
        <v>145</v>
      </c>
    </row>
    <row r="262" spans="1:10">
      <c r="A262" s="5"/>
      <c r="B262" s="6"/>
      <c r="C262" s="7"/>
      <c r="D262" s="9"/>
      <c r="E262" s="8"/>
      <c r="F262" s="9"/>
      <c r="G262" s="9"/>
      <c r="H262" s="6"/>
      <c r="I262" s="9"/>
      <c r="J262" s="9" t="s">
        <v>145</v>
      </c>
    </row>
    <row r="263" spans="1:10">
      <c r="A263" s="5"/>
      <c r="B263" s="6"/>
      <c r="C263" s="7"/>
      <c r="D263" s="9"/>
      <c r="E263" s="8"/>
      <c r="F263" s="9"/>
      <c r="G263" s="9"/>
      <c r="H263" s="6"/>
      <c r="I263" s="9"/>
      <c r="J263" s="9" t="s">
        <v>145</v>
      </c>
    </row>
    <row r="264" spans="1:10">
      <c r="A264" s="5"/>
      <c r="B264" s="6"/>
      <c r="C264" s="7"/>
      <c r="D264" s="9"/>
      <c r="E264" s="8"/>
      <c r="F264" s="9"/>
      <c r="G264" s="9"/>
      <c r="H264" s="6"/>
      <c r="I264" s="9"/>
      <c r="J264" s="9" t="s">
        <v>145</v>
      </c>
    </row>
    <row r="265" spans="1:10">
      <c r="A265" s="5"/>
      <c r="B265" s="6"/>
      <c r="C265" s="7"/>
      <c r="D265" s="9"/>
      <c r="E265" s="8"/>
      <c r="F265" s="9"/>
      <c r="G265" s="9"/>
      <c r="H265" s="6"/>
      <c r="I265" s="9"/>
      <c r="J265" s="9" t="s">
        <v>145</v>
      </c>
    </row>
    <row r="266" spans="1:10">
      <c r="A266" s="5"/>
      <c r="B266" s="6"/>
      <c r="C266" s="7"/>
      <c r="D266" s="9"/>
      <c r="E266" s="8"/>
      <c r="F266" s="9"/>
      <c r="G266" s="9"/>
      <c r="H266" s="6"/>
      <c r="I266" s="9"/>
      <c r="J266" s="9" t="s">
        <v>145</v>
      </c>
    </row>
    <row r="267" spans="1:10">
      <c r="A267" s="5"/>
      <c r="B267" s="6"/>
      <c r="C267" s="7"/>
      <c r="D267" s="9"/>
      <c r="E267" s="4"/>
      <c r="F267" s="9"/>
      <c r="G267" s="9"/>
      <c r="H267" s="6"/>
      <c r="I267" s="9"/>
      <c r="J267" s="9" t="s">
        <v>145</v>
      </c>
    </row>
    <row r="268" spans="1:10">
      <c r="A268" s="5"/>
      <c r="B268" s="6"/>
      <c r="C268" s="7"/>
      <c r="D268" s="9"/>
      <c r="E268" s="8"/>
      <c r="F268" s="9"/>
      <c r="G268" s="9"/>
      <c r="H268" s="6"/>
      <c r="I268" s="9"/>
      <c r="J268" s="9" t="s">
        <v>145</v>
      </c>
    </row>
    <row r="269" spans="1:10">
      <c r="A269" s="5"/>
      <c r="B269" s="6"/>
      <c r="C269" s="7"/>
      <c r="D269" s="9"/>
      <c r="E269" s="8"/>
      <c r="F269" s="9"/>
      <c r="G269" s="9"/>
      <c r="H269" s="6"/>
      <c r="I269" s="9"/>
      <c r="J269" s="9" t="s">
        <v>145</v>
      </c>
    </row>
    <row r="270" spans="1:10">
      <c r="A270" s="5"/>
      <c r="B270" s="6"/>
      <c r="C270" s="7"/>
      <c r="D270" s="9"/>
      <c r="E270" s="8"/>
      <c r="F270" s="9"/>
      <c r="G270" s="9"/>
      <c r="H270" s="6"/>
      <c r="I270" s="9"/>
      <c r="J270" s="9" t="s">
        <v>145</v>
      </c>
    </row>
    <row r="271" spans="1:10">
      <c r="A271" s="5"/>
      <c r="B271" s="6"/>
      <c r="C271" s="7"/>
      <c r="D271" s="9"/>
      <c r="E271" s="8"/>
      <c r="F271" s="9"/>
      <c r="G271" s="9"/>
      <c r="H271" s="6"/>
      <c r="I271" s="9"/>
      <c r="J271" s="9" t="s">
        <v>145</v>
      </c>
    </row>
    <row r="272" spans="1:10">
      <c r="A272" s="5"/>
      <c r="B272" s="6"/>
      <c r="C272" s="7"/>
      <c r="D272" s="9"/>
      <c r="E272" s="8"/>
      <c r="F272" s="9"/>
      <c r="G272" s="9"/>
      <c r="H272" s="6"/>
      <c r="I272" s="9"/>
      <c r="J272" s="9" t="s">
        <v>145</v>
      </c>
    </row>
    <row r="273" spans="1:10">
      <c r="A273" s="5"/>
      <c r="B273" s="6"/>
      <c r="C273" s="7"/>
      <c r="D273" s="9"/>
      <c r="E273" s="8"/>
      <c r="F273" s="9"/>
      <c r="G273" s="9"/>
      <c r="H273" s="6"/>
      <c r="I273" s="9"/>
      <c r="J273" s="9" t="s">
        <v>145</v>
      </c>
    </row>
    <row r="274" spans="1:10">
      <c r="A274" s="5"/>
      <c r="B274" s="6"/>
      <c r="C274" s="7"/>
      <c r="D274" s="9"/>
      <c r="E274" s="8"/>
      <c r="F274" s="9"/>
      <c r="G274" s="9"/>
      <c r="H274" s="6"/>
      <c r="I274" s="9"/>
      <c r="J274" s="9" t="s">
        <v>145</v>
      </c>
    </row>
    <row r="275" spans="1:10">
      <c r="A275" s="5"/>
      <c r="B275" s="6"/>
      <c r="C275" s="7"/>
      <c r="D275" s="9"/>
      <c r="E275" s="8"/>
      <c r="F275" s="9"/>
      <c r="G275" s="9"/>
      <c r="H275" s="6"/>
      <c r="I275" s="9"/>
      <c r="J275" s="9" t="s">
        <v>145</v>
      </c>
    </row>
    <row r="276" spans="1:10">
      <c r="A276" s="5"/>
      <c r="B276" s="6"/>
      <c r="C276" s="7"/>
      <c r="D276" s="9"/>
      <c r="E276" s="8"/>
      <c r="F276" s="9"/>
      <c r="G276" s="9"/>
      <c r="H276" s="6"/>
      <c r="I276" s="9"/>
      <c r="J276" s="9" t="s">
        <v>145</v>
      </c>
    </row>
    <row r="277" spans="1:10">
      <c r="A277" s="5"/>
      <c r="B277" s="6"/>
      <c r="C277" s="7"/>
      <c r="D277" s="9"/>
      <c r="E277" s="8"/>
      <c r="F277" s="9"/>
      <c r="G277" s="9"/>
      <c r="H277" s="6"/>
      <c r="I277" s="9"/>
      <c r="J277" s="9" t="s">
        <v>145</v>
      </c>
    </row>
    <row r="278" spans="1:10">
      <c r="A278" s="5"/>
      <c r="B278" s="6"/>
      <c r="C278" s="7"/>
      <c r="D278" s="9"/>
      <c r="E278" s="8"/>
      <c r="F278" s="9"/>
      <c r="G278" s="9"/>
      <c r="H278" s="6"/>
      <c r="I278" s="9"/>
      <c r="J278" s="9" t="s">
        <v>145</v>
      </c>
    </row>
    <row r="279" spans="1:10">
      <c r="A279" s="5"/>
      <c r="B279" s="6"/>
      <c r="C279" s="7"/>
      <c r="D279" s="9"/>
      <c r="E279" s="8"/>
      <c r="F279" s="9"/>
      <c r="G279" s="9"/>
      <c r="H279" s="6"/>
      <c r="I279" s="9"/>
      <c r="J279" s="9" t="s">
        <v>145</v>
      </c>
    </row>
    <row r="280" spans="1:10">
      <c r="A280" s="5"/>
      <c r="B280" s="6"/>
      <c r="C280" s="7"/>
      <c r="D280" s="9"/>
      <c r="E280" s="8"/>
      <c r="F280" s="9"/>
      <c r="G280" s="9"/>
      <c r="H280" s="6"/>
      <c r="I280" s="9"/>
      <c r="J280" s="9" t="s">
        <v>145</v>
      </c>
    </row>
    <row r="281" spans="1:10">
      <c r="A281" s="5"/>
      <c r="B281" s="6"/>
      <c r="C281" s="7"/>
      <c r="D281" s="9"/>
      <c r="E281" s="8"/>
      <c r="F281" s="9"/>
      <c r="G281" s="9"/>
      <c r="H281" s="6"/>
      <c r="I281" s="9"/>
      <c r="J281" s="9" t="s">
        <v>145</v>
      </c>
    </row>
    <row r="282" spans="1:10">
      <c r="A282" s="5"/>
      <c r="B282" s="6"/>
      <c r="C282" s="7"/>
      <c r="D282" s="9"/>
      <c r="E282" s="8"/>
      <c r="F282" s="9"/>
      <c r="G282" s="9"/>
      <c r="H282" s="6"/>
      <c r="I282" s="9"/>
      <c r="J282" s="9" t="s">
        <v>145</v>
      </c>
    </row>
    <row r="283" spans="1:10">
      <c r="A283" s="5"/>
      <c r="B283" s="6"/>
      <c r="C283" s="7"/>
      <c r="D283" s="9"/>
      <c r="E283" s="8"/>
      <c r="F283" s="9"/>
      <c r="G283" s="9"/>
      <c r="H283" s="6"/>
      <c r="I283" s="9"/>
      <c r="J283" s="9" t="s">
        <v>145</v>
      </c>
    </row>
    <row r="284" spans="1:10">
      <c r="A284" s="5"/>
      <c r="B284" s="6"/>
      <c r="C284" s="7"/>
      <c r="D284" s="9"/>
      <c r="E284" s="8"/>
      <c r="F284" s="9"/>
      <c r="G284" s="9"/>
      <c r="H284" s="6"/>
      <c r="I284" s="9"/>
      <c r="J284" s="9" t="s">
        <v>145</v>
      </c>
    </row>
    <row r="285" spans="1:10">
      <c r="A285" s="5"/>
      <c r="B285" s="6"/>
      <c r="C285" s="7"/>
      <c r="D285" s="9"/>
      <c r="E285" s="4"/>
      <c r="F285" s="9"/>
      <c r="G285" s="9"/>
      <c r="H285" s="6"/>
      <c r="I285" s="9"/>
      <c r="J285" s="9" t="s">
        <v>145</v>
      </c>
    </row>
    <row r="286" spans="1:10">
      <c r="A286" s="5"/>
      <c r="B286" s="6"/>
      <c r="C286" s="7"/>
      <c r="D286" s="9"/>
      <c r="E286" s="4"/>
      <c r="F286" s="9"/>
      <c r="G286" s="9"/>
      <c r="H286" s="6"/>
      <c r="I286" s="9"/>
      <c r="J286" s="9" t="s">
        <v>145</v>
      </c>
    </row>
    <row r="287" spans="1:10">
      <c r="A287" s="5"/>
      <c r="B287" s="6"/>
      <c r="C287" s="7"/>
      <c r="D287" s="9"/>
      <c r="E287" s="8"/>
      <c r="F287" s="9"/>
      <c r="G287" s="9"/>
      <c r="H287" s="6"/>
      <c r="I287" s="9"/>
      <c r="J287" s="9" t="s">
        <v>145</v>
      </c>
    </row>
    <row r="288" spans="1:10">
      <c r="A288" s="5"/>
      <c r="B288" s="6"/>
      <c r="C288" s="7"/>
      <c r="D288" s="9"/>
      <c r="E288" s="8"/>
      <c r="F288" s="9"/>
      <c r="G288" s="9"/>
      <c r="H288" s="6"/>
      <c r="I288" s="9"/>
      <c r="J288" s="9" t="s">
        <v>145</v>
      </c>
    </row>
    <row r="289" spans="1:10">
      <c r="A289" s="5"/>
      <c r="B289" s="6"/>
      <c r="C289" s="7"/>
      <c r="D289" s="9"/>
      <c r="E289" s="8"/>
      <c r="F289" s="9"/>
      <c r="G289" s="9"/>
      <c r="H289" s="6"/>
      <c r="I289" s="9"/>
      <c r="J289" s="9" t="s">
        <v>145</v>
      </c>
    </row>
    <row r="290" spans="1:10">
      <c r="A290" s="5"/>
      <c r="B290" s="6"/>
      <c r="C290" s="7"/>
      <c r="D290" s="9"/>
      <c r="E290" s="8"/>
      <c r="F290" s="9"/>
      <c r="G290" s="9"/>
      <c r="H290" s="6"/>
      <c r="I290" s="9"/>
      <c r="J290" s="9" t="s">
        <v>145</v>
      </c>
    </row>
    <row r="291" spans="1:10">
      <c r="A291" s="5"/>
      <c r="B291" s="6"/>
      <c r="C291" s="7"/>
      <c r="D291" s="9"/>
      <c r="E291" s="4"/>
      <c r="F291" s="9"/>
      <c r="G291" s="9"/>
      <c r="H291" s="6"/>
      <c r="I291" s="9"/>
      <c r="J291" s="9" t="s">
        <v>145</v>
      </c>
    </row>
    <row r="292" spans="1:10">
      <c r="A292" s="5"/>
      <c r="B292" s="6"/>
      <c r="C292" s="7"/>
      <c r="D292" s="9"/>
      <c r="E292" s="8"/>
      <c r="F292" s="9"/>
      <c r="G292" s="9"/>
      <c r="H292" s="6"/>
      <c r="I292" s="9"/>
      <c r="J292" s="9" t="s">
        <v>145</v>
      </c>
    </row>
    <row r="293" spans="1:10">
      <c r="A293" s="5"/>
      <c r="B293" s="6"/>
      <c r="C293" s="7"/>
      <c r="D293" s="9"/>
      <c r="E293" s="8"/>
      <c r="F293" s="9"/>
      <c r="G293" s="9"/>
      <c r="H293" s="6"/>
      <c r="I293" s="9"/>
      <c r="J293" s="9" t="s">
        <v>145</v>
      </c>
    </row>
    <row r="294" spans="1:10">
      <c r="A294" s="5"/>
      <c r="B294" s="6"/>
      <c r="C294" s="7"/>
      <c r="D294" s="9"/>
      <c r="E294" s="4"/>
      <c r="F294" s="9"/>
      <c r="G294" s="9"/>
      <c r="H294" s="6"/>
      <c r="I294" s="9"/>
      <c r="J294" s="9" t="s">
        <v>145</v>
      </c>
    </row>
    <row r="295" spans="1:10">
      <c r="A295" s="5"/>
      <c r="B295" s="6"/>
      <c r="C295" s="7"/>
      <c r="D295" s="9"/>
      <c r="E295" s="8"/>
      <c r="F295" s="9"/>
      <c r="G295" s="9"/>
      <c r="H295" s="6"/>
      <c r="I295" s="9"/>
      <c r="J295" s="9" t="s">
        <v>145</v>
      </c>
    </row>
    <row r="296" spans="1:10">
      <c r="A296" s="5"/>
      <c r="B296" s="6"/>
      <c r="C296" s="7"/>
      <c r="D296" s="9"/>
      <c r="E296" s="8"/>
      <c r="F296" s="9"/>
      <c r="G296" s="9"/>
      <c r="H296" s="6"/>
      <c r="I296" s="9"/>
      <c r="J296" s="9" t="s">
        <v>145</v>
      </c>
    </row>
    <row r="297" spans="1:10">
      <c r="A297" s="5"/>
      <c r="B297" s="6"/>
      <c r="C297" s="7"/>
      <c r="D297" s="9"/>
      <c r="E297" s="8"/>
      <c r="F297" s="9"/>
      <c r="G297" s="9"/>
      <c r="H297" s="6"/>
      <c r="I297" s="9"/>
      <c r="J297" s="9" t="s">
        <v>145</v>
      </c>
    </row>
    <row r="298" spans="1:10">
      <c r="A298" s="5"/>
      <c r="B298" s="6"/>
      <c r="C298" s="7"/>
      <c r="D298" s="9"/>
      <c r="E298" s="8"/>
      <c r="F298" s="9"/>
      <c r="G298" s="9"/>
      <c r="H298" s="6"/>
      <c r="I298" s="9"/>
      <c r="J298" s="9" t="s">
        <v>145</v>
      </c>
    </row>
    <row r="299" spans="1:10">
      <c r="A299" s="5"/>
      <c r="B299" s="6"/>
      <c r="C299" s="7"/>
      <c r="D299" s="9"/>
      <c r="E299" s="8"/>
      <c r="F299" s="9"/>
      <c r="G299" s="9"/>
      <c r="H299" s="6"/>
      <c r="I299" s="9"/>
      <c r="J299" s="9" t="s">
        <v>145</v>
      </c>
    </row>
    <row r="300" spans="1:10">
      <c r="A300" s="5"/>
      <c r="B300" s="6"/>
      <c r="C300" s="7"/>
      <c r="D300" s="9"/>
      <c r="E300" s="8"/>
      <c r="F300" s="9"/>
      <c r="G300" s="9"/>
      <c r="H300" s="6"/>
      <c r="I300" s="9"/>
      <c r="J300" s="9" t="s">
        <v>145</v>
      </c>
    </row>
    <row r="301" spans="1:10">
      <c r="A301" s="5"/>
      <c r="B301" s="6"/>
      <c r="C301" s="7"/>
      <c r="D301" s="9"/>
      <c r="E301" s="8"/>
      <c r="F301" s="9"/>
      <c r="G301" s="9"/>
      <c r="H301" s="6"/>
      <c r="I301" s="9"/>
      <c r="J301" s="9" t="s">
        <v>145</v>
      </c>
    </row>
    <row r="302" spans="1:10">
      <c r="A302" s="5"/>
      <c r="B302" s="6"/>
      <c r="C302" s="7"/>
      <c r="D302" s="9"/>
      <c r="E302" s="8"/>
      <c r="F302" s="9"/>
      <c r="G302" s="9"/>
      <c r="H302" s="6"/>
      <c r="I302" s="9"/>
      <c r="J302" s="9" t="s">
        <v>145</v>
      </c>
    </row>
    <row r="303" spans="1:10">
      <c r="A303" s="5"/>
      <c r="B303" s="6"/>
      <c r="C303" s="7"/>
      <c r="D303" s="9"/>
      <c r="E303" s="8"/>
      <c r="F303" s="9"/>
      <c r="G303" s="9"/>
      <c r="H303" s="6"/>
      <c r="I303" s="9"/>
      <c r="J303" s="9" t="s">
        <v>145</v>
      </c>
    </row>
    <row r="304" spans="1:10">
      <c r="A304" s="5"/>
      <c r="B304" s="6"/>
      <c r="C304" s="7"/>
      <c r="D304" s="9"/>
      <c r="E304" s="4"/>
      <c r="F304" s="9"/>
      <c r="G304" s="9"/>
      <c r="H304" s="6"/>
      <c r="I304" s="9"/>
      <c r="J304" s="9" t="s">
        <v>145</v>
      </c>
    </row>
    <row r="305" spans="1:10">
      <c r="A305" s="5"/>
      <c r="B305" s="6"/>
      <c r="C305" s="7"/>
      <c r="D305" s="9"/>
      <c r="E305" s="8"/>
      <c r="F305" s="9"/>
      <c r="G305" s="9"/>
      <c r="H305" s="6"/>
      <c r="I305" s="9"/>
      <c r="J305" s="9" t="s">
        <v>145</v>
      </c>
    </row>
    <row r="306" spans="1:10">
      <c r="A306" s="5"/>
      <c r="B306" s="6"/>
      <c r="C306" s="7"/>
      <c r="D306" s="9"/>
      <c r="E306" s="4"/>
      <c r="F306" s="9"/>
      <c r="G306" s="9"/>
      <c r="H306" s="6"/>
      <c r="I306" s="9"/>
      <c r="J306" s="9" t="s">
        <v>145</v>
      </c>
    </row>
    <row r="307" spans="1:10">
      <c r="A307" s="5"/>
      <c r="B307" s="6"/>
      <c r="C307" s="7"/>
      <c r="D307" s="9"/>
      <c r="E307" s="8"/>
      <c r="F307" s="9"/>
      <c r="G307" s="9"/>
      <c r="H307" s="6"/>
      <c r="I307" s="9"/>
      <c r="J307" s="9" t="s">
        <v>145</v>
      </c>
    </row>
    <row r="308" spans="1:10">
      <c r="A308" s="5"/>
      <c r="B308" s="6"/>
      <c r="C308" s="7"/>
      <c r="D308" s="9"/>
      <c r="E308" s="8"/>
      <c r="F308" s="9"/>
      <c r="G308" s="9"/>
      <c r="H308" s="6"/>
      <c r="I308" s="9"/>
      <c r="J308" s="9" t="s">
        <v>145</v>
      </c>
    </row>
    <row r="309" spans="1:10">
      <c r="A309" s="5"/>
      <c r="B309" s="6"/>
      <c r="C309" s="7"/>
      <c r="D309" s="9"/>
      <c r="E309" s="8"/>
      <c r="F309" s="9"/>
      <c r="G309" s="9"/>
      <c r="H309" s="6"/>
      <c r="I309" s="9"/>
      <c r="J309" s="9" t="s">
        <v>145</v>
      </c>
    </row>
    <row r="310" spans="1:10">
      <c r="A310" s="5"/>
      <c r="B310" s="6"/>
      <c r="C310" s="7"/>
      <c r="D310" s="9"/>
      <c r="E310" s="8"/>
      <c r="F310" s="9"/>
      <c r="G310" s="9"/>
      <c r="H310" s="6"/>
      <c r="I310" s="9"/>
      <c r="J310" s="9" t="s">
        <v>145</v>
      </c>
    </row>
    <row r="311" spans="1:10">
      <c r="A311" s="5"/>
      <c r="B311" s="6"/>
      <c r="C311" s="7"/>
      <c r="D311" s="9"/>
      <c r="E311" s="8"/>
      <c r="F311" s="9"/>
      <c r="G311" s="9"/>
      <c r="H311" s="6"/>
      <c r="I311" s="9"/>
      <c r="J311" s="9" t="s">
        <v>145</v>
      </c>
    </row>
    <row r="312" spans="1:10">
      <c r="A312" s="5"/>
      <c r="B312" s="6"/>
      <c r="C312" s="7"/>
      <c r="D312" s="9"/>
      <c r="E312" s="8"/>
      <c r="F312" s="9"/>
      <c r="G312" s="9"/>
      <c r="H312" s="6"/>
      <c r="I312" s="9"/>
      <c r="J312" s="9" t="s">
        <v>145</v>
      </c>
    </row>
    <row r="313" spans="1:10">
      <c r="A313" s="5"/>
      <c r="B313" s="6"/>
      <c r="C313" s="7"/>
      <c r="D313" s="9"/>
      <c r="E313" s="8"/>
      <c r="F313" s="9"/>
      <c r="G313" s="9"/>
      <c r="H313" s="6"/>
      <c r="I313" s="9"/>
      <c r="J313" s="9" t="s">
        <v>145</v>
      </c>
    </row>
    <row r="314" spans="1:10">
      <c r="A314" s="5"/>
      <c r="B314" s="6"/>
      <c r="C314" s="7"/>
      <c r="D314" s="9"/>
      <c r="E314" s="8"/>
      <c r="F314" s="9"/>
      <c r="G314" s="9"/>
      <c r="H314" s="6"/>
      <c r="I314" s="9"/>
      <c r="J314" s="9" t="s">
        <v>145</v>
      </c>
    </row>
    <row r="315" spans="1:10">
      <c r="A315" s="5"/>
      <c r="B315" s="6"/>
      <c r="C315" s="7"/>
      <c r="D315" s="9"/>
      <c r="E315" s="8"/>
      <c r="F315" s="9"/>
      <c r="G315" s="9"/>
      <c r="H315" s="6"/>
      <c r="I315" s="9"/>
      <c r="J315" s="9" t="s">
        <v>145</v>
      </c>
    </row>
    <row r="316" spans="1:10">
      <c r="A316" s="5"/>
      <c r="B316" s="6"/>
      <c r="C316" s="7"/>
      <c r="D316" s="9"/>
      <c r="E316" s="4"/>
      <c r="F316" s="9"/>
      <c r="G316" s="9"/>
      <c r="H316" s="6"/>
      <c r="I316" s="9"/>
      <c r="J316" s="9" t="s">
        <v>145</v>
      </c>
    </row>
    <row r="317" spans="1:10">
      <c r="A317" s="5"/>
      <c r="B317" s="6"/>
      <c r="C317" s="7"/>
      <c r="D317" s="9"/>
      <c r="E317" s="8"/>
      <c r="F317" s="9"/>
      <c r="G317" s="9"/>
      <c r="H317" s="6"/>
      <c r="I317" s="9"/>
      <c r="J317" s="9" t="s">
        <v>145</v>
      </c>
    </row>
    <row r="318" spans="1:10">
      <c r="A318" s="5"/>
      <c r="B318" s="6"/>
      <c r="C318" s="7"/>
      <c r="D318" s="9"/>
      <c r="E318" s="8"/>
      <c r="F318" s="9"/>
      <c r="G318" s="9"/>
      <c r="H318" s="6"/>
      <c r="I318" s="9"/>
      <c r="J318" s="9" t="s">
        <v>145</v>
      </c>
    </row>
    <row r="319" spans="1:10">
      <c r="A319" s="5"/>
      <c r="B319" s="6"/>
      <c r="C319" s="7"/>
      <c r="D319" s="9"/>
      <c r="E319" s="8"/>
      <c r="F319" s="9"/>
      <c r="G319" s="9"/>
      <c r="H319" s="6"/>
      <c r="I319" s="9"/>
      <c r="J319" s="9" t="s">
        <v>145</v>
      </c>
    </row>
    <row r="320" spans="1:10">
      <c r="A320" s="5"/>
      <c r="B320" s="6"/>
      <c r="C320" s="7"/>
      <c r="D320" s="9"/>
      <c r="E320" s="8"/>
      <c r="F320" s="9"/>
      <c r="G320" s="9"/>
      <c r="H320" s="6"/>
      <c r="I320" s="9"/>
      <c r="J320" s="9" t="s">
        <v>145</v>
      </c>
    </row>
    <row r="321" spans="1:10">
      <c r="A321" s="5"/>
      <c r="B321" s="6"/>
      <c r="C321" s="7"/>
      <c r="D321" s="9"/>
      <c r="E321" s="8"/>
      <c r="F321" s="9"/>
      <c r="G321" s="9"/>
      <c r="H321" s="6"/>
      <c r="I321" s="9"/>
      <c r="J321" s="9" t="s">
        <v>145</v>
      </c>
    </row>
    <row r="322" spans="1:10">
      <c r="A322" s="5"/>
      <c r="B322" s="6"/>
      <c r="C322" s="7"/>
      <c r="D322" s="9"/>
      <c r="E322" s="4"/>
      <c r="F322" s="9"/>
      <c r="G322" s="9"/>
      <c r="H322" s="6"/>
      <c r="I322" s="9"/>
      <c r="J322" s="9" t="s">
        <v>145</v>
      </c>
    </row>
    <row r="323" spans="1:10">
      <c r="A323" s="5"/>
      <c r="B323" s="6"/>
      <c r="C323" s="7"/>
      <c r="D323" s="9"/>
      <c r="E323" s="8"/>
      <c r="F323" s="9"/>
      <c r="G323" s="9"/>
      <c r="H323" s="6"/>
      <c r="I323" s="9"/>
      <c r="J323" s="9" t="s">
        <v>145</v>
      </c>
    </row>
    <row r="324" spans="1:10">
      <c r="A324" s="5"/>
      <c r="B324" s="6"/>
      <c r="C324" s="7"/>
      <c r="D324" s="9"/>
      <c r="E324" s="8"/>
      <c r="F324" s="9"/>
      <c r="G324" s="9"/>
      <c r="H324" s="6"/>
      <c r="I324" s="9"/>
      <c r="J324" s="9" t="s">
        <v>145</v>
      </c>
    </row>
    <row r="325" spans="1:10">
      <c r="A325" s="5"/>
      <c r="B325" s="6"/>
      <c r="C325" s="7"/>
      <c r="D325" s="9"/>
      <c r="E325" s="8"/>
      <c r="F325" s="9"/>
      <c r="G325" s="9"/>
      <c r="H325" s="6"/>
      <c r="I325" s="9"/>
      <c r="J325" s="9" t="s">
        <v>145</v>
      </c>
    </row>
    <row r="326" spans="1:10">
      <c r="A326" s="5"/>
      <c r="B326" s="6"/>
      <c r="C326" s="7"/>
      <c r="D326" s="9"/>
      <c r="E326" s="4"/>
      <c r="F326" s="9"/>
      <c r="G326" s="9"/>
      <c r="H326" s="6"/>
      <c r="I326" s="9"/>
      <c r="J326" s="9" t="s">
        <v>145</v>
      </c>
    </row>
    <row r="327" spans="1:10">
      <c r="A327" s="5"/>
      <c r="B327" s="6"/>
      <c r="C327" s="7"/>
      <c r="D327" s="9"/>
      <c r="E327" s="8"/>
      <c r="F327" s="9"/>
      <c r="G327" s="9"/>
      <c r="H327" s="6"/>
      <c r="I327" s="9"/>
      <c r="J327" s="9" t="s">
        <v>145</v>
      </c>
    </row>
    <row r="328" spans="1:10">
      <c r="A328" s="5"/>
      <c r="B328" s="6"/>
      <c r="C328" s="7"/>
      <c r="D328" s="9"/>
      <c r="E328" s="8"/>
      <c r="F328" s="9"/>
      <c r="G328" s="9"/>
      <c r="H328" s="6"/>
      <c r="I328" s="9"/>
      <c r="J328" s="9" t="s">
        <v>145</v>
      </c>
    </row>
    <row r="329" spans="1:10">
      <c r="A329" s="5"/>
      <c r="B329" s="6"/>
      <c r="C329" s="7"/>
      <c r="D329" s="9"/>
      <c r="E329" s="8"/>
      <c r="F329" s="9"/>
      <c r="G329" s="9"/>
      <c r="H329" s="6"/>
      <c r="I329" s="9"/>
      <c r="J329" s="9" t="s">
        <v>145</v>
      </c>
    </row>
    <row r="330" spans="1:10">
      <c r="A330" s="5"/>
      <c r="B330" s="6"/>
      <c r="C330" s="7"/>
      <c r="D330" s="9"/>
      <c r="E330" s="8"/>
      <c r="F330" s="9"/>
      <c r="G330" s="9"/>
      <c r="H330" s="6"/>
      <c r="I330" s="9"/>
      <c r="J330" s="9" t="s">
        <v>145</v>
      </c>
    </row>
    <row r="331" spans="1:10">
      <c r="A331" s="5"/>
      <c r="B331" s="6"/>
      <c r="C331" s="7"/>
      <c r="D331" s="9"/>
      <c r="E331" s="8"/>
      <c r="F331" s="9"/>
      <c r="G331" s="9"/>
      <c r="H331" s="6"/>
      <c r="I331" s="9"/>
      <c r="J331" s="9" t="s">
        <v>145</v>
      </c>
    </row>
    <row r="332" spans="1:10">
      <c r="A332" s="5"/>
      <c r="B332" s="6"/>
      <c r="C332" s="7"/>
      <c r="D332" s="9"/>
      <c r="E332" s="8"/>
      <c r="F332" s="9"/>
      <c r="G332" s="9"/>
      <c r="H332" s="6"/>
      <c r="I332" s="9"/>
      <c r="J332" s="9" t="s">
        <v>145</v>
      </c>
    </row>
    <row r="333" spans="1:10">
      <c r="A333" s="5"/>
      <c r="B333" s="6"/>
      <c r="C333" s="7"/>
      <c r="D333" s="9"/>
      <c r="E333" s="8"/>
      <c r="F333" s="9"/>
      <c r="G333" s="9"/>
      <c r="H333" s="6"/>
      <c r="I333" s="9"/>
      <c r="J333" s="9" t="s">
        <v>145</v>
      </c>
    </row>
    <row r="334" spans="1:10">
      <c r="A334" s="5"/>
      <c r="B334" s="6"/>
      <c r="C334" s="7"/>
      <c r="D334" s="9"/>
      <c r="E334" s="8"/>
      <c r="F334" s="9"/>
      <c r="G334" s="9"/>
      <c r="H334" s="6"/>
      <c r="I334" s="9"/>
      <c r="J334" s="9" t="s">
        <v>145</v>
      </c>
    </row>
    <row r="335" spans="1:10">
      <c r="A335" s="5"/>
      <c r="B335" s="6"/>
      <c r="C335" s="7"/>
      <c r="D335" s="9"/>
      <c r="E335" s="8"/>
      <c r="F335" s="9"/>
      <c r="G335" s="9"/>
      <c r="H335" s="6"/>
      <c r="I335" s="9"/>
      <c r="J335" s="9" t="s">
        <v>145</v>
      </c>
    </row>
    <row r="336" spans="1:10">
      <c r="A336" s="5"/>
      <c r="B336" s="6"/>
      <c r="C336" s="7"/>
      <c r="D336" s="9"/>
      <c r="E336" s="8"/>
      <c r="F336" s="9"/>
      <c r="G336" s="9"/>
      <c r="H336" s="6"/>
      <c r="I336" s="9"/>
      <c r="J336" s="9" t="s">
        <v>145</v>
      </c>
    </row>
    <row r="337" spans="1:10">
      <c r="A337" s="5"/>
      <c r="B337" s="6"/>
      <c r="C337" s="7"/>
      <c r="D337" s="9"/>
      <c r="E337" s="8"/>
      <c r="F337" s="9"/>
      <c r="G337" s="9"/>
      <c r="H337" s="6"/>
      <c r="I337" s="9"/>
      <c r="J337" s="9" t="s">
        <v>145</v>
      </c>
    </row>
    <row r="338" spans="1:10">
      <c r="A338" s="5"/>
      <c r="B338" s="6"/>
      <c r="C338" s="7"/>
      <c r="D338" s="9"/>
      <c r="E338" s="8"/>
      <c r="F338" s="9"/>
      <c r="G338" s="9"/>
      <c r="H338" s="6"/>
      <c r="I338" s="9"/>
      <c r="J338" s="9" t="s">
        <v>145</v>
      </c>
    </row>
    <row r="339" spans="1:10">
      <c r="A339" s="5"/>
      <c r="B339" s="6"/>
      <c r="C339" s="7"/>
      <c r="D339" s="9"/>
      <c r="E339" s="8"/>
      <c r="F339" s="9"/>
      <c r="G339" s="9"/>
      <c r="H339" s="6"/>
      <c r="I339" s="9"/>
      <c r="J339" s="9" t="s">
        <v>145</v>
      </c>
    </row>
    <row r="340" spans="1:10">
      <c r="A340" s="5"/>
      <c r="B340" s="6"/>
      <c r="C340" s="7"/>
      <c r="D340" s="9"/>
      <c r="E340" s="8"/>
      <c r="F340" s="9"/>
      <c r="G340" s="9"/>
      <c r="H340" s="6"/>
      <c r="I340" s="9"/>
      <c r="J340" s="9" t="s">
        <v>145</v>
      </c>
    </row>
    <row r="341" spans="1:10">
      <c r="A341" s="5"/>
      <c r="B341" s="6"/>
      <c r="C341" s="7"/>
      <c r="D341" s="9"/>
      <c r="E341" s="8"/>
      <c r="F341" s="9"/>
      <c r="G341" s="9"/>
      <c r="H341" s="6"/>
      <c r="I341" s="9"/>
      <c r="J341" s="9" t="s">
        <v>145</v>
      </c>
    </row>
    <row r="342" spans="1:10">
      <c r="A342" s="5"/>
      <c r="B342" s="6"/>
      <c r="C342" s="7"/>
      <c r="D342" s="9"/>
      <c r="E342" s="8"/>
      <c r="F342" s="9"/>
      <c r="G342" s="9"/>
      <c r="H342" s="6"/>
      <c r="I342" s="9"/>
      <c r="J342" s="9" t="s">
        <v>145</v>
      </c>
    </row>
    <row r="343" spans="1:10">
      <c r="A343" s="5"/>
      <c r="B343" s="6"/>
      <c r="C343" s="7"/>
      <c r="D343" s="9"/>
      <c r="E343" s="8"/>
      <c r="F343" s="9"/>
      <c r="G343" s="9"/>
      <c r="H343" s="6"/>
      <c r="I343" s="9"/>
      <c r="J343" s="9" t="s">
        <v>145</v>
      </c>
    </row>
    <row r="344" spans="1:10">
      <c r="A344" s="5"/>
      <c r="B344" s="6"/>
      <c r="C344" s="7"/>
      <c r="D344" s="9"/>
      <c r="E344" s="4"/>
      <c r="F344" s="9"/>
      <c r="G344" s="9"/>
      <c r="H344" s="6"/>
      <c r="I344" s="9"/>
      <c r="J344" s="9" t="s">
        <v>145</v>
      </c>
    </row>
    <row r="345" spans="1:10">
      <c r="A345" s="5"/>
      <c r="B345" s="6"/>
      <c r="C345" s="7"/>
      <c r="D345" s="9"/>
      <c r="E345" s="4"/>
      <c r="F345" s="9"/>
      <c r="G345" s="9"/>
      <c r="H345" s="6"/>
      <c r="I345" s="9"/>
      <c r="J345" s="9" t="s">
        <v>145</v>
      </c>
    </row>
    <row r="346" spans="1:10">
      <c r="A346" s="5"/>
      <c r="B346" s="6"/>
      <c r="C346" s="7"/>
      <c r="D346" s="9"/>
      <c r="E346" s="8"/>
      <c r="F346" s="9"/>
      <c r="G346" s="9"/>
      <c r="H346" s="6"/>
      <c r="I346" s="9"/>
      <c r="J346" s="9" t="s">
        <v>145</v>
      </c>
    </row>
    <row r="347" spans="1:10">
      <c r="A347" s="5"/>
      <c r="B347" s="6"/>
      <c r="C347" s="7"/>
      <c r="D347" s="9"/>
      <c r="E347" s="8"/>
      <c r="F347" s="9"/>
      <c r="G347" s="9"/>
      <c r="H347" s="6"/>
      <c r="I347" s="9"/>
      <c r="J347" s="9" t="s">
        <v>145</v>
      </c>
    </row>
    <row r="348" spans="1:10">
      <c r="A348" s="5"/>
      <c r="B348" s="6"/>
      <c r="C348" s="7"/>
      <c r="D348" s="9"/>
      <c r="E348" s="8"/>
      <c r="F348" s="9"/>
      <c r="G348" s="9"/>
      <c r="H348" s="6"/>
      <c r="I348" s="9"/>
      <c r="J348" s="9" t="s">
        <v>145</v>
      </c>
    </row>
    <row r="349" spans="1:10">
      <c r="A349" s="5"/>
      <c r="B349" s="6"/>
      <c r="C349" s="7"/>
      <c r="D349" s="9"/>
      <c r="E349" s="4"/>
      <c r="F349" s="9"/>
      <c r="G349" s="9"/>
      <c r="H349" s="6"/>
      <c r="I349" s="9"/>
      <c r="J349" s="9" t="s">
        <v>145</v>
      </c>
    </row>
    <row r="350" spans="1:10">
      <c r="A350" s="5"/>
      <c r="B350" s="6"/>
      <c r="C350" s="7"/>
      <c r="D350" s="9"/>
      <c r="E350" s="8"/>
      <c r="F350" s="9"/>
      <c r="G350" s="9"/>
      <c r="H350" s="6"/>
      <c r="I350" s="9"/>
      <c r="J350" s="9" t="s">
        <v>145</v>
      </c>
    </row>
    <row r="351" spans="1:10">
      <c r="A351" s="5"/>
      <c r="B351" s="6"/>
      <c r="C351" s="7"/>
      <c r="D351" s="9"/>
      <c r="E351" s="4"/>
      <c r="F351" s="9"/>
      <c r="G351" s="9"/>
      <c r="H351" s="6"/>
      <c r="I351" s="9"/>
      <c r="J351" s="9" t="s">
        <v>145</v>
      </c>
    </row>
    <row r="352" spans="1:10">
      <c r="A352" s="5"/>
      <c r="B352" s="6"/>
      <c r="C352" s="7"/>
      <c r="D352" s="9"/>
      <c r="E352" s="8"/>
      <c r="F352" s="9"/>
      <c r="G352" s="9"/>
      <c r="H352" s="6"/>
      <c r="I352" s="9"/>
      <c r="J352" s="9" t="s">
        <v>145</v>
      </c>
    </row>
    <row r="353" spans="1:10">
      <c r="A353" s="5"/>
      <c r="B353" s="6"/>
      <c r="C353" s="7"/>
      <c r="D353" s="9"/>
      <c r="E353" s="4"/>
      <c r="F353" s="9"/>
      <c r="G353" s="9"/>
      <c r="H353" s="6"/>
      <c r="I353" s="9"/>
      <c r="J353" s="9" t="s">
        <v>145</v>
      </c>
    </row>
    <row r="354" spans="1:10">
      <c r="A354" s="5"/>
      <c r="B354" s="6"/>
      <c r="C354" s="7"/>
      <c r="D354" s="9"/>
      <c r="E354" s="8"/>
      <c r="F354" s="9"/>
      <c r="G354" s="9"/>
      <c r="H354" s="6"/>
      <c r="I354" s="9"/>
      <c r="J354" s="9" t="s">
        <v>145</v>
      </c>
    </row>
    <row r="355" spans="1:10">
      <c r="A355" s="5"/>
      <c r="B355" s="6"/>
      <c r="C355" s="7"/>
      <c r="D355" s="9"/>
      <c r="E355" s="8"/>
      <c r="F355" s="9"/>
      <c r="G355" s="9"/>
      <c r="H355" s="6"/>
      <c r="I355" s="9"/>
      <c r="J355" s="9" t="s">
        <v>145</v>
      </c>
    </row>
    <row r="356" spans="1:10">
      <c r="A356" s="5"/>
      <c r="B356" s="6"/>
      <c r="C356" s="7"/>
      <c r="D356" s="9"/>
      <c r="E356" s="8"/>
      <c r="F356" s="9"/>
      <c r="G356" s="9"/>
      <c r="H356" s="6"/>
      <c r="I356" s="9"/>
      <c r="J356" s="9" t="s">
        <v>145</v>
      </c>
    </row>
    <row r="357" spans="1:10">
      <c r="A357" s="5"/>
      <c r="B357" s="6"/>
      <c r="C357" s="7"/>
      <c r="D357" s="9"/>
      <c r="E357" s="8"/>
      <c r="F357" s="9"/>
      <c r="G357" s="9"/>
      <c r="H357" s="6"/>
      <c r="I357" s="9"/>
      <c r="J357" s="9" t="s">
        <v>145</v>
      </c>
    </row>
    <row r="358" spans="1:10">
      <c r="A358" s="5"/>
      <c r="B358" s="6"/>
      <c r="C358" s="7"/>
      <c r="D358" s="9"/>
      <c r="E358" s="8"/>
      <c r="F358" s="9"/>
      <c r="G358" s="9"/>
      <c r="H358" s="6"/>
      <c r="I358" s="9"/>
      <c r="J358" s="9" t="s">
        <v>145</v>
      </c>
    </row>
    <row r="359" spans="1:10">
      <c r="A359" s="5"/>
      <c r="B359" s="6"/>
      <c r="C359" s="7"/>
      <c r="D359" s="9"/>
      <c r="E359" s="4"/>
      <c r="F359" s="9"/>
      <c r="G359" s="9"/>
      <c r="H359" s="6"/>
      <c r="I359" s="9"/>
      <c r="J359" s="9" t="s">
        <v>145</v>
      </c>
    </row>
    <row r="360" spans="1:10">
      <c r="A360" s="5"/>
      <c r="B360" s="6"/>
      <c r="C360" s="7"/>
      <c r="D360" s="9"/>
      <c r="E360" s="8"/>
      <c r="F360" s="9"/>
      <c r="G360" s="9"/>
      <c r="H360" s="6"/>
      <c r="I360" s="9"/>
      <c r="J360" s="9" t="s">
        <v>145</v>
      </c>
    </row>
    <row r="361" spans="1:10">
      <c r="A361" s="5"/>
      <c r="B361" s="6"/>
      <c r="C361" s="7"/>
      <c r="D361" s="9"/>
      <c r="E361" s="8"/>
      <c r="F361" s="9"/>
      <c r="G361" s="9"/>
      <c r="H361" s="6"/>
      <c r="I361" s="9"/>
      <c r="J361" s="9" t="s">
        <v>145</v>
      </c>
    </row>
    <row r="362" spans="1:10">
      <c r="A362" s="5"/>
      <c r="B362" s="6"/>
      <c r="C362" s="7"/>
      <c r="D362" s="9"/>
      <c r="E362" s="8"/>
      <c r="F362" s="9"/>
      <c r="G362" s="9"/>
      <c r="H362" s="6"/>
      <c r="I362" s="9"/>
      <c r="J362" s="9" t="s">
        <v>145</v>
      </c>
    </row>
    <row r="363" spans="1:10">
      <c r="A363" s="5"/>
      <c r="B363" s="6"/>
      <c r="C363" s="7"/>
      <c r="D363" s="9"/>
      <c r="E363" s="8"/>
      <c r="F363" s="9"/>
      <c r="G363" s="9"/>
      <c r="H363" s="6"/>
      <c r="I363" s="9"/>
      <c r="J363" s="9" t="s">
        <v>145</v>
      </c>
    </row>
    <row r="364" spans="1:10">
      <c r="A364" s="5"/>
      <c r="B364" s="6"/>
      <c r="C364" s="7"/>
      <c r="D364" s="9"/>
      <c r="E364" s="8"/>
      <c r="F364" s="9"/>
      <c r="G364" s="9"/>
      <c r="H364" s="6"/>
      <c r="I364" s="9"/>
      <c r="J364" s="9" t="s">
        <v>145</v>
      </c>
    </row>
    <row r="365" spans="1:10">
      <c r="A365" s="5"/>
      <c r="B365" s="6"/>
      <c r="C365" s="7"/>
      <c r="D365" s="9"/>
      <c r="E365" s="8"/>
      <c r="F365" s="9"/>
      <c r="G365" s="9"/>
      <c r="H365" s="6"/>
      <c r="I365" s="9"/>
      <c r="J365" s="9" t="s">
        <v>145</v>
      </c>
    </row>
    <row r="366" spans="1:10">
      <c r="A366" s="5"/>
      <c r="B366" s="6"/>
      <c r="C366" s="7"/>
      <c r="D366" s="9"/>
      <c r="E366" s="8"/>
      <c r="F366" s="9"/>
      <c r="G366" s="9"/>
      <c r="H366" s="6"/>
      <c r="I366" s="9"/>
      <c r="J366" s="9" t="s">
        <v>145</v>
      </c>
    </row>
    <row r="367" spans="1:10">
      <c r="A367" s="5"/>
      <c r="B367" s="6"/>
      <c r="C367" s="7"/>
      <c r="D367" s="9"/>
      <c r="E367" s="8"/>
      <c r="F367" s="9"/>
      <c r="G367" s="9"/>
      <c r="H367" s="6"/>
      <c r="I367" s="9"/>
      <c r="J367" s="9" t="s">
        <v>145</v>
      </c>
    </row>
    <row r="368" spans="1:10">
      <c r="A368" s="5"/>
      <c r="B368" s="6"/>
      <c r="C368" s="7"/>
      <c r="D368" s="9"/>
      <c r="E368" s="4"/>
      <c r="F368" s="9"/>
      <c r="G368" s="9"/>
      <c r="H368" s="6"/>
      <c r="I368" s="9"/>
      <c r="J368" s="9" t="s">
        <v>145</v>
      </c>
    </row>
    <row r="369" spans="1:10">
      <c r="A369" s="5"/>
      <c r="B369" s="6"/>
      <c r="C369" s="7"/>
      <c r="D369" s="9"/>
      <c r="E369" s="8"/>
      <c r="F369" s="9"/>
      <c r="G369" s="9"/>
      <c r="H369" s="6"/>
      <c r="I369" s="9"/>
      <c r="J369" s="9" t="s">
        <v>145</v>
      </c>
    </row>
    <row r="370" spans="1:10">
      <c r="A370" s="5"/>
      <c r="B370" s="6"/>
      <c r="C370" s="7"/>
      <c r="D370" s="9"/>
      <c r="E370" s="8"/>
      <c r="F370" s="9"/>
      <c r="G370" s="9"/>
      <c r="H370" s="6"/>
      <c r="I370" s="9"/>
      <c r="J370" s="9" t="s">
        <v>145</v>
      </c>
    </row>
    <row r="371" spans="1:10">
      <c r="A371" s="5"/>
      <c r="B371" s="6"/>
      <c r="C371" s="7"/>
      <c r="D371" s="9"/>
      <c r="E371" s="8"/>
      <c r="F371" s="9"/>
      <c r="G371" s="9"/>
      <c r="H371" s="6"/>
      <c r="I371" s="9"/>
      <c r="J371" s="9" t="s">
        <v>145</v>
      </c>
    </row>
    <row r="372" spans="1:10">
      <c r="A372" s="5"/>
      <c r="B372" s="6"/>
      <c r="C372" s="7"/>
      <c r="D372" s="9"/>
      <c r="E372" s="8"/>
      <c r="F372" s="9"/>
      <c r="G372" s="9"/>
      <c r="H372" s="6"/>
      <c r="I372" s="9"/>
      <c r="J372" s="9" t="s">
        <v>145</v>
      </c>
    </row>
    <row r="373" spans="1:10">
      <c r="A373" s="5"/>
      <c r="B373" s="6"/>
      <c r="C373" s="7"/>
      <c r="D373" s="9"/>
      <c r="E373" s="8"/>
      <c r="F373" s="9"/>
      <c r="G373" s="9"/>
      <c r="H373" s="6"/>
      <c r="I373" s="9"/>
      <c r="J373" s="9" t="s">
        <v>145</v>
      </c>
    </row>
    <row r="374" spans="1:10">
      <c r="A374" s="5"/>
      <c r="B374" s="6"/>
      <c r="C374" s="7"/>
      <c r="D374" s="9"/>
      <c r="E374" s="8"/>
      <c r="F374" s="9"/>
      <c r="G374" s="9"/>
      <c r="H374" s="6"/>
      <c r="I374" s="9"/>
      <c r="J374" s="9" t="s">
        <v>145</v>
      </c>
    </row>
    <row r="375" spans="1:10">
      <c r="A375" s="5"/>
      <c r="B375" s="6"/>
      <c r="C375" s="7"/>
      <c r="D375" s="9"/>
      <c r="E375" s="8"/>
      <c r="F375" s="9"/>
      <c r="G375" s="9"/>
      <c r="H375" s="6"/>
      <c r="I375" s="9"/>
      <c r="J375" s="9" t="s">
        <v>145</v>
      </c>
    </row>
    <row r="376" spans="1:10">
      <c r="A376" s="5"/>
      <c r="B376" s="6"/>
      <c r="C376" s="7"/>
      <c r="D376" s="9"/>
      <c r="E376" s="4"/>
      <c r="F376" s="9"/>
      <c r="G376" s="9"/>
      <c r="H376" s="6"/>
      <c r="I376" s="9"/>
      <c r="J376" s="9" t="s">
        <v>145</v>
      </c>
    </row>
    <row r="377" spans="1:10">
      <c r="A377" s="5"/>
      <c r="B377" s="6"/>
      <c r="C377" s="7"/>
      <c r="D377" s="9"/>
      <c r="E377" s="8"/>
      <c r="F377" s="9"/>
      <c r="G377" s="9"/>
      <c r="H377" s="6"/>
      <c r="I377" s="9"/>
      <c r="J377" s="9" t="s">
        <v>145</v>
      </c>
    </row>
    <row r="378" spans="1:10">
      <c r="A378" s="5"/>
      <c r="B378" s="6"/>
      <c r="C378" s="7"/>
      <c r="D378" s="9"/>
      <c r="E378" s="8"/>
      <c r="F378" s="9"/>
      <c r="G378" s="9"/>
      <c r="H378" s="6"/>
      <c r="I378" s="9"/>
      <c r="J378" s="9" t="s">
        <v>145</v>
      </c>
    </row>
    <row r="379" spans="1:10">
      <c r="A379" s="5"/>
      <c r="B379" s="6"/>
      <c r="C379" s="7"/>
      <c r="D379" s="9"/>
      <c r="E379" s="8"/>
      <c r="F379" s="9"/>
      <c r="G379" s="9"/>
      <c r="H379" s="6"/>
      <c r="I379" s="9"/>
      <c r="J379" s="9" t="s">
        <v>145</v>
      </c>
    </row>
    <row r="380" spans="1:10">
      <c r="A380" s="5"/>
      <c r="B380" s="6"/>
      <c r="C380" s="7"/>
      <c r="D380" s="9"/>
      <c r="E380" s="8"/>
      <c r="F380" s="9"/>
      <c r="G380" s="9"/>
      <c r="H380" s="6"/>
      <c r="I380" s="9"/>
      <c r="J380" s="9" t="s">
        <v>145</v>
      </c>
    </row>
    <row r="381" spans="1:10">
      <c r="A381" s="5"/>
      <c r="B381" s="6"/>
      <c r="C381" s="7"/>
      <c r="D381" s="9"/>
      <c r="E381" s="8"/>
      <c r="F381" s="9"/>
      <c r="G381" s="9"/>
      <c r="H381" s="6"/>
      <c r="I381" s="9"/>
      <c r="J381" s="9" t="s">
        <v>145</v>
      </c>
    </row>
    <row r="382" spans="1:10">
      <c r="A382" s="5"/>
      <c r="B382" s="6"/>
      <c r="C382" s="7"/>
      <c r="D382" s="9"/>
      <c r="E382" s="8"/>
      <c r="F382" s="9"/>
      <c r="G382" s="9"/>
      <c r="H382" s="6"/>
      <c r="I382" s="9"/>
      <c r="J382" s="9" t="s">
        <v>145</v>
      </c>
    </row>
    <row r="383" spans="1:10">
      <c r="A383" s="5"/>
      <c r="B383" s="6"/>
      <c r="C383" s="7"/>
      <c r="D383" s="9"/>
      <c r="E383" s="8"/>
      <c r="F383" s="9"/>
      <c r="G383" s="9"/>
      <c r="H383" s="6"/>
      <c r="I383" s="9"/>
      <c r="J383" s="9" t="s">
        <v>145</v>
      </c>
    </row>
    <row r="384" spans="1:10">
      <c r="A384" s="5"/>
      <c r="B384" s="6"/>
      <c r="C384" s="7"/>
      <c r="D384" s="9"/>
      <c r="E384" s="8"/>
      <c r="F384" s="9"/>
      <c r="G384" s="9"/>
      <c r="H384" s="6"/>
      <c r="I384" s="9"/>
      <c r="J384" s="9" t="s">
        <v>145</v>
      </c>
    </row>
    <row r="385" spans="1:10">
      <c r="A385" s="5"/>
      <c r="B385" s="6"/>
      <c r="C385" s="7"/>
      <c r="D385" s="9"/>
      <c r="E385" s="8"/>
      <c r="F385" s="9"/>
      <c r="G385" s="9"/>
      <c r="H385" s="6"/>
      <c r="I385" s="9"/>
      <c r="J385" s="9" t="s">
        <v>145</v>
      </c>
    </row>
    <row r="386" spans="1:10">
      <c r="A386" s="5"/>
      <c r="B386" s="6"/>
      <c r="C386" s="7"/>
      <c r="D386" s="9"/>
      <c r="E386" s="8"/>
      <c r="F386" s="9"/>
      <c r="G386" s="9"/>
      <c r="H386" s="6"/>
      <c r="I386" s="9"/>
      <c r="J386" s="9" t="s">
        <v>145</v>
      </c>
    </row>
    <row r="387" spans="1:10">
      <c r="A387" s="5"/>
      <c r="B387" s="6"/>
      <c r="C387" s="7"/>
      <c r="D387" s="9"/>
      <c r="E387" s="8"/>
      <c r="F387" s="9"/>
      <c r="G387" s="9"/>
      <c r="H387" s="6"/>
      <c r="I387" s="9"/>
      <c r="J387" s="9" t="s">
        <v>145</v>
      </c>
    </row>
    <row r="388" spans="1:10">
      <c r="A388" s="5"/>
      <c r="B388" s="6"/>
      <c r="C388" s="7"/>
      <c r="D388" s="9"/>
      <c r="E388" s="8"/>
      <c r="F388" s="9"/>
      <c r="G388" s="9"/>
      <c r="H388" s="6"/>
      <c r="I388" s="9"/>
      <c r="J388" s="9" t="s">
        <v>145</v>
      </c>
    </row>
    <row r="389" spans="1:10">
      <c r="A389" s="5"/>
      <c r="B389" s="6"/>
      <c r="C389" s="7"/>
      <c r="D389" s="9"/>
      <c r="E389" s="4"/>
      <c r="F389" s="9"/>
      <c r="G389" s="9"/>
      <c r="H389" s="6"/>
      <c r="I389" s="9"/>
      <c r="J389" s="9" t="s">
        <v>145</v>
      </c>
    </row>
    <row r="390" spans="1:10">
      <c r="A390" s="5"/>
      <c r="B390" s="6"/>
      <c r="C390" s="7"/>
      <c r="D390" s="9"/>
      <c r="E390" s="8"/>
      <c r="F390" s="9"/>
      <c r="G390" s="9"/>
      <c r="H390" s="6"/>
      <c r="I390" s="9"/>
      <c r="J390" s="9" t="s">
        <v>145</v>
      </c>
    </row>
    <row r="391" spans="1:10">
      <c r="A391" s="5"/>
      <c r="B391" s="6"/>
      <c r="C391" s="7"/>
      <c r="D391" s="9"/>
      <c r="E391" s="8"/>
      <c r="F391" s="9"/>
      <c r="G391" s="9"/>
      <c r="H391" s="6"/>
      <c r="I391" s="9"/>
      <c r="J391" s="9" t="s">
        <v>145</v>
      </c>
    </row>
    <row r="392" spans="1:10">
      <c r="A392" s="5"/>
      <c r="B392" s="6"/>
      <c r="C392" s="7"/>
      <c r="D392" s="9"/>
      <c r="E392" s="8"/>
      <c r="F392" s="9"/>
      <c r="G392" s="9"/>
      <c r="H392" s="6"/>
      <c r="I392" s="9"/>
      <c r="J392" s="9" t="s">
        <v>145</v>
      </c>
    </row>
    <row r="393" spans="1:10">
      <c r="A393" s="5"/>
      <c r="B393" s="6"/>
      <c r="C393" s="7"/>
      <c r="D393" s="9"/>
      <c r="E393" s="8"/>
      <c r="F393" s="9"/>
      <c r="G393" s="9"/>
      <c r="H393" s="6"/>
      <c r="I393" s="9"/>
      <c r="J393" s="9" t="s">
        <v>145</v>
      </c>
    </row>
    <row r="394" spans="1:10">
      <c r="A394" s="5"/>
      <c r="B394" s="6"/>
      <c r="C394" s="7"/>
      <c r="D394" s="9"/>
      <c r="E394" s="8"/>
      <c r="F394" s="9"/>
      <c r="G394" s="9"/>
      <c r="H394" s="6"/>
      <c r="I394" s="9"/>
      <c r="J394" s="9" t="s">
        <v>145</v>
      </c>
    </row>
    <row r="395" spans="1:10">
      <c r="A395" s="5"/>
      <c r="B395" s="6"/>
      <c r="C395" s="7"/>
      <c r="D395" s="9"/>
      <c r="E395" s="8"/>
      <c r="F395" s="9"/>
      <c r="G395" s="9"/>
      <c r="H395" s="6"/>
      <c r="I395" s="9"/>
      <c r="J395" s="9" t="s">
        <v>145</v>
      </c>
    </row>
    <row r="396" spans="1:10">
      <c r="A396" s="5"/>
      <c r="B396" s="6"/>
      <c r="C396" s="7"/>
      <c r="D396" s="9"/>
      <c r="E396" s="8"/>
      <c r="F396" s="9"/>
      <c r="G396" s="9"/>
      <c r="H396" s="6"/>
      <c r="I396" s="9"/>
      <c r="J396" s="9" t="s">
        <v>145</v>
      </c>
    </row>
    <row r="397" spans="1:10">
      <c r="A397" s="5"/>
      <c r="B397" s="6"/>
      <c r="C397" s="7"/>
      <c r="D397" s="9"/>
      <c r="E397" s="8"/>
      <c r="F397" s="9"/>
      <c r="G397" s="9"/>
      <c r="H397" s="6"/>
      <c r="I397" s="9"/>
      <c r="J397" s="9" t="s">
        <v>145</v>
      </c>
    </row>
    <row r="398" spans="1:10">
      <c r="A398" s="5"/>
      <c r="B398" s="6"/>
      <c r="C398" s="7"/>
      <c r="D398" s="9"/>
      <c r="E398" s="8"/>
      <c r="F398" s="9"/>
      <c r="G398" s="9"/>
      <c r="H398" s="6"/>
      <c r="I398" s="9"/>
      <c r="J398" s="9" t="s">
        <v>145</v>
      </c>
    </row>
    <row r="399" spans="1:10">
      <c r="A399" s="5"/>
      <c r="B399" s="6"/>
      <c r="C399" s="7"/>
      <c r="D399" s="9"/>
      <c r="E399" s="8"/>
      <c r="F399" s="9"/>
      <c r="G399" s="9"/>
      <c r="H399" s="6"/>
      <c r="I399" s="9"/>
      <c r="J399" s="9" t="s">
        <v>145</v>
      </c>
    </row>
    <row r="400" spans="1:10">
      <c r="A400" s="5"/>
      <c r="B400" s="6"/>
      <c r="C400" s="7"/>
      <c r="D400" s="9"/>
      <c r="E400" s="8"/>
      <c r="F400" s="9"/>
      <c r="G400" s="9"/>
      <c r="H400" s="6"/>
      <c r="I400" s="9"/>
      <c r="J400" s="9" t="s">
        <v>145</v>
      </c>
    </row>
    <row r="401" spans="1:10">
      <c r="A401" s="5"/>
      <c r="B401" s="6"/>
      <c r="C401" s="7"/>
      <c r="D401" s="9"/>
      <c r="E401" s="8"/>
      <c r="F401" s="9"/>
      <c r="G401" s="9"/>
      <c r="H401" s="6"/>
      <c r="I401" s="9"/>
      <c r="J401" s="9" t="s">
        <v>145</v>
      </c>
    </row>
    <row r="402" spans="1:10">
      <c r="A402" s="5"/>
      <c r="B402" s="6"/>
      <c r="C402" s="7"/>
      <c r="D402" s="9"/>
      <c r="E402" s="8"/>
      <c r="F402" s="9"/>
      <c r="G402" s="9"/>
      <c r="H402" s="6"/>
      <c r="I402" s="9"/>
      <c r="J402" s="9" t="s">
        <v>145</v>
      </c>
    </row>
    <row r="403" spans="1:10">
      <c r="A403" s="5"/>
      <c r="B403" s="6"/>
      <c r="C403" s="7"/>
      <c r="D403" s="9"/>
      <c r="E403" s="8"/>
      <c r="F403" s="9"/>
      <c r="G403" s="9"/>
      <c r="H403" s="6"/>
      <c r="I403" s="9"/>
      <c r="J403" s="9" t="s">
        <v>145</v>
      </c>
    </row>
    <row r="404" spans="1:10">
      <c r="A404" s="5"/>
      <c r="B404" s="6"/>
      <c r="C404" s="7"/>
      <c r="D404" s="9"/>
      <c r="E404" s="8"/>
      <c r="F404" s="9"/>
      <c r="G404" s="9"/>
      <c r="H404" s="6"/>
      <c r="I404" s="9"/>
      <c r="J404" s="9" t="s">
        <v>145</v>
      </c>
    </row>
    <row r="405" spans="1:10">
      <c r="A405" s="5"/>
      <c r="B405" s="6"/>
      <c r="C405" s="7"/>
      <c r="D405" s="9"/>
      <c r="E405" s="4"/>
      <c r="F405" s="9"/>
      <c r="G405" s="9"/>
      <c r="H405" s="6"/>
      <c r="I405" s="9"/>
      <c r="J405" s="9" t="s">
        <v>145</v>
      </c>
    </row>
    <row r="406" spans="1:10">
      <c r="A406" s="5"/>
      <c r="B406" s="6"/>
      <c r="C406" s="7"/>
      <c r="D406" s="9"/>
      <c r="E406" s="8"/>
      <c r="F406" s="9"/>
      <c r="G406" s="9"/>
      <c r="H406" s="6"/>
      <c r="I406" s="9"/>
      <c r="J406" s="9" t="s">
        <v>145</v>
      </c>
    </row>
    <row r="407" spans="1:10">
      <c r="A407" s="5"/>
      <c r="B407" s="6"/>
      <c r="C407" s="7"/>
      <c r="D407" s="9"/>
      <c r="E407" s="8"/>
      <c r="F407" s="9"/>
      <c r="G407" s="9"/>
      <c r="H407" s="6"/>
      <c r="I407" s="9"/>
      <c r="J407" s="9" t="s">
        <v>145</v>
      </c>
    </row>
    <row r="408" spans="1:10">
      <c r="A408" s="5"/>
      <c r="B408" s="6"/>
      <c r="C408" s="7"/>
      <c r="D408" s="9"/>
      <c r="E408" s="4"/>
      <c r="F408" s="9"/>
      <c r="G408" s="9"/>
      <c r="H408" s="6"/>
      <c r="I408" s="9"/>
      <c r="J408" s="9" t="s">
        <v>145</v>
      </c>
    </row>
    <row r="409" spans="1:10">
      <c r="A409" s="5"/>
      <c r="B409" s="6"/>
      <c r="C409" s="7"/>
      <c r="D409" s="9"/>
      <c r="E409" s="8"/>
      <c r="F409" s="9"/>
      <c r="G409" s="9"/>
      <c r="H409" s="6"/>
      <c r="I409" s="9"/>
      <c r="J409" s="9" t="s">
        <v>145</v>
      </c>
    </row>
    <row r="410" spans="1:10">
      <c r="A410" s="5"/>
      <c r="B410" s="6"/>
      <c r="C410" s="7"/>
      <c r="D410" s="9"/>
      <c r="E410" s="8"/>
      <c r="F410" s="9"/>
      <c r="G410" s="9"/>
      <c r="H410" s="6"/>
      <c r="I410" s="9"/>
      <c r="J410" s="9" t="s">
        <v>145</v>
      </c>
    </row>
    <row r="411" spans="1:10">
      <c r="A411" s="5"/>
      <c r="B411" s="6"/>
      <c r="C411" s="7"/>
      <c r="D411" s="9"/>
      <c r="E411" s="4"/>
      <c r="F411" s="9"/>
      <c r="G411" s="9"/>
      <c r="H411" s="6"/>
      <c r="I411" s="9"/>
      <c r="J411" s="9" t="s">
        <v>145</v>
      </c>
    </row>
    <row r="412" spans="1:10">
      <c r="A412" s="5"/>
      <c r="B412" s="6"/>
      <c r="C412" s="7"/>
      <c r="D412" s="9"/>
      <c r="E412" s="8"/>
      <c r="F412" s="9"/>
      <c r="G412" s="9"/>
      <c r="H412" s="6"/>
      <c r="I412" s="9"/>
      <c r="J412" s="9" t="s">
        <v>145</v>
      </c>
    </row>
    <row r="413" spans="1:10">
      <c r="A413" s="5"/>
      <c r="B413" s="6"/>
      <c r="C413" s="7"/>
      <c r="D413" s="9"/>
      <c r="E413" s="8"/>
      <c r="F413" s="9"/>
      <c r="G413" s="9"/>
      <c r="H413" s="6"/>
      <c r="I413" s="9"/>
      <c r="J413" s="9" t="s">
        <v>145</v>
      </c>
    </row>
    <row r="414" spans="1:10">
      <c r="A414" s="5"/>
      <c r="B414" s="6"/>
      <c r="C414" s="7"/>
      <c r="D414" s="9"/>
      <c r="E414" s="8"/>
      <c r="F414" s="9"/>
      <c r="G414" s="9"/>
      <c r="H414" s="6"/>
      <c r="I414" s="9"/>
      <c r="J414" s="9" t="s">
        <v>145</v>
      </c>
    </row>
    <row r="415" spans="1:10">
      <c r="A415" s="5"/>
      <c r="B415" s="6"/>
      <c r="C415" s="7"/>
      <c r="D415" s="9"/>
      <c r="E415" s="8"/>
      <c r="F415" s="9"/>
      <c r="G415" s="9"/>
      <c r="H415" s="6"/>
      <c r="I415" s="9"/>
      <c r="J415" s="9" t="s">
        <v>145</v>
      </c>
    </row>
    <row r="416" spans="1:10">
      <c r="A416" s="5"/>
      <c r="B416" s="6"/>
      <c r="C416" s="7"/>
      <c r="D416" s="9"/>
      <c r="E416" s="8"/>
      <c r="F416" s="9"/>
      <c r="G416" s="9"/>
      <c r="H416" s="6"/>
      <c r="I416" s="9"/>
      <c r="J416" s="9" t="s">
        <v>145</v>
      </c>
    </row>
    <row r="417" spans="1:10">
      <c r="A417" s="5"/>
      <c r="B417" s="6"/>
      <c r="C417" s="7"/>
      <c r="D417" s="9"/>
      <c r="E417" s="4"/>
      <c r="F417" s="9"/>
      <c r="G417" s="9"/>
      <c r="H417" s="6"/>
      <c r="I417" s="9"/>
      <c r="J417" s="9" t="s">
        <v>145</v>
      </c>
    </row>
    <row r="418" spans="1:10">
      <c r="A418" s="5"/>
      <c r="B418" s="6"/>
      <c r="C418" s="7"/>
      <c r="D418" s="9"/>
      <c r="E418" s="8"/>
      <c r="F418" s="9"/>
      <c r="G418" s="9"/>
      <c r="H418" s="6"/>
      <c r="I418" s="9"/>
      <c r="J418" s="9" t="s">
        <v>145</v>
      </c>
    </row>
    <row r="419" spans="1:10">
      <c r="A419" s="5"/>
      <c r="B419" s="6"/>
      <c r="C419" s="7"/>
      <c r="D419" s="9"/>
      <c r="E419" s="8"/>
      <c r="F419" s="9"/>
      <c r="G419" s="9"/>
      <c r="H419" s="6"/>
      <c r="I419" s="9"/>
      <c r="J419" s="9" t="s">
        <v>145</v>
      </c>
    </row>
  </sheetData>
  <autoFilter ref="A6:M419" xr:uid="{B7411325-D959-40C5-9F01-09913600F1C6}"/>
  <mergeCells count="2">
    <mergeCell ref="A2:J2"/>
    <mergeCell ref="A3:B3"/>
  </mergeCells>
  <phoneticPr fontId="5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2062A-01B1-4EF4-B1EA-6751C0DB3B9D}">
  <dimension ref="A2:M474"/>
  <sheetViews>
    <sheetView workbookViewId="0">
      <selection activeCell="F19" sqref="F19"/>
    </sheetView>
  </sheetViews>
  <sheetFormatPr defaultColWidth="9.81640625" defaultRowHeight="17"/>
  <cols>
    <col min="1" max="1" width="7.81640625" style="10" customWidth="1"/>
    <col min="2" max="2" width="35.81640625" style="3" bestFit="1" customWidth="1"/>
    <col min="3" max="3" width="16.453125" style="10" customWidth="1"/>
    <col min="4" max="4" width="20.1796875" style="10" customWidth="1"/>
    <col min="5" max="5" width="27.453125" style="11" customWidth="1"/>
    <col min="6" max="7" width="10.54296875" style="10" customWidth="1"/>
    <col min="8" max="8" width="52.1796875" style="3" customWidth="1"/>
    <col min="9" max="9" width="8.7265625" style="10" customWidth="1"/>
    <col min="10" max="10" width="20" style="10" hidden="1" customWidth="1"/>
    <col min="11" max="16384" width="9.81640625" style="3"/>
  </cols>
  <sheetData>
    <row r="2" spans="1:13" s="31" customFormat="1" ht="35.15" customHeight="1">
      <c r="A2" s="96"/>
      <c r="B2" s="96"/>
      <c r="C2" s="96"/>
      <c r="D2" s="96"/>
      <c r="E2" s="96"/>
      <c r="F2" s="96"/>
      <c r="G2" s="96"/>
      <c r="H2" s="96"/>
      <c r="I2" s="96"/>
      <c r="J2" s="96"/>
      <c r="K2" s="30"/>
      <c r="L2" s="30"/>
      <c r="M2" s="30"/>
    </row>
    <row r="3" spans="1:13" s="31" customFormat="1" ht="23.15" customHeight="1">
      <c r="A3" s="97" t="s">
        <v>237</v>
      </c>
      <c r="B3" s="97"/>
      <c r="C3" s="32"/>
      <c r="D3" s="33"/>
      <c r="E3" s="32"/>
      <c r="F3" s="32"/>
      <c r="G3" s="32"/>
      <c r="H3" s="32"/>
      <c r="I3" s="32"/>
      <c r="J3" s="32"/>
      <c r="K3" s="32"/>
      <c r="L3" s="32"/>
      <c r="M3" s="34"/>
    </row>
    <row r="4" spans="1:13" ht="5.15" customHeight="1"/>
    <row r="5" spans="1:13">
      <c r="G5" s="10">
        <f>SUBTOTAL(3,G7:G474)</f>
        <v>0</v>
      </c>
    </row>
    <row r="6" spans="1:13" ht="25.5" customHeight="1">
      <c r="A6" s="1" t="s">
        <v>102</v>
      </c>
      <c r="B6" s="2" t="s">
        <v>103</v>
      </c>
      <c r="C6" s="1" t="s">
        <v>104</v>
      </c>
      <c r="D6" s="1" t="s">
        <v>105</v>
      </c>
      <c r="E6" s="2" t="s">
        <v>106</v>
      </c>
      <c r="F6" s="1" t="s">
        <v>107</v>
      </c>
      <c r="G6" s="1" t="s">
        <v>6</v>
      </c>
      <c r="H6" s="1" t="s">
        <v>108</v>
      </c>
      <c r="I6" s="1" t="s">
        <v>109</v>
      </c>
      <c r="J6" s="1" t="s">
        <v>110</v>
      </c>
    </row>
    <row r="7" spans="1:13">
      <c r="A7" s="5"/>
      <c r="B7" s="6"/>
      <c r="C7" s="7"/>
      <c r="D7" s="9"/>
      <c r="E7" s="8"/>
      <c r="F7" s="9"/>
      <c r="G7" s="9"/>
      <c r="H7" s="6"/>
      <c r="I7" s="9"/>
      <c r="J7" s="9" t="s">
        <v>145</v>
      </c>
    </row>
    <row r="8" spans="1:13">
      <c r="A8" s="5"/>
      <c r="B8" s="6"/>
      <c r="C8" s="7"/>
      <c r="D8" s="9"/>
      <c r="E8" s="4"/>
      <c r="F8" s="9"/>
      <c r="G8" s="9"/>
      <c r="H8" s="6"/>
      <c r="I8" s="9"/>
      <c r="J8" s="9" t="s">
        <v>145</v>
      </c>
    </row>
    <row r="9" spans="1:13">
      <c r="A9" s="5"/>
      <c r="B9" s="6"/>
      <c r="C9" s="7"/>
      <c r="D9" s="9"/>
      <c r="E9" s="8"/>
      <c r="F9" s="9"/>
      <c r="G9" s="9"/>
      <c r="H9" s="6"/>
      <c r="I9" s="9"/>
      <c r="J9" s="9" t="s">
        <v>145</v>
      </c>
    </row>
    <row r="10" spans="1:13">
      <c r="A10" s="5"/>
      <c r="B10" s="6"/>
      <c r="C10" s="7"/>
      <c r="D10" s="9"/>
      <c r="E10" s="4"/>
      <c r="F10" s="9"/>
      <c r="G10" s="9"/>
      <c r="H10" s="6"/>
      <c r="I10" s="9"/>
      <c r="J10" s="9" t="s">
        <v>145</v>
      </c>
    </row>
    <row r="11" spans="1:13">
      <c r="A11" s="5"/>
      <c r="B11" s="6"/>
      <c r="C11" s="7"/>
      <c r="D11" s="9"/>
      <c r="E11" s="8"/>
      <c r="F11" s="9"/>
      <c r="G11" s="9"/>
      <c r="H11" s="6"/>
      <c r="I11" s="9"/>
      <c r="J11" s="9" t="s">
        <v>145</v>
      </c>
    </row>
    <row r="12" spans="1:13">
      <c r="A12" s="5"/>
      <c r="B12" s="6"/>
      <c r="C12" s="7"/>
      <c r="D12" s="9"/>
      <c r="E12" s="8"/>
      <c r="F12" s="9"/>
      <c r="G12" s="9"/>
      <c r="H12" s="6"/>
      <c r="I12" s="9"/>
      <c r="J12" s="9" t="s">
        <v>145</v>
      </c>
    </row>
    <row r="13" spans="1:13">
      <c r="A13" s="5"/>
      <c r="B13" s="6"/>
      <c r="C13" s="7"/>
      <c r="D13" s="9"/>
      <c r="E13" s="8"/>
      <c r="F13" s="9"/>
      <c r="G13" s="9"/>
      <c r="H13" s="6"/>
      <c r="I13" s="9"/>
      <c r="J13" s="9" t="s">
        <v>145</v>
      </c>
    </row>
    <row r="14" spans="1:13">
      <c r="A14" s="5"/>
      <c r="B14" s="6"/>
      <c r="C14" s="7"/>
      <c r="D14" s="9"/>
      <c r="E14" s="8"/>
      <c r="F14" s="9"/>
      <c r="G14" s="9"/>
      <c r="H14" s="6"/>
      <c r="I14" s="9"/>
      <c r="J14" s="9" t="s">
        <v>145</v>
      </c>
    </row>
    <row r="15" spans="1:13">
      <c r="A15" s="5"/>
      <c r="B15" s="6"/>
      <c r="C15" s="7"/>
      <c r="D15" s="9"/>
      <c r="E15" s="8"/>
      <c r="F15" s="9"/>
      <c r="G15" s="9"/>
      <c r="H15" s="6"/>
      <c r="I15" s="9"/>
      <c r="J15" s="9" t="s">
        <v>145</v>
      </c>
    </row>
    <row r="16" spans="1:13">
      <c r="A16" s="5"/>
      <c r="B16" s="6"/>
      <c r="C16" s="7"/>
      <c r="D16" s="9"/>
      <c r="E16" s="8"/>
      <c r="F16" s="9"/>
      <c r="G16" s="9"/>
      <c r="H16" s="6"/>
      <c r="I16" s="9"/>
      <c r="J16" s="9" t="s">
        <v>145</v>
      </c>
    </row>
    <row r="17" spans="1:10">
      <c r="A17" s="5"/>
      <c r="B17" s="6"/>
      <c r="C17" s="7"/>
      <c r="D17" s="9"/>
      <c r="E17" s="8"/>
      <c r="F17" s="9"/>
      <c r="G17" s="9"/>
      <c r="H17" s="6"/>
      <c r="I17" s="9"/>
      <c r="J17" s="9" t="s">
        <v>145</v>
      </c>
    </row>
    <row r="18" spans="1:10">
      <c r="A18" s="5"/>
      <c r="B18" s="6"/>
      <c r="C18" s="7"/>
      <c r="D18" s="9"/>
      <c r="E18" s="8"/>
      <c r="F18" s="9"/>
      <c r="G18" s="9"/>
      <c r="H18" s="6"/>
      <c r="I18" s="9"/>
      <c r="J18" s="9" t="s">
        <v>145</v>
      </c>
    </row>
    <row r="19" spans="1:10">
      <c r="A19" s="5"/>
      <c r="B19" s="6"/>
      <c r="C19" s="7"/>
      <c r="D19" s="9"/>
      <c r="E19" s="8"/>
      <c r="F19" s="9"/>
      <c r="G19" s="9"/>
      <c r="H19" s="6"/>
      <c r="I19" s="9"/>
      <c r="J19" s="9" t="s">
        <v>145</v>
      </c>
    </row>
    <row r="20" spans="1:10">
      <c r="A20" s="5"/>
      <c r="B20" s="6"/>
      <c r="C20" s="7"/>
      <c r="D20" s="9"/>
      <c r="E20" s="4"/>
      <c r="F20" s="9"/>
      <c r="G20" s="9"/>
      <c r="H20" s="6"/>
      <c r="I20" s="9"/>
      <c r="J20" s="9" t="s">
        <v>145</v>
      </c>
    </row>
    <row r="21" spans="1:10">
      <c r="A21" s="5"/>
      <c r="B21" s="6"/>
      <c r="C21" s="7"/>
      <c r="D21" s="9"/>
      <c r="E21" s="8"/>
      <c r="F21" s="9"/>
      <c r="G21" s="9"/>
      <c r="H21" s="6"/>
      <c r="I21" s="9"/>
      <c r="J21" s="9" t="s">
        <v>145</v>
      </c>
    </row>
    <row r="22" spans="1:10">
      <c r="A22" s="5"/>
      <c r="B22" s="6"/>
      <c r="C22" s="7"/>
      <c r="D22" s="9"/>
      <c r="E22" s="8"/>
      <c r="F22" s="9"/>
      <c r="G22" s="9"/>
      <c r="H22" s="6"/>
      <c r="I22" s="9"/>
      <c r="J22" s="9" t="s">
        <v>145</v>
      </c>
    </row>
    <row r="23" spans="1:10">
      <c r="A23" s="5"/>
      <c r="B23" s="6"/>
      <c r="C23" s="7"/>
      <c r="D23" s="9"/>
      <c r="E23" s="8"/>
      <c r="F23" s="9"/>
      <c r="G23" s="9"/>
      <c r="H23" s="6"/>
      <c r="I23" s="9"/>
      <c r="J23" s="9" t="s">
        <v>145</v>
      </c>
    </row>
    <row r="24" spans="1:10">
      <c r="A24" s="5"/>
      <c r="B24" s="6"/>
      <c r="C24" s="7"/>
      <c r="D24" s="9"/>
      <c r="E24" s="8"/>
      <c r="F24" s="9"/>
      <c r="G24" s="9"/>
      <c r="H24" s="6"/>
      <c r="I24" s="9"/>
      <c r="J24" s="9" t="s">
        <v>145</v>
      </c>
    </row>
    <row r="25" spans="1:10">
      <c r="A25" s="5"/>
      <c r="B25" s="6"/>
      <c r="C25" s="7"/>
      <c r="D25" s="9"/>
      <c r="E25" s="8"/>
      <c r="F25" s="9"/>
      <c r="G25" s="9"/>
      <c r="H25" s="6"/>
      <c r="I25" s="9"/>
      <c r="J25" s="9" t="s">
        <v>145</v>
      </c>
    </row>
    <row r="26" spans="1:10">
      <c r="A26" s="5"/>
      <c r="B26" s="6"/>
      <c r="C26" s="7"/>
      <c r="D26" s="9"/>
      <c r="E26" s="4"/>
      <c r="F26" s="9"/>
      <c r="G26" s="9"/>
      <c r="H26" s="6"/>
      <c r="I26" s="9"/>
      <c r="J26" s="9" t="s">
        <v>145</v>
      </c>
    </row>
    <row r="27" spans="1:10">
      <c r="A27" s="5"/>
      <c r="B27" s="6"/>
      <c r="C27" s="7"/>
      <c r="D27" s="9"/>
      <c r="E27" s="8"/>
      <c r="F27" s="9"/>
      <c r="G27" s="9"/>
      <c r="H27" s="6"/>
      <c r="I27" s="9"/>
      <c r="J27" s="9" t="s">
        <v>145</v>
      </c>
    </row>
    <row r="28" spans="1:10">
      <c r="A28" s="5"/>
      <c r="B28" s="6"/>
      <c r="C28" s="7"/>
      <c r="D28" s="9"/>
      <c r="E28" s="8"/>
      <c r="F28" s="9"/>
      <c r="G28" s="9"/>
      <c r="H28" s="6"/>
      <c r="I28" s="9"/>
      <c r="J28" s="9" t="s">
        <v>145</v>
      </c>
    </row>
    <row r="29" spans="1:10">
      <c r="A29" s="5"/>
      <c r="B29" s="6"/>
      <c r="C29" s="7"/>
      <c r="D29" s="9"/>
      <c r="E29" s="8"/>
      <c r="F29" s="9"/>
      <c r="G29" s="9"/>
      <c r="H29" s="6"/>
      <c r="I29" s="9"/>
      <c r="J29" s="9" t="s">
        <v>145</v>
      </c>
    </row>
    <row r="30" spans="1:10">
      <c r="A30" s="5"/>
      <c r="B30" s="6"/>
      <c r="C30" s="7"/>
      <c r="D30" s="9"/>
      <c r="E30" s="4"/>
      <c r="F30" s="9"/>
      <c r="G30" s="9"/>
      <c r="H30" s="6"/>
      <c r="I30" s="9"/>
      <c r="J30" s="9" t="s">
        <v>145</v>
      </c>
    </row>
    <row r="31" spans="1:10">
      <c r="A31" s="5"/>
      <c r="B31" s="6"/>
      <c r="C31" s="7"/>
      <c r="D31" s="9"/>
      <c r="E31" s="8"/>
      <c r="F31" s="9"/>
      <c r="G31" s="9"/>
      <c r="H31" s="6"/>
      <c r="I31" s="9"/>
      <c r="J31" s="9" t="s">
        <v>145</v>
      </c>
    </row>
    <row r="32" spans="1:10">
      <c r="A32" s="5"/>
      <c r="B32" s="6"/>
      <c r="C32" s="7"/>
      <c r="D32" s="9"/>
      <c r="E32" s="8"/>
      <c r="F32" s="9"/>
      <c r="G32" s="9"/>
      <c r="H32" s="6"/>
      <c r="I32" s="9"/>
      <c r="J32" s="9" t="s">
        <v>145</v>
      </c>
    </row>
    <row r="33" spans="1:10">
      <c r="A33" s="5"/>
      <c r="B33" s="6"/>
      <c r="C33" s="7"/>
      <c r="D33" s="9"/>
      <c r="E33" s="8"/>
      <c r="F33" s="9"/>
      <c r="G33" s="9"/>
      <c r="H33" s="6"/>
      <c r="I33" s="9"/>
      <c r="J33" s="9" t="s">
        <v>145</v>
      </c>
    </row>
    <row r="34" spans="1:10">
      <c r="A34" s="5"/>
      <c r="B34" s="6"/>
      <c r="C34" s="7"/>
      <c r="D34" s="9"/>
      <c r="E34" s="8"/>
      <c r="F34" s="9"/>
      <c r="G34" s="9"/>
      <c r="H34" s="6"/>
      <c r="I34" s="9"/>
      <c r="J34" s="9" t="s">
        <v>145</v>
      </c>
    </row>
    <row r="35" spans="1:10">
      <c r="A35" s="5"/>
      <c r="B35" s="6"/>
      <c r="C35" s="7"/>
      <c r="D35" s="9"/>
      <c r="E35" s="8"/>
      <c r="F35" s="9"/>
      <c r="G35" s="9"/>
      <c r="H35" s="6"/>
      <c r="I35" s="9"/>
      <c r="J35" s="9" t="s">
        <v>145</v>
      </c>
    </row>
    <row r="36" spans="1:10">
      <c r="A36" s="5"/>
      <c r="B36" s="6"/>
      <c r="C36" s="7"/>
      <c r="D36" s="9"/>
      <c r="E36" s="8"/>
      <c r="F36" s="9"/>
      <c r="G36" s="9"/>
      <c r="H36" s="6"/>
      <c r="I36" s="9"/>
      <c r="J36" s="9" t="s">
        <v>145</v>
      </c>
    </row>
    <row r="37" spans="1:10">
      <c r="A37" s="5"/>
      <c r="B37" s="6"/>
      <c r="C37" s="7"/>
      <c r="D37" s="9"/>
      <c r="E37" s="8"/>
      <c r="F37" s="9"/>
      <c r="G37" s="9"/>
      <c r="H37" s="6"/>
      <c r="I37" s="9"/>
      <c r="J37" s="9" t="s">
        <v>145</v>
      </c>
    </row>
    <row r="38" spans="1:10">
      <c r="A38" s="5"/>
      <c r="B38" s="6"/>
      <c r="C38" s="7"/>
      <c r="D38" s="9"/>
      <c r="E38" s="8"/>
      <c r="F38" s="9"/>
      <c r="G38" s="9"/>
      <c r="H38" s="6"/>
      <c r="I38" s="9"/>
      <c r="J38" s="9" t="s">
        <v>145</v>
      </c>
    </row>
    <row r="39" spans="1:10">
      <c r="A39" s="5"/>
      <c r="B39" s="6"/>
      <c r="C39" s="7"/>
      <c r="D39" s="9"/>
      <c r="E39" s="8"/>
      <c r="F39" s="9"/>
      <c r="G39" s="9"/>
      <c r="H39" s="6"/>
      <c r="I39" s="9"/>
      <c r="J39" s="9" t="s">
        <v>145</v>
      </c>
    </row>
    <row r="40" spans="1:10">
      <c r="A40" s="5"/>
      <c r="B40" s="6"/>
      <c r="C40" s="7"/>
      <c r="D40" s="9"/>
      <c r="E40" s="8"/>
      <c r="F40" s="9"/>
      <c r="G40" s="9"/>
      <c r="H40" s="6"/>
      <c r="I40" s="9"/>
      <c r="J40" s="9" t="s">
        <v>145</v>
      </c>
    </row>
    <row r="41" spans="1:10">
      <c r="A41" s="5"/>
      <c r="B41" s="6"/>
      <c r="C41" s="7"/>
      <c r="D41" s="9"/>
      <c r="E41" s="8"/>
      <c r="F41" s="9"/>
      <c r="G41" s="9"/>
      <c r="H41" s="6"/>
      <c r="I41" s="9"/>
      <c r="J41" s="9" t="s">
        <v>145</v>
      </c>
    </row>
    <row r="42" spans="1:10">
      <c r="A42" s="5"/>
      <c r="B42" s="6"/>
      <c r="C42" s="7"/>
      <c r="D42" s="9"/>
      <c r="E42" s="8"/>
      <c r="F42" s="9"/>
      <c r="G42" s="9"/>
      <c r="H42" s="6"/>
      <c r="I42" s="9"/>
      <c r="J42" s="9" t="s">
        <v>145</v>
      </c>
    </row>
    <row r="43" spans="1:10">
      <c r="A43" s="5"/>
      <c r="B43" s="6"/>
      <c r="C43" s="7"/>
      <c r="D43" s="9"/>
      <c r="E43" s="8"/>
      <c r="F43" s="9"/>
      <c r="G43" s="9"/>
      <c r="I43" s="9"/>
      <c r="J43" s="9" t="s">
        <v>145</v>
      </c>
    </row>
    <row r="44" spans="1:10">
      <c r="A44" s="5"/>
      <c r="B44" s="6"/>
      <c r="C44" s="7"/>
      <c r="D44" s="9"/>
      <c r="E44" s="8"/>
      <c r="F44" s="9"/>
      <c r="G44" s="9"/>
      <c r="H44" s="6"/>
      <c r="I44" s="9"/>
      <c r="J44" s="9" t="s">
        <v>145</v>
      </c>
    </row>
    <row r="45" spans="1:10">
      <c r="A45" s="5"/>
      <c r="B45" s="6"/>
      <c r="C45" s="7"/>
      <c r="D45" s="9"/>
      <c r="E45" s="8"/>
      <c r="F45" s="9"/>
      <c r="G45" s="9"/>
      <c r="H45" s="6"/>
      <c r="I45" s="9"/>
      <c r="J45" s="9" t="s">
        <v>145</v>
      </c>
    </row>
    <row r="46" spans="1:10">
      <c r="A46" s="5"/>
      <c r="B46" s="6"/>
      <c r="C46" s="7"/>
      <c r="D46" s="9"/>
      <c r="E46" s="8"/>
      <c r="F46" s="9"/>
      <c r="G46" s="9"/>
      <c r="H46" s="6"/>
      <c r="I46" s="9"/>
      <c r="J46" s="9" t="s">
        <v>145</v>
      </c>
    </row>
    <row r="47" spans="1:10">
      <c r="A47" s="5"/>
      <c r="B47" s="6"/>
      <c r="C47" s="7"/>
      <c r="D47" s="9"/>
      <c r="E47" s="8"/>
      <c r="F47" s="9"/>
      <c r="G47" s="9"/>
      <c r="H47" s="6"/>
      <c r="I47" s="9"/>
      <c r="J47" s="9" t="s">
        <v>145</v>
      </c>
    </row>
    <row r="48" spans="1:10">
      <c r="A48" s="5"/>
      <c r="B48" s="6"/>
      <c r="C48" s="7"/>
      <c r="D48" s="9"/>
      <c r="E48" s="4"/>
      <c r="F48" s="9"/>
      <c r="G48" s="9"/>
      <c r="H48" s="6"/>
      <c r="I48" s="9"/>
      <c r="J48" s="9" t="s">
        <v>145</v>
      </c>
    </row>
    <row r="49" spans="1:10">
      <c r="A49" s="5"/>
      <c r="B49" s="6"/>
      <c r="C49" s="7"/>
      <c r="D49" s="9"/>
      <c r="E49" s="4"/>
      <c r="F49" s="9"/>
      <c r="G49" s="9"/>
      <c r="H49" s="6"/>
      <c r="I49" s="9"/>
      <c r="J49" s="9" t="s">
        <v>145</v>
      </c>
    </row>
    <row r="50" spans="1:10">
      <c r="A50" s="5"/>
      <c r="B50" s="6"/>
      <c r="C50" s="7"/>
      <c r="D50" s="9"/>
      <c r="E50" s="8"/>
      <c r="F50" s="9"/>
      <c r="G50" s="9"/>
      <c r="H50" s="6"/>
      <c r="I50" s="9"/>
      <c r="J50" s="9" t="s">
        <v>145</v>
      </c>
    </row>
    <row r="51" spans="1:10">
      <c r="A51" s="5"/>
      <c r="B51" s="6"/>
      <c r="C51" s="7"/>
      <c r="D51" s="9"/>
      <c r="E51" s="8"/>
      <c r="F51" s="9"/>
      <c r="G51" s="9"/>
      <c r="H51" s="6"/>
      <c r="I51" s="9"/>
      <c r="J51" s="9" t="s">
        <v>145</v>
      </c>
    </row>
    <row r="52" spans="1:10">
      <c r="A52" s="5"/>
      <c r="B52" s="6"/>
      <c r="C52" s="7"/>
      <c r="D52" s="9"/>
      <c r="E52" s="8"/>
      <c r="F52" s="9"/>
      <c r="G52" s="9"/>
      <c r="H52" s="6"/>
      <c r="I52" s="9"/>
      <c r="J52" s="9" t="s">
        <v>145</v>
      </c>
    </row>
    <row r="53" spans="1:10">
      <c r="A53" s="5"/>
      <c r="B53" s="6"/>
      <c r="C53" s="7"/>
      <c r="D53" s="9"/>
      <c r="E53" s="4"/>
      <c r="F53" s="9"/>
      <c r="G53" s="9"/>
      <c r="H53" s="6"/>
      <c r="I53" s="9"/>
      <c r="J53" s="9" t="s">
        <v>145</v>
      </c>
    </row>
    <row r="54" spans="1:10">
      <c r="A54" s="5"/>
      <c r="B54" s="6"/>
      <c r="C54" s="7"/>
      <c r="D54" s="9"/>
      <c r="E54" s="8"/>
      <c r="F54" s="9"/>
      <c r="G54" s="9"/>
      <c r="H54" s="6"/>
      <c r="I54" s="9"/>
      <c r="J54" s="9" t="s">
        <v>145</v>
      </c>
    </row>
    <row r="55" spans="1:10">
      <c r="A55" s="5"/>
      <c r="B55" s="6"/>
      <c r="C55" s="7"/>
      <c r="D55" s="9"/>
      <c r="E55" s="4"/>
      <c r="F55" s="9"/>
      <c r="G55" s="9"/>
      <c r="H55" s="6"/>
      <c r="I55" s="9"/>
      <c r="J55" s="9" t="s">
        <v>145</v>
      </c>
    </row>
    <row r="56" spans="1:10">
      <c r="A56" s="5"/>
      <c r="B56" s="6"/>
      <c r="C56" s="7"/>
      <c r="D56" s="9"/>
      <c r="E56" s="8"/>
      <c r="F56" s="9"/>
      <c r="G56" s="9"/>
      <c r="H56" s="6"/>
      <c r="I56" s="9"/>
      <c r="J56" s="9" t="s">
        <v>145</v>
      </c>
    </row>
    <row r="57" spans="1:10">
      <c r="A57" s="5"/>
      <c r="B57" s="6"/>
      <c r="C57" s="7"/>
      <c r="D57" s="9"/>
      <c r="E57" s="4"/>
      <c r="F57" s="9"/>
      <c r="G57" s="9"/>
      <c r="H57" s="6"/>
      <c r="I57" s="9"/>
      <c r="J57" s="9" t="s">
        <v>145</v>
      </c>
    </row>
    <row r="58" spans="1:10">
      <c r="A58" s="5"/>
      <c r="B58" s="6"/>
      <c r="C58" s="7"/>
      <c r="D58" s="9"/>
      <c r="E58" s="8"/>
      <c r="F58" s="9"/>
      <c r="G58" s="9"/>
      <c r="H58" s="6"/>
      <c r="I58" s="9"/>
      <c r="J58" s="9" t="s">
        <v>145</v>
      </c>
    </row>
    <row r="59" spans="1:10">
      <c r="A59" s="5"/>
      <c r="B59" s="6"/>
      <c r="C59" s="7"/>
      <c r="D59" s="9"/>
      <c r="E59" s="8"/>
      <c r="F59" s="9"/>
      <c r="G59" s="9"/>
      <c r="H59" s="6"/>
      <c r="I59" s="9"/>
      <c r="J59" s="9" t="s">
        <v>145</v>
      </c>
    </row>
    <row r="60" spans="1:10">
      <c r="A60" s="5"/>
      <c r="B60" s="6"/>
      <c r="C60" s="7"/>
      <c r="D60" s="9"/>
      <c r="E60" s="8"/>
      <c r="F60" s="9"/>
      <c r="G60" s="9"/>
      <c r="H60" s="6"/>
      <c r="I60" s="9"/>
      <c r="J60" s="9" t="s">
        <v>145</v>
      </c>
    </row>
    <row r="61" spans="1:10">
      <c r="A61" s="5"/>
      <c r="B61" s="6"/>
      <c r="C61" s="7"/>
      <c r="D61" s="9"/>
      <c r="E61" s="8"/>
      <c r="F61" s="9"/>
      <c r="G61" s="9"/>
      <c r="H61" s="6"/>
      <c r="I61" s="9"/>
      <c r="J61" s="9" t="s">
        <v>145</v>
      </c>
    </row>
    <row r="62" spans="1:10">
      <c r="A62" s="5"/>
      <c r="B62" s="6"/>
      <c r="C62" s="7"/>
      <c r="D62" s="9"/>
      <c r="E62" s="8"/>
      <c r="F62" s="9"/>
      <c r="G62" s="9"/>
      <c r="H62" s="6"/>
      <c r="I62" s="9"/>
      <c r="J62" s="9" t="s">
        <v>145</v>
      </c>
    </row>
    <row r="63" spans="1:10">
      <c r="A63" s="5"/>
      <c r="B63" s="6"/>
      <c r="C63" s="7"/>
      <c r="D63" s="9"/>
      <c r="E63" s="4"/>
      <c r="F63" s="9"/>
      <c r="G63" s="9"/>
      <c r="H63" s="6"/>
      <c r="I63" s="9"/>
      <c r="J63" s="9" t="s">
        <v>145</v>
      </c>
    </row>
    <row r="64" spans="1:10">
      <c r="A64" s="5"/>
      <c r="B64" s="6"/>
      <c r="C64" s="7"/>
      <c r="D64" s="9"/>
      <c r="E64" s="8"/>
      <c r="F64" s="9"/>
      <c r="G64" s="9"/>
      <c r="H64" s="6"/>
      <c r="I64" s="9"/>
      <c r="J64" s="9" t="s">
        <v>145</v>
      </c>
    </row>
    <row r="65" spans="1:10">
      <c r="A65" s="5"/>
      <c r="B65" s="6"/>
      <c r="C65" s="7"/>
      <c r="D65" s="9"/>
      <c r="E65" s="8"/>
      <c r="F65" s="9"/>
      <c r="G65" s="9"/>
      <c r="H65" s="6"/>
      <c r="I65" s="9"/>
      <c r="J65" s="9" t="s">
        <v>145</v>
      </c>
    </row>
    <row r="66" spans="1:10">
      <c r="A66" s="5"/>
      <c r="B66" s="6"/>
      <c r="C66" s="7"/>
      <c r="D66" s="9"/>
      <c r="E66" s="8"/>
      <c r="F66" s="9"/>
      <c r="G66" s="9"/>
      <c r="H66" s="6"/>
      <c r="I66" s="9"/>
      <c r="J66" s="9" t="s">
        <v>145</v>
      </c>
    </row>
    <row r="67" spans="1:10">
      <c r="A67" s="5"/>
      <c r="B67" s="6"/>
      <c r="C67" s="7"/>
      <c r="D67" s="9"/>
      <c r="E67" s="8"/>
      <c r="F67" s="9"/>
      <c r="G67" s="9"/>
      <c r="H67" s="6"/>
      <c r="I67" s="9"/>
      <c r="J67" s="9" t="s">
        <v>145</v>
      </c>
    </row>
    <row r="68" spans="1:10">
      <c r="A68" s="5"/>
      <c r="B68" s="6"/>
      <c r="C68" s="7"/>
      <c r="D68" s="9"/>
      <c r="E68" s="8"/>
      <c r="F68" s="9"/>
      <c r="G68" s="9"/>
      <c r="H68" s="6"/>
      <c r="I68" s="9"/>
      <c r="J68" s="9" t="s">
        <v>145</v>
      </c>
    </row>
    <row r="69" spans="1:10">
      <c r="A69" s="5"/>
      <c r="B69" s="6"/>
      <c r="C69" s="7"/>
      <c r="D69" s="9"/>
      <c r="E69" s="8"/>
      <c r="F69" s="9"/>
      <c r="G69" s="9"/>
      <c r="H69" s="6"/>
      <c r="I69" s="9"/>
      <c r="J69" s="9" t="s">
        <v>145</v>
      </c>
    </row>
    <row r="70" spans="1:10">
      <c r="A70" s="5"/>
      <c r="B70" s="6"/>
      <c r="C70" s="7"/>
      <c r="D70" s="9"/>
      <c r="E70" s="8"/>
      <c r="F70" s="9"/>
      <c r="G70" s="9"/>
      <c r="H70" s="6"/>
      <c r="I70" s="9"/>
      <c r="J70" s="9" t="s">
        <v>145</v>
      </c>
    </row>
    <row r="71" spans="1:10">
      <c r="A71" s="5"/>
      <c r="B71" s="6"/>
      <c r="C71" s="7"/>
      <c r="D71" s="9"/>
      <c r="E71" s="8"/>
      <c r="F71" s="9"/>
      <c r="G71" s="9"/>
      <c r="H71" s="6"/>
      <c r="I71" s="9"/>
      <c r="J71" s="9" t="s">
        <v>145</v>
      </c>
    </row>
    <row r="72" spans="1:10">
      <c r="A72" s="5"/>
      <c r="B72" s="6"/>
      <c r="C72" s="7"/>
      <c r="D72" s="9"/>
      <c r="E72" s="4"/>
      <c r="F72" s="9"/>
      <c r="G72" s="9"/>
      <c r="H72" s="6"/>
      <c r="I72" s="9"/>
      <c r="J72" s="9" t="s">
        <v>145</v>
      </c>
    </row>
    <row r="73" spans="1:10">
      <c r="A73" s="5"/>
      <c r="B73" s="6"/>
      <c r="C73" s="7"/>
      <c r="D73" s="9"/>
      <c r="E73" s="8"/>
      <c r="F73" s="9"/>
      <c r="G73" s="9"/>
      <c r="H73" s="6"/>
      <c r="I73" s="9"/>
      <c r="J73" s="9" t="s">
        <v>145</v>
      </c>
    </row>
    <row r="74" spans="1:10">
      <c r="A74" s="5"/>
      <c r="B74" s="6"/>
      <c r="C74" s="7"/>
      <c r="D74" s="9"/>
      <c r="E74" s="8"/>
      <c r="F74" s="9"/>
      <c r="G74" s="9"/>
      <c r="H74" s="6"/>
      <c r="I74" s="9"/>
      <c r="J74" s="9" t="s">
        <v>145</v>
      </c>
    </row>
    <row r="75" spans="1:10">
      <c r="A75" s="5"/>
      <c r="B75" s="6"/>
      <c r="C75" s="7"/>
      <c r="D75" s="9"/>
      <c r="E75" s="8"/>
      <c r="F75" s="9"/>
      <c r="G75" s="9"/>
      <c r="H75" s="6"/>
      <c r="I75" s="9"/>
      <c r="J75" s="9" t="s">
        <v>145</v>
      </c>
    </row>
    <row r="76" spans="1:10">
      <c r="A76" s="5"/>
      <c r="B76" s="6"/>
      <c r="C76" s="7"/>
      <c r="D76" s="9"/>
      <c r="E76" s="8"/>
      <c r="F76" s="9"/>
      <c r="G76" s="9"/>
      <c r="H76" s="6"/>
      <c r="I76" s="9"/>
      <c r="J76" s="9" t="s">
        <v>145</v>
      </c>
    </row>
    <row r="77" spans="1:10">
      <c r="A77" s="5"/>
      <c r="B77" s="6"/>
      <c r="C77" s="7"/>
      <c r="D77" s="9"/>
      <c r="E77" s="8"/>
      <c r="F77" s="9"/>
      <c r="G77" s="9"/>
      <c r="H77" s="6"/>
      <c r="I77" s="9"/>
      <c r="J77" s="9" t="s">
        <v>145</v>
      </c>
    </row>
    <row r="78" spans="1:10">
      <c r="A78" s="5"/>
      <c r="B78" s="6"/>
      <c r="C78" s="7"/>
      <c r="D78" s="9"/>
      <c r="E78" s="8"/>
      <c r="F78" s="9"/>
      <c r="G78" s="9"/>
      <c r="H78" s="6"/>
      <c r="I78" s="9"/>
      <c r="J78" s="9" t="s">
        <v>145</v>
      </c>
    </row>
    <row r="79" spans="1:10">
      <c r="A79" s="5"/>
      <c r="B79" s="6"/>
      <c r="C79" s="7"/>
      <c r="D79" s="9"/>
      <c r="E79" s="8"/>
      <c r="F79" s="9"/>
      <c r="G79" s="9"/>
      <c r="H79" s="6"/>
      <c r="I79" s="9"/>
      <c r="J79" s="9" t="s">
        <v>145</v>
      </c>
    </row>
    <row r="80" spans="1:10">
      <c r="A80" s="5"/>
      <c r="B80" s="6"/>
      <c r="C80" s="7"/>
      <c r="D80" s="9"/>
      <c r="E80" s="4"/>
      <c r="F80" s="9"/>
      <c r="G80" s="9"/>
      <c r="H80" s="6"/>
      <c r="I80" s="9"/>
      <c r="J80" s="9" t="s">
        <v>145</v>
      </c>
    </row>
    <row r="81" spans="1:10">
      <c r="A81" s="5"/>
      <c r="B81" s="6"/>
      <c r="C81" s="7"/>
      <c r="D81" s="9"/>
      <c r="E81" s="8"/>
      <c r="F81" s="9"/>
      <c r="G81" s="9"/>
      <c r="H81" s="6"/>
      <c r="I81" s="9"/>
      <c r="J81" s="9" t="s">
        <v>145</v>
      </c>
    </row>
    <row r="82" spans="1:10">
      <c r="A82" s="5"/>
      <c r="B82" s="6"/>
      <c r="C82" s="7"/>
      <c r="D82" s="9"/>
      <c r="E82" s="8"/>
      <c r="F82" s="9"/>
      <c r="G82" s="9"/>
      <c r="H82" s="6"/>
      <c r="I82" s="9"/>
      <c r="J82" s="9" t="s">
        <v>145</v>
      </c>
    </row>
    <row r="83" spans="1:10">
      <c r="A83" s="5"/>
      <c r="B83" s="6"/>
      <c r="C83" s="7"/>
      <c r="D83" s="9"/>
      <c r="E83" s="8"/>
      <c r="F83" s="9"/>
      <c r="G83" s="9"/>
      <c r="H83" s="6"/>
      <c r="I83" s="9"/>
      <c r="J83" s="9" t="s">
        <v>145</v>
      </c>
    </row>
    <row r="84" spans="1:10">
      <c r="A84" s="5"/>
      <c r="B84" s="6"/>
      <c r="C84" s="7"/>
      <c r="D84" s="9"/>
      <c r="E84" s="8"/>
      <c r="F84" s="9"/>
      <c r="G84" s="9"/>
      <c r="H84" s="6"/>
      <c r="I84" s="9"/>
      <c r="J84" s="9" t="s">
        <v>145</v>
      </c>
    </row>
    <row r="85" spans="1:10">
      <c r="A85" s="5"/>
      <c r="B85" s="6"/>
      <c r="C85" s="7"/>
      <c r="D85" s="9"/>
      <c r="E85" s="8"/>
      <c r="F85" s="9"/>
      <c r="G85" s="9"/>
      <c r="H85" s="6"/>
      <c r="I85" s="9"/>
      <c r="J85" s="9" t="s">
        <v>145</v>
      </c>
    </row>
    <row r="86" spans="1:10">
      <c r="A86" s="5"/>
      <c r="B86" s="6"/>
      <c r="C86" s="7"/>
      <c r="D86" s="9"/>
      <c r="E86" s="8"/>
      <c r="F86" s="9"/>
      <c r="G86" s="9"/>
      <c r="H86" s="6"/>
      <c r="I86" s="9"/>
      <c r="J86" s="9" t="s">
        <v>145</v>
      </c>
    </row>
    <row r="87" spans="1:10">
      <c r="A87" s="5"/>
      <c r="B87" s="6"/>
      <c r="C87" s="7"/>
      <c r="D87" s="9"/>
      <c r="E87" s="8"/>
      <c r="F87" s="9"/>
      <c r="G87" s="9"/>
      <c r="H87" s="6"/>
      <c r="I87" s="9"/>
      <c r="J87" s="9" t="s">
        <v>145</v>
      </c>
    </row>
    <row r="88" spans="1:10">
      <c r="A88" s="5"/>
      <c r="B88" s="6"/>
      <c r="C88" s="7"/>
      <c r="D88" s="9"/>
      <c r="E88" s="8"/>
      <c r="F88" s="9"/>
      <c r="G88" s="9"/>
      <c r="H88" s="6"/>
      <c r="I88" s="9"/>
      <c r="J88" s="9" t="s">
        <v>145</v>
      </c>
    </row>
    <row r="89" spans="1:10">
      <c r="A89" s="5"/>
      <c r="B89" s="6"/>
      <c r="C89" s="7"/>
      <c r="D89" s="9"/>
      <c r="E89" s="8"/>
      <c r="F89" s="9"/>
      <c r="G89" s="9"/>
      <c r="H89" s="6"/>
      <c r="I89" s="9"/>
      <c r="J89" s="9" t="s">
        <v>145</v>
      </c>
    </row>
    <row r="90" spans="1:10">
      <c r="A90" s="5"/>
      <c r="B90" s="6"/>
      <c r="C90" s="7"/>
      <c r="D90" s="9"/>
      <c r="E90" s="8"/>
      <c r="F90" s="9"/>
      <c r="G90" s="9"/>
      <c r="H90" s="6"/>
      <c r="I90" s="9"/>
      <c r="J90" s="9" t="s">
        <v>145</v>
      </c>
    </row>
    <row r="91" spans="1:10">
      <c r="A91" s="5"/>
      <c r="B91" s="6"/>
      <c r="C91" s="7"/>
      <c r="D91" s="9"/>
      <c r="E91" s="8"/>
      <c r="F91" s="9"/>
      <c r="G91" s="9"/>
      <c r="H91" s="6"/>
      <c r="I91" s="9"/>
      <c r="J91" s="9" t="s">
        <v>145</v>
      </c>
    </row>
    <row r="92" spans="1:10">
      <c r="A92" s="5"/>
      <c r="B92" s="6"/>
      <c r="C92" s="7"/>
      <c r="D92" s="9"/>
      <c r="E92" s="8"/>
      <c r="F92" s="9"/>
      <c r="G92" s="9"/>
      <c r="H92" s="6"/>
      <c r="I92" s="9"/>
      <c r="J92" s="9" t="s">
        <v>145</v>
      </c>
    </row>
    <row r="93" spans="1:10">
      <c r="A93" s="5"/>
      <c r="B93" s="6"/>
      <c r="C93" s="7"/>
      <c r="D93" s="9"/>
      <c r="E93" s="4"/>
      <c r="F93" s="9"/>
      <c r="G93" s="9"/>
      <c r="H93" s="6"/>
      <c r="I93" s="9"/>
      <c r="J93" s="9" t="s">
        <v>145</v>
      </c>
    </row>
    <row r="94" spans="1:10">
      <c r="A94" s="5"/>
      <c r="B94" s="6"/>
      <c r="C94" s="7"/>
      <c r="D94" s="9"/>
      <c r="E94" s="8"/>
      <c r="F94" s="9"/>
      <c r="G94" s="9"/>
      <c r="H94" s="6"/>
      <c r="I94" s="9"/>
      <c r="J94" s="9" t="s">
        <v>145</v>
      </c>
    </row>
    <row r="95" spans="1:10">
      <c r="A95" s="5"/>
      <c r="B95" s="6"/>
      <c r="C95" s="7"/>
      <c r="D95" s="9"/>
      <c r="E95" s="8"/>
      <c r="F95" s="9"/>
      <c r="G95" s="9"/>
      <c r="H95" s="6"/>
      <c r="I95" s="9"/>
      <c r="J95" s="9" t="s">
        <v>145</v>
      </c>
    </row>
    <row r="96" spans="1:10">
      <c r="A96" s="5"/>
      <c r="B96" s="6"/>
      <c r="C96" s="7"/>
      <c r="D96" s="9"/>
      <c r="E96" s="8"/>
      <c r="F96" s="9"/>
      <c r="G96" s="9"/>
      <c r="H96" s="6"/>
      <c r="I96" s="9"/>
      <c r="J96" s="9" t="s">
        <v>145</v>
      </c>
    </row>
    <row r="97" spans="1:10">
      <c r="A97" s="5"/>
      <c r="B97" s="6"/>
      <c r="C97" s="7"/>
      <c r="D97" s="9"/>
      <c r="E97" s="8"/>
      <c r="F97" s="9"/>
      <c r="G97" s="9"/>
      <c r="H97" s="6"/>
      <c r="I97" s="9"/>
      <c r="J97" s="9" t="s">
        <v>145</v>
      </c>
    </row>
    <row r="98" spans="1:10">
      <c r="A98" s="5"/>
      <c r="B98" s="6"/>
      <c r="C98" s="7"/>
      <c r="D98" s="9"/>
      <c r="E98" s="8"/>
      <c r="F98" s="9"/>
      <c r="G98" s="9"/>
      <c r="H98" s="6"/>
      <c r="I98" s="9"/>
      <c r="J98" s="9" t="s">
        <v>145</v>
      </c>
    </row>
    <row r="99" spans="1:10">
      <c r="A99" s="5"/>
      <c r="B99" s="6"/>
      <c r="C99" s="7"/>
      <c r="D99" s="9"/>
      <c r="E99" s="8"/>
      <c r="F99" s="9"/>
      <c r="G99" s="9"/>
      <c r="H99" s="6"/>
      <c r="I99" s="9"/>
      <c r="J99" s="9" t="s">
        <v>145</v>
      </c>
    </row>
    <row r="100" spans="1:10">
      <c r="A100" s="5"/>
      <c r="B100" s="6"/>
      <c r="C100" s="7"/>
      <c r="D100" s="9"/>
      <c r="E100" s="8"/>
      <c r="F100" s="9"/>
      <c r="G100" s="9"/>
      <c r="H100" s="6"/>
      <c r="I100" s="9"/>
      <c r="J100" s="9" t="s">
        <v>145</v>
      </c>
    </row>
    <row r="101" spans="1:10">
      <c r="A101" s="5"/>
      <c r="B101" s="6"/>
      <c r="C101" s="7"/>
      <c r="D101" s="9"/>
      <c r="E101" s="8"/>
      <c r="F101" s="9"/>
      <c r="G101" s="9"/>
      <c r="H101" s="6"/>
      <c r="I101" s="9"/>
      <c r="J101" s="9" t="s">
        <v>145</v>
      </c>
    </row>
    <row r="102" spans="1:10">
      <c r="A102" s="5"/>
      <c r="B102" s="6"/>
      <c r="C102" s="7"/>
      <c r="D102" s="9"/>
      <c r="E102" s="8"/>
      <c r="F102" s="9"/>
      <c r="G102" s="9"/>
      <c r="H102" s="6"/>
      <c r="I102" s="9"/>
      <c r="J102" s="9" t="s">
        <v>145</v>
      </c>
    </row>
    <row r="103" spans="1:10">
      <c r="A103" s="5"/>
      <c r="B103" s="6"/>
      <c r="C103" s="7"/>
      <c r="D103" s="9"/>
      <c r="E103" s="8"/>
      <c r="F103" s="9"/>
      <c r="G103" s="9"/>
      <c r="H103" s="6"/>
      <c r="I103" s="9"/>
      <c r="J103" s="9" t="s">
        <v>145</v>
      </c>
    </row>
    <row r="104" spans="1:10">
      <c r="A104" s="5"/>
      <c r="B104" s="6"/>
      <c r="C104" s="7"/>
      <c r="D104" s="9"/>
      <c r="E104" s="8"/>
      <c r="F104" s="9"/>
      <c r="G104" s="9"/>
      <c r="H104" s="6"/>
      <c r="I104" s="9"/>
      <c r="J104" s="9" t="s">
        <v>145</v>
      </c>
    </row>
    <row r="105" spans="1:10">
      <c r="A105" s="5"/>
      <c r="B105" s="6"/>
      <c r="C105" s="7"/>
      <c r="D105" s="9"/>
      <c r="E105" s="8"/>
      <c r="F105" s="9"/>
      <c r="G105" s="9"/>
      <c r="H105" s="6"/>
      <c r="I105" s="9"/>
      <c r="J105" s="9" t="s">
        <v>145</v>
      </c>
    </row>
    <row r="106" spans="1:10">
      <c r="A106" s="5"/>
      <c r="B106" s="6"/>
      <c r="C106" s="7"/>
      <c r="D106" s="9"/>
      <c r="E106" s="8"/>
      <c r="F106" s="9"/>
      <c r="G106" s="9"/>
      <c r="H106" s="6"/>
      <c r="I106" s="9"/>
      <c r="J106" s="9" t="s">
        <v>145</v>
      </c>
    </row>
    <row r="107" spans="1:10">
      <c r="A107" s="5"/>
      <c r="B107" s="6"/>
      <c r="C107" s="7"/>
      <c r="D107" s="9"/>
      <c r="E107" s="8"/>
      <c r="F107" s="9"/>
      <c r="G107" s="9"/>
      <c r="H107" s="6"/>
      <c r="I107" s="9"/>
      <c r="J107" s="9" t="s">
        <v>145</v>
      </c>
    </row>
    <row r="108" spans="1:10">
      <c r="A108" s="5"/>
      <c r="B108" s="6"/>
      <c r="C108" s="7"/>
      <c r="D108" s="9"/>
      <c r="E108" s="8"/>
      <c r="F108" s="9"/>
      <c r="G108" s="9"/>
      <c r="H108" s="6"/>
      <c r="I108" s="9"/>
      <c r="J108" s="9" t="s">
        <v>145</v>
      </c>
    </row>
    <row r="109" spans="1:10">
      <c r="A109" s="5"/>
      <c r="B109" s="6"/>
      <c r="C109" s="7"/>
      <c r="D109" s="9"/>
      <c r="E109" s="4"/>
      <c r="F109" s="9"/>
      <c r="G109" s="9"/>
      <c r="H109" s="6"/>
      <c r="I109" s="9"/>
      <c r="J109" s="9" t="s">
        <v>145</v>
      </c>
    </row>
    <row r="110" spans="1:10">
      <c r="A110" s="5"/>
      <c r="B110" s="6"/>
      <c r="C110" s="7"/>
      <c r="D110" s="9"/>
      <c r="E110" s="8"/>
      <c r="F110" s="9"/>
      <c r="G110" s="9"/>
      <c r="H110" s="6"/>
      <c r="I110" s="9"/>
      <c r="J110" s="9" t="s">
        <v>145</v>
      </c>
    </row>
    <row r="111" spans="1:10" ht="15" customHeight="1">
      <c r="A111" s="5"/>
      <c r="B111" s="6"/>
      <c r="C111" s="7"/>
      <c r="D111" s="9"/>
      <c r="E111" s="8"/>
      <c r="F111" s="9"/>
      <c r="G111" s="9"/>
      <c r="H111" s="6"/>
      <c r="I111" s="9"/>
      <c r="J111" s="9" t="s">
        <v>145</v>
      </c>
    </row>
    <row r="112" spans="1:10">
      <c r="A112" s="5"/>
      <c r="B112" s="6"/>
      <c r="C112" s="7"/>
      <c r="D112" s="9"/>
      <c r="E112" s="4"/>
      <c r="F112" s="9"/>
      <c r="G112" s="9"/>
      <c r="H112" s="6"/>
      <c r="I112" s="9"/>
      <c r="J112" s="9" t="s">
        <v>145</v>
      </c>
    </row>
    <row r="113" spans="1:10">
      <c r="A113" s="5"/>
      <c r="B113" s="6"/>
      <c r="C113" s="7"/>
      <c r="D113" s="9"/>
      <c r="E113" s="8"/>
      <c r="F113" s="9"/>
      <c r="G113" s="9"/>
      <c r="H113" s="6"/>
      <c r="I113" s="9"/>
      <c r="J113" s="9" t="s">
        <v>145</v>
      </c>
    </row>
    <row r="114" spans="1:10">
      <c r="A114" s="5"/>
      <c r="B114" s="6"/>
      <c r="C114" s="7"/>
      <c r="D114" s="9"/>
      <c r="E114" s="8"/>
      <c r="F114" s="9"/>
      <c r="G114" s="9"/>
      <c r="H114" s="6"/>
      <c r="I114" s="9"/>
      <c r="J114" s="9" t="s">
        <v>145</v>
      </c>
    </row>
    <row r="115" spans="1:10">
      <c r="A115" s="5"/>
      <c r="B115" s="6"/>
      <c r="C115" s="7"/>
      <c r="D115" s="9"/>
      <c r="E115" s="4"/>
      <c r="F115" s="9"/>
      <c r="G115" s="9"/>
      <c r="H115" s="6"/>
      <c r="I115" s="9"/>
      <c r="J115" s="9" t="s">
        <v>145</v>
      </c>
    </row>
    <row r="116" spans="1:10">
      <c r="A116" s="5"/>
      <c r="B116" s="6"/>
      <c r="C116" s="7"/>
      <c r="D116" s="9"/>
      <c r="E116" s="8"/>
      <c r="F116" s="9"/>
      <c r="G116" s="9"/>
      <c r="H116" s="6"/>
      <c r="I116" s="9"/>
      <c r="J116" s="9" t="s">
        <v>145</v>
      </c>
    </row>
    <row r="117" spans="1:10">
      <c r="A117" s="5"/>
      <c r="B117" s="6"/>
      <c r="C117" s="7"/>
      <c r="D117" s="9"/>
      <c r="E117" s="8"/>
      <c r="F117" s="9"/>
      <c r="G117" s="9"/>
      <c r="H117" s="6"/>
      <c r="I117" s="9"/>
      <c r="J117" s="9" t="s">
        <v>145</v>
      </c>
    </row>
    <row r="118" spans="1:10">
      <c r="A118" s="5"/>
      <c r="B118" s="6"/>
      <c r="C118" s="7"/>
      <c r="D118" s="9"/>
      <c r="E118" s="8"/>
      <c r="F118" s="9"/>
      <c r="G118" s="9"/>
      <c r="H118" s="6"/>
      <c r="I118" s="9"/>
      <c r="J118" s="9" t="s">
        <v>145</v>
      </c>
    </row>
    <row r="119" spans="1:10">
      <c r="A119" s="5"/>
      <c r="B119" s="6"/>
      <c r="C119" s="7"/>
      <c r="D119" s="9"/>
      <c r="E119" s="8"/>
      <c r="F119" s="9"/>
      <c r="G119" s="9"/>
      <c r="H119" s="6"/>
      <c r="I119" s="9"/>
      <c r="J119" s="9" t="s">
        <v>145</v>
      </c>
    </row>
    <row r="120" spans="1:10">
      <c r="A120" s="5"/>
      <c r="B120" s="6"/>
      <c r="C120" s="7"/>
      <c r="D120" s="9"/>
      <c r="E120" s="8"/>
      <c r="F120" s="9"/>
      <c r="G120" s="9"/>
      <c r="H120" s="6"/>
      <c r="I120" s="9"/>
      <c r="J120" s="9" t="s">
        <v>145</v>
      </c>
    </row>
    <row r="121" spans="1:10">
      <c r="A121" s="5"/>
      <c r="B121" s="6"/>
      <c r="C121" s="7"/>
      <c r="D121" s="9"/>
      <c r="E121" s="4"/>
      <c r="F121" s="9"/>
      <c r="G121" s="9"/>
      <c r="H121" s="6"/>
      <c r="I121" s="9"/>
      <c r="J121" s="9" t="s">
        <v>145</v>
      </c>
    </row>
    <row r="122" spans="1:10">
      <c r="A122" s="5"/>
      <c r="B122" s="6"/>
      <c r="C122" s="7"/>
      <c r="D122" s="9"/>
      <c r="E122" s="8"/>
      <c r="F122" s="9"/>
      <c r="G122" s="9"/>
      <c r="H122" s="6"/>
      <c r="I122" s="9"/>
      <c r="J122" s="9" t="s">
        <v>145</v>
      </c>
    </row>
    <row r="123" spans="1:10">
      <c r="A123" s="5"/>
      <c r="B123" s="6"/>
      <c r="C123" s="7"/>
      <c r="D123" s="9"/>
      <c r="E123" s="8"/>
      <c r="F123" s="9"/>
      <c r="G123" s="9"/>
      <c r="H123" s="6"/>
      <c r="I123" s="9"/>
      <c r="J123" s="9" t="s">
        <v>145</v>
      </c>
    </row>
    <row r="124" spans="1:10">
      <c r="A124" s="5"/>
      <c r="B124" s="6"/>
      <c r="C124" s="7"/>
      <c r="D124" s="9"/>
      <c r="E124" s="8"/>
      <c r="F124" s="9"/>
      <c r="G124" s="9"/>
      <c r="H124" s="6"/>
      <c r="I124" s="9"/>
      <c r="J124" s="9" t="s">
        <v>145</v>
      </c>
    </row>
    <row r="125" spans="1:10">
      <c r="A125" s="5"/>
      <c r="B125" s="6"/>
      <c r="C125" s="7"/>
      <c r="D125" s="9"/>
      <c r="E125" s="8"/>
      <c r="F125" s="9"/>
      <c r="G125" s="9"/>
      <c r="H125" s="6"/>
      <c r="I125" s="9"/>
      <c r="J125" s="9" t="s">
        <v>145</v>
      </c>
    </row>
    <row r="126" spans="1:10">
      <c r="A126" s="5"/>
      <c r="B126" s="6"/>
      <c r="C126" s="7"/>
      <c r="D126" s="9"/>
      <c r="E126" s="8"/>
      <c r="F126" s="9"/>
      <c r="G126" s="9"/>
      <c r="H126" s="6"/>
      <c r="I126" s="9"/>
      <c r="J126" s="9" t="s">
        <v>145</v>
      </c>
    </row>
    <row r="127" spans="1:10">
      <c r="A127" s="5"/>
      <c r="B127" s="6"/>
      <c r="C127" s="7"/>
      <c r="D127" s="9"/>
      <c r="E127" s="8"/>
      <c r="F127" s="9"/>
      <c r="G127" s="9"/>
      <c r="H127" s="6"/>
      <c r="I127" s="9"/>
      <c r="J127" s="9" t="s">
        <v>145</v>
      </c>
    </row>
    <row r="128" spans="1:10">
      <c r="A128" s="5"/>
      <c r="B128" s="6"/>
      <c r="C128" s="7"/>
      <c r="D128" s="9"/>
      <c r="E128" s="8"/>
      <c r="F128" s="9"/>
      <c r="G128" s="9"/>
      <c r="H128" s="6"/>
      <c r="I128" s="9"/>
      <c r="J128" s="9" t="s">
        <v>145</v>
      </c>
    </row>
    <row r="129" spans="1:10">
      <c r="A129" s="5"/>
      <c r="B129" s="6"/>
      <c r="C129" s="7"/>
      <c r="D129" s="9"/>
      <c r="E129" s="8"/>
      <c r="F129" s="9"/>
      <c r="G129" s="9"/>
      <c r="H129" s="6"/>
      <c r="I129" s="9"/>
      <c r="J129" s="9" t="s">
        <v>145</v>
      </c>
    </row>
    <row r="130" spans="1:10">
      <c r="A130" s="5"/>
      <c r="B130" s="6"/>
      <c r="C130" s="7"/>
      <c r="D130" s="9"/>
      <c r="E130" s="8"/>
      <c r="F130" s="9"/>
      <c r="G130" s="9"/>
      <c r="H130" s="6"/>
      <c r="I130" s="9"/>
      <c r="J130" s="9" t="s">
        <v>145</v>
      </c>
    </row>
    <row r="131" spans="1:10">
      <c r="A131" s="5"/>
      <c r="B131" s="6"/>
      <c r="C131" s="7"/>
      <c r="D131" s="9"/>
      <c r="E131" s="8"/>
      <c r="F131" s="9"/>
      <c r="G131" s="9"/>
      <c r="H131" s="6"/>
      <c r="I131" s="9"/>
      <c r="J131" s="9" t="s">
        <v>145</v>
      </c>
    </row>
    <row r="132" spans="1:10">
      <c r="A132" s="5"/>
      <c r="B132" s="6"/>
      <c r="C132" s="7"/>
      <c r="D132" s="9"/>
      <c r="E132" s="8"/>
      <c r="F132" s="9"/>
      <c r="G132" s="9"/>
      <c r="H132" s="6"/>
      <c r="I132" s="9"/>
      <c r="J132" s="9" t="s">
        <v>145</v>
      </c>
    </row>
    <row r="133" spans="1:10">
      <c r="A133" s="5"/>
      <c r="B133" s="6"/>
      <c r="C133" s="7"/>
      <c r="D133" s="9"/>
      <c r="E133" s="8"/>
      <c r="F133" s="9"/>
      <c r="G133" s="9"/>
      <c r="H133" s="6"/>
      <c r="I133" s="9"/>
      <c r="J133" s="9" t="s">
        <v>145</v>
      </c>
    </row>
    <row r="134" spans="1:10">
      <c r="A134" s="5"/>
      <c r="B134" s="6"/>
      <c r="C134" s="7"/>
      <c r="D134" s="9"/>
      <c r="E134" s="8"/>
      <c r="F134" s="9"/>
      <c r="G134" s="9"/>
      <c r="H134" s="6"/>
      <c r="I134" s="9"/>
      <c r="J134" s="9" t="s">
        <v>145</v>
      </c>
    </row>
    <row r="135" spans="1:10">
      <c r="A135" s="5"/>
      <c r="B135" s="6"/>
      <c r="C135" s="7"/>
      <c r="D135" s="9"/>
      <c r="E135" s="4"/>
      <c r="F135" s="9"/>
      <c r="G135" s="9"/>
      <c r="H135" s="6"/>
      <c r="I135" s="9"/>
      <c r="J135" s="9" t="s">
        <v>145</v>
      </c>
    </row>
    <row r="136" spans="1:10">
      <c r="A136" s="5"/>
      <c r="B136" s="6"/>
      <c r="C136" s="7"/>
      <c r="D136" s="9"/>
      <c r="E136" s="8"/>
      <c r="F136" s="9"/>
      <c r="G136" s="9"/>
      <c r="H136" s="6"/>
      <c r="I136" s="9"/>
      <c r="J136" s="9" t="s">
        <v>145</v>
      </c>
    </row>
    <row r="137" spans="1:10">
      <c r="A137" s="5"/>
      <c r="B137" s="6"/>
      <c r="C137" s="7"/>
      <c r="D137" s="9"/>
      <c r="E137" s="8"/>
      <c r="F137" s="9"/>
      <c r="G137" s="9"/>
      <c r="H137" s="6"/>
      <c r="I137" s="9"/>
      <c r="J137" s="9" t="s">
        <v>145</v>
      </c>
    </row>
    <row r="138" spans="1:10">
      <c r="A138" s="5"/>
      <c r="B138" s="6"/>
      <c r="C138" s="7"/>
      <c r="D138" s="9"/>
      <c r="E138" s="8"/>
      <c r="F138" s="9"/>
      <c r="G138" s="9"/>
      <c r="H138" s="6"/>
      <c r="I138" s="9"/>
      <c r="J138" s="9" t="s">
        <v>145</v>
      </c>
    </row>
    <row r="139" spans="1:10">
      <c r="A139" s="5"/>
      <c r="B139" s="6"/>
      <c r="C139" s="7"/>
      <c r="D139" s="9"/>
      <c r="E139" s="8"/>
      <c r="F139" s="9"/>
      <c r="G139" s="9"/>
      <c r="H139" s="6"/>
      <c r="I139" s="9"/>
      <c r="J139" s="9" t="s">
        <v>145</v>
      </c>
    </row>
    <row r="140" spans="1:10">
      <c r="A140" s="5"/>
      <c r="B140" s="6"/>
      <c r="C140" s="7"/>
      <c r="D140" s="9"/>
      <c r="E140" s="8"/>
      <c r="F140" s="9"/>
      <c r="G140" s="9"/>
      <c r="H140" s="6"/>
      <c r="I140" s="9"/>
      <c r="J140" s="9" t="s">
        <v>145</v>
      </c>
    </row>
    <row r="141" spans="1:10">
      <c r="A141" s="5"/>
      <c r="B141" s="6"/>
      <c r="C141" s="7"/>
      <c r="D141" s="9"/>
      <c r="E141" s="8"/>
      <c r="F141" s="9"/>
      <c r="G141" s="9"/>
      <c r="H141" s="6"/>
      <c r="I141" s="9"/>
      <c r="J141" s="9" t="s">
        <v>145</v>
      </c>
    </row>
    <row r="142" spans="1:10">
      <c r="A142" s="5"/>
      <c r="B142" s="6"/>
      <c r="C142" s="7"/>
      <c r="D142" s="9"/>
      <c r="E142" s="4"/>
      <c r="F142" s="9"/>
      <c r="G142" s="9"/>
      <c r="H142" s="6"/>
      <c r="I142" s="9"/>
      <c r="J142" s="9" t="s">
        <v>145</v>
      </c>
    </row>
    <row r="143" spans="1:10">
      <c r="A143" s="5"/>
      <c r="B143" s="6"/>
      <c r="C143" s="7"/>
      <c r="D143" s="9"/>
      <c r="E143" s="4"/>
      <c r="F143" s="9"/>
      <c r="G143" s="9"/>
      <c r="H143" s="6"/>
      <c r="I143" s="9"/>
      <c r="J143" s="9" t="s">
        <v>145</v>
      </c>
    </row>
    <row r="144" spans="1:10">
      <c r="A144" s="5"/>
      <c r="B144" s="6"/>
      <c r="C144" s="7"/>
      <c r="D144" s="9"/>
      <c r="E144" s="8"/>
      <c r="F144" s="9"/>
      <c r="G144" s="9"/>
      <c r="H144" s="6"/>
      <c r="I144" s="9"/>
      <c r="J144" s="9" t="s">
        <v>145</v>
      </c>
    </row>
    <row r="145" spans="1:10">
      <c r="A145" s="5"/>
      <c r="B145" s="6"/>
      <c r="C145" s="7"/>
      <c r="D145" s="9"/>
      <c r="E145" s="8"/>
      <c r="F145" s="9"/>
      <c r="G145" s="9"/>
      <c r="H145" s="6"/>
      <c r="I145" s="9"/>
      <c r="J145" s="9" t="s">
        <v>145</v>
      </c>
    </row>
    <row r="146" spans="1:10">
      <c r="A146" s="5"/>
      <c r="B146" s="6"/>
      <c r="C146" s="7"/>
      <c r="D146" s="9"/>
      <c r="E146" s="8"/>
      <c r="F146" s="9"/>
      <c r="G146" s="9"/>
      <c r="H146" s="6"/>
      <c r="I146" s="9"/>
      <c r="J146" s="9" t="s">
        <v>145</v>
      </c>
    </row>
    <row r="147" spans="1:10">
      <c r="A147" s="5"/>
      <c r="B147" s="6"/>
      <c r="C147" s="7"/>
      <c r="D147" s="9"/>
      <c r="E147" s="4"/>
      <c r="F147" s="9"/>
      <c r="G147" s="9"/>
      <c r="H147" s="6"/>
      <c r="I147" s="9"/>
      <c r="J147" s="9" t="s">
        <v>145</v>
      </c>
    </row>
    <row r="148" spans="1:10">
      <c r="A148" s="5"/>
      <c r="B148" s="6"/>
      <c r="C148" s="7"/>
      <c r="D148" s="9"/>
      <c r="E148" s="8"/>
      <c r="F148" s="9"/>
      <c r="G148" s="9"/>
      <c r="H148" s="6"/>
      <c r="I148" s="9"/>
      <c r="J148" s="9" t="s">
        <v>145</v>
      </c>
    </row>
    <row r="149" spans="1:10">
      <c r="A149" s="5"/>
      <c r="B149" s="6"/>
      <c r="C149" s="7"/>
      <c r="D149" s="9"/>
      <c r="E149" s="8"/>
      <c r="F149" s="9"/>
      <c r="G149" s="9"/>
      <c r="H149" s="6"/>
      <c r="I149" s="9"/>
      <c r="J149" s="9" t="s">
        <v>145</v>
      </c>
    </row>
    <row r="150" spans="1:10">
      <c r="A150" s="5"/>
      <c r="B150" s="6"/>
      <c r="C150" s="7"/>
      <c r="D150" s="9"/>
      <c r="E150" s="8"/>
      <c r="F150" s="9"/>
      <c r="G150" s="9"/>
      <c r="H150" s="6"/>
      <c r="I150" s="9"/>
      <c r="J150" s="9" t="s">
        <v>145</v>
      </c>
    </row>
    <row r="151" spans="1:10">
      <c r="A151" s="5"/>
      <c r="B151" s="6"/>
      <c r="C151" s="7"/>
      <c r="D151" s="9"/>
      <c r="E151" s="4"/>
      <c r="F151" s="9"/>
      <c r="G151" s="9"/>
      <c r="H151" s="6"/>
      <c r="I151" s="9"/>
      <c r="J151" s="9" t="s">
        <v>145</v>
      </c>
    </row>
    <row r="152" spans="1:10">
      <c r="A152" s="5"/>
      <c r="B152" s="6"/>
      <c r="C152" s="7"/>
      <c r="D152" s="9"/>
      <c r="E152" s="8"/>
      <c r="F152" s="9"/>
      <c r="G152" s="9"/>
      <c r="H152" s="6"/>
      <c r="I152" s="9"/>
      <c r="J152" s="9" t="s">
        <v>145</v>
      </c>
    </row>
    <row r="153" spans="1:10">
      <c r="A153" s="5"/>
      <c r="B153" s="6"/>
      <c r="C153" s="7"/>
      <c r="D153" s="9"/>
      <c r="E153" s="4"/>
      <c r="F153" s="9"/>
      <c r="G153" s="9"/>
      <c r="H153" s="6"/>
      <c r="I153" s="9"/>
      <c r="J153" s="9" t="s">
        <v>145</v>
      </c>
    </row>
    <row r="154" spans="1:10">
      <c r="A154" s="5"/>
      <c r="B154" s="6"/>
      <c r="C154" s="7"/>
      <c r="D154" s="9"/>
      <c r="E154" s="8"/>
      <c r="F154" s="9"/>
      <c r="G154" s="9"/>
      <c r="H154" s="6"/>
      <c r="I154" s="9"/>
      <c r="J154" s="9" t="s">
        <v>145</v>
      </c>
    </row>
    <row r="155" spans="1:10">
      <c r="A155" s="5"/>
      <c r="B155" s="6"/>
      <c r="C155" s="7"/>
      <c r="D155" s="9"/>
      <c r="E155" s="4"/>
      <c r="F155" s="9"/>
      <c r="G155" s="9"/>
      <c r="H155" s="6"/>
      <c r="I155" s="9"/>
      <c r="J155" s="9" t="s">
        <v>145</v>
      </c>
    </row>
    <row r="156" spans="1:10">
      <c r="A156" s="5"/>
      <c r="B156" s="6"/>
      <c r="C156" s="7"/>
      <c r="D156" s="9"/>
      <c r="E156" s="8"/>
      <c r="F156" s="9"/>
      <c r="G156" s="9"/>
      <c r="H156" s="6"/>
      <c r="I156" s="9"/>
      <c r="J156" s="9" t="s">
        <v>145</v>
      </c>
    </row>
    <row r="157" spans="1:10">
      <c r="A157" s="5"/>
      <c r="B157" s="6"/>
      <c r="C157" s="7"/>
      <c r="D157" s="9"/>
      <c r="E157" s="8"/>
      <c r="F157" s="9"/>
      <c r="G157" s="9"/>
      <c r="H157" s="6"/>
      <c r="I157" s="9"/>
      <c r="J157" s="9" t="s">
        <v>145</v>
      </c>
    </row>
    <row r="158" spans="1:10">
      <c r="A158" s="5"/>
      <c r="B158" s="6"/>
      <c r="C158" s="7"/>
      <c r="D158" s="9"/>
      <c r="E158" s="4"/>
      <c r="F158" s="9"/>
      <c r="G158" s="9"/>
      <c r="H158" s="6"/>
      <c r="I158" s="9"/>
      <c r="J158" s="9" t="s">
        <v>145</v>
      </c>
    </row>
    <row r="159" spans="1:10">
      <c r="A159" s="5"/>
      <c r="B159" s="6"/>
      <c r="C159" s="7"/>
      <c r="D159" s="9"/>
      <c r="E159" s="8"/>
      <c r="F159" s="9"/>
      <c r="G159" s="9"/>
      <c r="H159" s="6"/>
      <c r="I159" s="9"/>
      <c r="J159" s="9" t="s">
        <v>145</v>
      </c>
    </row>
    <row r="160" spans="1:10">
      <c r="A160" s="5"/>
      <c r="B160" s="6"/>
      <c r="C160" s="7"/>
      <c r="D160" s="9"/>
      <c r="E160" s="4"/>
      <c r="F160" s="9"/>
      <c r="G160" s="9"/>
      <c r="H160" s="6"/>
      <c r="I160" s="9"/>
      <c r="J160" s="9" t="s">
        <v>145</v>
      </c>
    </row>
    <row r="161" spans="1:10">
      <c r="A161" s="5"/>
      <c r="B161" s="6"/>
      <c r="C161" s="7"/>
      <c r="D161" s="9"/>
      <c r="E161" s="8"/>
      <c r="F161" s="9"/>
      <c r="G161" s="9"/>
      <c r="H161" s="6"/>
      <c r="I161" s="9"/>
      <c r="J161" s="9" t="s">
        <v>145</v>
      </c>
    </row>
    <row r="162" spans="1:10">
      <c r="A162" s="5"/>
      <c r="B162" s="6"/>
      <c r="C162" s="7"/>
      <c r="D162" s="9"/>
      <c r="E162" s="4"/>
      <c r="F162" s="9"/>
      <c r="G162" s="9"/>
      <c r="H162" s="6"/>
      <c r="I162" s="9"/>
      <c r="J162" s="9" t="s">
        <v>145</v>
      </c>
    </row>
    <row r="163" spans="1:10">
      <c r="A163" s="5"/>
      <c r="B163" s="6"/>
      <c r="C163" s="7"/>
      <c r="D163" s="9"/>
      <c r="E163" s="8"/>
      <c r="F163" s="9"/>
      <c r="G163" s="9"/>
      <c r="H163" s="6"/>
      <c r="I163" s="9"/>
      <c r="J163" s="9" t="s">
        <v>145</v>
      </c>
    </row>
    <row r="164" spans="1:10">
      <c r="A164" s="5"/>
      <c r="B164" s="6"/>
      <c r="C164" s="7"/>
      <c r="D164" s="9"/>
      <c r="E164" s="8"/>
      <c r="F164" s="9"/>
      <c r="G164" s="9"/>
      <c r="H164" s="6"/>
      <c r="I164" s="9"/>
      <c r="J164" s="9" t="s">
        <v>145</v>
      </c>
    </row>
    <row r="165" spans="1:10">
      <c r="A165" s="5"/>
      <c r="B165" s="6"/>
      <c r="C165" s="7"/>
      <c r="D165" s="9"/>
      <c r="E165" s="8"/>
      <c r="F165" s="9"/>
      <c r="G165" s="9"/>
      <c r="H165" s="6"/>
      <c r="I165" s="9"/>
      <c r="J165" s="9" t="s">
        <v>145</v>
      </c>
    </row>
    <row r="166" spans="1:10">
      <c r="A166" s="5"/>
      <c r="B166" s="6"/>
      <c r="C166" s="7"/>
      <c r="D166" s="9"/>
      <c r="E166" s="8"/>
      <c r="F166" s="9"/>
      <c r="G166" s="9"/>
      <c r="H166" s="6"/>
      <c r="I166" s="9"/>
      <c r="J166" s="9" t="s">
        <v>145</v>
      </c>
    </row>
    <row r="167" spans="1:10">
      <c r="A167" s="5"/>
      <c r="B167" s="6"/>
      <c r="C167" s="7"/>
      <c r="D167" s="9"/>
      <c r="E167" s="8"/>
      <c r="F167" s="9"/>
      <c r="G167" s="9"/>
      <c r="H167" s="6"/>
      <c r="I167" s="9"/>
      <c r="J167" s="9" t="s">
        <v>145</v>
      </c>
    </row>
    <row r="168" spans="1:10">
      <c r="A168" s="5"/>
      <c r="B168" s="6"/>
      <c r="C168" s="7"/>
      <c r="D168" s="9"/>
      <c r="E168" s="8"/>
      <c r="F168" s="9"/>
      <c r="G168" s="9"/>
      <c r="H168" s="6"/>
      <c r="I168" s="9"/>
      <c r="J168" s="9" t="s">
        <v>145</v>
      </c>
    </row>
    <row r="169" spans="1:10">
      <c r="A169" s="5"/>
      <c r="B169" s="6"/>
      <c r="C169" s="7"/>
      <c r="D169" s="9"/>
      <c r="E169" s="8"/>
      <c r="F169" s="9"/>
      <c r="G169" s="9"/>
      <c r="H169" s="6"/>
      <c r="I169" s="9"/>
      <c r="J169" s="9" t="s">
        <v>145</v>
      </c>
    </row>
    <row r="170" spans="1:10">
      <c r="A170" s="5"/>
      <c r="B170" s="6"/>
      <c r="C170" s="7"/>
      <c r="D170" s="9"/>
      <c r="E170" s="4"/>
      <c r="F170" s="9"/>
      <c r="G170" s="9"/>
      <c r="H170" s="6"/>
      <c r="I170" s="9"/>
      <c r="J170" s="9" t="s">
        <v>145</v>
      </c>
    </row>
    <row r="171" spans="1:10">
      <c r="A171" s="5"/>
      <c r="B171" s="6"/>
      <c r="C171" s="7"/>
      <c r="D171" s="9"/>
      <c r="E171" s="8"/>
      <c r="F171" s="9"/>
      <c r="G171" s="9"/>
      <c r="H171" s="6"/>
      <c r="I171" s="9"/>
      <c r="J171" s="9" t="s">
        <v>145</v>
      </c>
    </row>
    <row r="172" spans="1:10">
      <c r="A172" s="5"/>
      <c r="B172" s="6"/>
      <c r="C172" s="7"/>
      <c r="D172" s="9"/>
      <c r="E172" s="8"/>
      <c r="F172" s="9"/>
      <c r="G172" s="9"/>
      <c r="H172" s="6"/>
      <c r="I172" s="9"/>
      <c r="J172" s="9" t="s">
        <v>145</v>
      </c>
    </row>
    <row r="173" spans="1:10">
      <c r="A173" s="5"/>
      <c r="B173" s="6"/>
      <c r="C173" s="7"/>
      <c r="D173" s="9"/>
      <c r="E173" s="8"/>
      <c r="F173" s="9"/>
      <c r="G173" s="9"/>
      <c r="H173" s="6"/>
      <c r="I173" s="9"/>
      <c r="J173" s="9" t="s">
        <v>145</v>
      </c>
    </row>
    <row r="174" spans="1:10">
      <c r="A174" s="5"/>
      <c r="B174" s="6"/>
      <c r="C174" s="7"/>
      <c r="D174" s="9"/>
      <c r="E174" s="4"/>
      <c r="F174" s="9"/>
      <c r="G174" s="9"/>
      <c r="H174" s="6"/>
      <c r="I174" s="9"/>
      <c r="J174" s="9" t="s">
        <v>145</v>
      </c>
    </row>
    <row r="175" spans="1:10">
      <c r="A175" s="5"/>
      <c r="B175" s="6"/>
      <c r="C175" s="7"/>
      <c r="D175" s="9"/>
      <c r="E175" s="8"/>
      <c r="F175" s="9"/>
      <c r="G175" s="9"/>
      <c r="H175" s="6"/>
      <c r="I175" s="9"/>
      <c r="J175" s="9" t="s">
        <v>145</v>
      </c>
    </row>
    <row r="176" spans="1:10">
      <c r="A176" s="5"/>
      <c r="B176" s="6"/>
      <c r="C176" s="7"/>
      <c r="D176" s="9"/>
      <c r="E176" s="8"/>
      <c r="F176" s="9"/>
      <c r="G176" s="9"/>
      <c r="H176" s="6"/>
      <c r="I176" s="9"/>
      <c r="J176" s="9" t="s">
        <v>145</v>
      </c>
    </row>
    <row r="177" spans="1:10">
      <c r="A177" s="5"/>
      <c r="B177" s="6"/>
      <c r="C177" s="7"/>
      <c r="D177" s="9"/>
      <c r="E177" s="8"/>
      <c r="F177" s="9"/>
      <c r="G177" s="9"/>
      <c r="H177" s="6"/>
      <c r="I177" s="9"/>
      <c r="J177" s="9" t="s">
        <v>145</v>
      </c>
    </row>
    <row r="178" spans="1:10">
      <c r="A178" s="5"/>
      <c r="B178" s="6"/>
      <c r="C178" s="7"/>
      <c r="D178" s="9"/>
      <c r="E178" s="8"/>
      <c r="F178" s="9"/>
      <c r="G178" s="9"/>
      <c r="H178" s="6"/>
      <c r="I178" s="9"/>
      <c r="J178" s="9" t="s">
        <v>145</v>
      </c>
    </row>
    <row r="179" spans="1:10">
      <c r="A179" s="5"/>
      <c r="B179" s="6"/>
      <c r="C179" s="7"/>
      <c r="D179" s="9"/>
      <c r="E179" s="8"/>
      <c r="F179" s="9"/>
      <c r="G179" s="9"/>
      <c r="H179" s="6"/>
      <c r="I179" s="9"/>
      <c r="J179" s="9" t="s">
        <v>145</v>
      </c>
    </row>
    <row r="180" spans="1:10">
      <c r="A180" s="5"/>
      <c r="B180" s="6"/>
      <c r="C180" s="7"/>
      <c r="D180" s="9"/>
      <c r="E180" s="8"/>
      <c r="F180" s="9"/>
      <c r="G180" s="9"/>
      <c r="H180" s="6"/>
      <c r="I180" s="9"/>
      <c r="J180" s="9" t="s">
        <v>145</v>
      </c>
    </row>
    <row r="181" spans="1:10">
      <c r="A181" s="5"/>
      <c r="B181" s="6"/>
      <c r="C181" s="7"/>
      <c r="D181" s="9"/>
      <c r="E181" s="4"/>
      <c r="F181" s="9"/>
      <c r="G181" s="9"/>
      <c r="H181" s="6"/>
      <c r="I181" s="9"/>
      <c r="J181" s="9" t="s">
        <v>145</v>
      </c>
    </row>
    <row r="182" spans="1:10">
      <c r="A182" s="5"/>
      <c r="B182" s="6"/>
      <c r="C182" s="7"/>
      <c r="D182" s="9"/>
      <c r="E182" s="8"/>
      <c r="F182" s="9"/>
      <c r="G182" s="9"/>
      <c r="H182" s="6"/>
      <c r="I182" s="9"/>
      <c r="J182" s="9" t="s">
        <v>145</v>
      </c>
    </row>
    <row r="183" spans="1:10">
      <c r="A183" s="5"/>
      <c r="B183" s="6"/>
      <c r="C183" s="7"/>
      <c r="D183" s="9"/>
      <c r="E183" s="4"/>
      <c r="F183" s="9"/>
      <c r="G183" s="9"/>
      <c r="H183" s="6"/>
      <c r="I183" s="9"/>
      <c r="J183" s="9" t="s">
        <v>145</v>
      </c>
    </row>
    <row r="184" spans="1:10">
      <c r="A184" s="5"/>
      <c r="B184" s="6"/>
      <c r="C184" s="7"/>
      <c r="D184" s="9"/>
      <c r="E184" s="8"/>
      <c r="F184" s="9"/>
      <c r="G184" s="9"/>
      <c r="H184" s="6"/>
      <c r="I184" s="9"/>
      <c r="J184" s="9" t="s">
        <v>145</v>
      </c>
    </row>
    <row r="185" spans="1:10">
      <c r="A185" s="5"/>
      <c r="B185" s="6"/>
      <c r="C185" s="7"/>
      <c r="D185" s="9"/>
      <c r="E185" s="8"/>
      <c r="F185" s="9"/>
      <c r="G185" s="9"/>
      <c r="H185" s="6"/>
      <c r="I185" s="9"/>
      <c r="J185" s="9" t="s">
        <v>145</v>
      </c>
    </row>
    <row r="186" spans="1:10">
      <c r="A186" s="5"/>
      <c r="B186" s="6"/>
      <c r="C186" s="7"/>
      <c r="D186" s="9"/>
      <c r="E186" s="8"/>
      <c r="F186" s="9"/>
      <c r="G186" s="9"/>
      <c r="H186" s="6"/>
      <c r="I186" s="9"/>
      <c r="J186" s="9" t="s">
        <v>145</v>
      </c>
    </row>
    <row r="187" spans="1:10">
      <c r="A187" s="5"/>
      <c r="B187" s="6"/>
      <c r="C187" s="7"/>
      <c r="D187" s="9"/>
      <c r="E187" s="8"/>
      <c r="F187" s="9"/>
      <c r="G187" s="9"/>
      <c r="H187" s="6"/>
      <c r="I187" s="9"/>
      <c r="J187" s="9" t="s">
        <v>145</v>
      </c>
    </row>
    <row r="188" spans="1:10">
      <c r="A188" s="5"/>
      <c r="B188" s="6"/>
      <c r="C188" s="7"/>
      <c r="D188" s="9"/>
      <c r="E188" s="8"/>
      <c r="F188" s="9"/>
      <c r="G188" s="9"/>
      <c r="H188" s="6"/>
      <c r="I188" s="9"/>
      <c r="J188" s="9" t="s">
        <v>145</v>
      </c>
    </row>
    <row r="189" spans="1:10">
      <c r="A189" s="5"/>
      <c r="B189" s="6"/>
      <c r="C189" s="7"/>
      <c r="D189" s="9"/>
      <c r="E189" s="8"/>
      <c r="F189" s="9"/>
      <c r="G189" s="9"/>
      <c r="H189" s="6"/>
      <c r="I189" s="9"/>
      <c r="J189" s="9" t="s">
        <v>145</v>
      </c>
    </row>
    <row r="190" spans="1:10">
      <c r="A190" s="5"/>
      <c r="B190" s="6"/>
      <c r="C190" s="7"/>
      <c r="D190" s="9"/>
      <c r="E190" s="8"/>
      <c r="F190" s="9"/>
      <c r="G190" s="9"/>
      <c r="H190" s="6"/>
      <c r="I190" s="9"/>
      <c r="J190" s="9" t="s">
        <v>145</v>
      </c>
    </row>
    <row r="191" spans="1:10">
      <c r="A191" s="5"/>
      <c r="B191" s="6"/>
      <c r="C191" s="7"/>
      <c r="D191" s="9"/>
      <c r="E191" s="8"/>
      <c r="F191" s="9"/>
      <c r="G191" s="9"/>
      <c r="H191" s="6"/>
      <c r="I191" s="9"/>
      <c r="J191" s="9" t="s">
        <v>145</v>
      </c>
    </row>
    <row r="192" spans="1:10">
      <c r="A192" s="5"/>
      <c r="B192" s="6"/>
      <c r="C192" s="7"/>
      <c r="D192" s="9"/>
      <c r="E192" s="4"/>
      <c r="F192" s="9"/>
      <c r="G192" s="9"/>
      <c r="H192" s="6"/>
      <c r="I192" s="9"/>
      <c r="J192" s="9" t="s">
        <v>145</v>
      </c>
    </row>
    <row r="193" spans="1:10">
      <c r="A193" s="5"/>
      <c r="B193" s="6"/>
      <c r="C193" s="7"/>
      <c r="D193" s="9"/>
      <c r="E193" s="8"/>
      <c r="F193" s="9"/>
      <c r="G193" s="9"/>
      <c r="H193" s="6"/>
      <c r="I193" s="9"/>
      <c r="J193" s="9" t="s">
        <v>145</v>
      </c>
    </row>
    <row r="194" spans="1:10">
      <c r="A194" s="5"/>
      <c r="B194" s="6"/>
      <c r="C194" s="7"/>
      <c r="D194" s="9"/>
      <c r="E194" s="8"/>
      <c r="F194" s="9"/>
      <c r="G194" s="9"/>
      <c r="H194" s="6"/>
      <c r="I194" s="9"/>
      <c r="J194" s="9" t="s">
        <v>145</v>
      </c>
    </row>
    <row r="195" spans="1:10">
      <c r="A195" s="5"/>
      <c r="B195" s="6"/>
      <c r="C195" s="7"/>
      <c r="D195" s="9"/>
      <c r="E195" s="8"/>
      <c r="F195" s="9"/>
      <c r="G195" s="9"/>
      <c r="H195" s="6"/>
      <c r="I195" s="9"/>
      <c r="J195" s="9" t="s">
        <v>145</v>
      </c>
    </row>
    <row r="196" spans="1:10">
      <c r="A196" s="5"/>
      <c r="B196" s="6"/>
      <c r="C196" s="7"/>
      <c r="D196" s="9"/>
      <c r="E196" s="8"/>
      <c r="F196" s="9"/>
      <c r="G196" s="9"/>
      <c r="H196" s="6"/>
      <c r="I196" s="9"/>
      <c r="J196" s="9" t="s">
        <v>145</v>
      </c>
    </row>
    <row r="197" spans="1:10">
      <c r="A197" s="5"/>
      <c r="B197" s="6"/>
      <c r="C197" s="7"/>
      <c r="D197" s="9"/>
      <c r="E197" s="8"/>
      <c r="F197" s="9"/>
      <c r="G197" s="9"/>
      <c r="H197" s="6"/>
      <c r="I197" s="9"/>
      <c r="J197" s="9" t="s">
        <v>145</v>
      </c>
    </row>
    <row r="198" spans="1:10">
      <c r="A198" s="5"/>
      <c r="B198" s="6"/>
      <c r="C198" s="7"/>
      <c r="D198" s="9"/>
      <c r="E198" s="4"/>
      <c r="F198" s="9"/>
      <c r="G198" s="9"/>
      <c r="H198" s="6"/>
      <c r="I198" s="9"/>
      <c r="J198" s="9" t="s">
        <v>145</v>
      </c>
    </row>
    <row r="199" spans="1:10">
      <c r="A199" s="5"/>
      <c r="B199" s="6"/>
      <c r="C199" s="7"/>
      <c r="D199" s="9"/>
      <c r="E199" s="8"/>
      <c r="F199" s="9"/>
      <c r="G199" s="9"/>
      <c r="H199" s="6"/>
      <c r="I199" s="9"/>
      <c r="J199" s="9" t="s">
        <v>145</v>
      </c>
    </row>
    <row r="200" spans="1:10">
      <c r="A200" s="5"/>
      <c r="B200" s="6"/>
      <c r="C200" s="7"/>
      <c r="D200" s="9"/>
      <c r="E200" s="8"/>
      <c r="F200" s="9"/>
      <c r="G200" s="9"/>
      <c r="H200" s="6"/>
      <c r="I200" s="9"/>
      <c r="J200" s="9" t="s">
        <v>145</v>
      </c>
    </row>
    <row r="201" spans="1:10">
      <c r="A201" s="5"/>
      <c r="B201" s="6"/>
      <c r="C201" s="7"/>
      <c r="D201" s="9"/>
      <c r="E201" s="8"/>
      <c r="F201" s="9"/>
      <c r="G201" s="9"/>
      <c r="H201" s="6"/>
      <c r="I201" s="9"/>
      <c r="J201" s="9" t="s">
        <v>145</v>
      </c>
    </row>
    <row r="202" spans="1:10">
      <c r="A202" s="5"/>
      <c r="B202" s="6"/>
      <c r="C202" s="7"/>
      <c r="D202" s="9"/>
      <c r="E202" s="8"/>
      <c r="F202" s="9"/>
      <c r="G202" s="9"/>
      <c r="H202" s="6"/>
      <c r="I202" s="9"/>
      <c r="J202" s="9" t="s">
        <v>145</v>
      </c>
    </row>
    <row r="203" spans="1:10">
      <c r="A203" s="5"/>
      <c r="B203" s="6"/>
      <c r="C203" s="7"/>
      <c r="D203" s="9"/>
      <c r="E203" s="4"/>
      <c r="F203" s="9"/>
      <c r="G203" s="9"/>
      <c r="H203" s="6"/>
      <c r="I203" s="9"/>
      <c r="J203" s="9" t="s">
        <v>145</v>
      </c>
    </row>
    <row r="204" spans="1:10">
      <c r="A204" s="5"/>
      <c r="B204" s="6"/>
      <c r="C204" s="7"/>
      <c r="D204" s="9"/>
      <c r="E204" s="8"/>
      <c r="F204" s="9"/>
      <c r="G204" s="9"/>
      <c r="H204" s="6"/>
      <c r="I204" s="9"/>
      <c r="J204" s="9" t="s">
        <v>145</v>
      </c>
    </row>
    <row r="205" spans="1:10">
      <c r="A205" s="5"/>
      <c r="B205" s="6"/>
      <c r="C205" s="7"/>
      <c r="D205" s="9"/>
      <c r="E205" s="8"/>
      <c r="F205" s="9"/>
      <c r="G205" s="9"/>
      <c r="H205" s="6"/>
      <c r="I205" s="9"/>
      <c r="J205" s="9" t="s">
        <v>145</v>
      </c>
    </row>
    <row r="206" spans="1:10">
      <c r="A206" s="5"/>
      <c r="B206" s="6"/>
      <c r="C206" s="7"/>
      <c r="D206" s="9"/>
      <c r="E206" s="8"/>
      <c r="F206" s="9"/>
      <c r="G206" s="9"/>
      <c r="H206" s="6"/>
      <c r="I206" s="9"/>
      <c r="J206" s="9" t="s">
        <v>145</v>
      </c>
    </row>
    <row r="207" spans="1:10">
      <c r="A207" s="5"/>
      <c r="B207" s="6"/>
      <c r="C207" s="7"/>
      <c r="D207" s="9"/>
      <c r="E207" s="8"/>
      <c r="F207" s="9"/>
      <c r="G207" s="9"/>
      <c r="H207" s="6"/>
      <c r="I207" s="9"/>
      <c r="J207" s="9" t="s">
        <v>145</v>
      </c>
    </row>
    <row r="208" spans="1:10">
      <c r="A208" s="5"/>
      <c r="B208" s="6"/>
      <c r="C208" s="7"/>
      <c r="D208" s="9"/>
      <c r="E208" s="8"/>
      <c r="F208" s="9"/>
      <c r="G208" s="9"/>
      <c r="H208" s="6"/>
      <c r="I208" s="9"/>
      <c r="J208" s="9" t="s">
        <v>145</v>
      </c>
    </row>
    <row r="209" spans="1:10">
      <c r="A209" s="5"/>
      <c r="B209" s="6"/>
      <c r="C209" s="7"/>
      <c r="D209" s="9"/>
      <c r="E209" s="8"/>
      <c r="F209" s="9"/>
      <c r="G209" s="9"/>
      <c r="H209" s="6"/>
      <c r="I209" s="9"/>
      <c r="J209" s="9" t="s">
        <v>145</v>
      </c>
    </row>
    <row r="210" spans="1:10">
      <c r="A210" s="5"/>
      <c r="B210" s="6"/>
      <c r="C210" s="7"/>
      <c r="D210" s="9"/>
      <c r="E210" s="8"/>
      <c r="F210" s="9"/>
      <c r="G210" s="9"/>
      <c r="H210" s="6"/>
      <c r="I210" s="9"/>
      <c r="J210" s="9" t="s">
        <v>145</v>
      </c>
    </row>
    <row r="211" spans="1:10">
      <c r="A211" s="5"/>
      <c r="B211" s="6"/>
      <c r="C211" s="7"/>
      <c r="D211" s="9"/>
      <c r="E211" s="8"/>
      <c r="F211" s="9"/>
      <c r="G211" s="9"/>
      <c r="H211" s="6"/>
      <c r="I211" s="9"/>
      <c r="J211" s="9" t="s">
        <v>145</v>
      </c>
    </row>
    <row r="212" spans="1:10">
      <c r="A212" s="5"/>
      <c r="B212" s="6"/>
      <c r="C212" s="7"/>
      <c r="D212" s="9"/>
      <c r="E212" s="8"/>
      <c r="F212" s="9"/>
      <c r="G212" s="9"/>
      <c r="H212" s="6"/>
      <c r="I212" s="9"/>
      <c r="J212" s="9" t="s">
        <v>145</v>
      </c>
    </row>
    <row r="213" spans="1:10">
      <c r="A213" s="5"/>
      <c r="B213" s="6"/>
      <c r="C213" s="7"/>
      <c r="D213" s="9"/>
      <c r="E213" s="8"/>
      <c r="F213" s="9"/>
      <c r="G213" s="9"/>
      <c r="H213" s="6"/>
      <c r="I213" s="9"/>
      <c r="J213" s="9" t="s">
        <v>145</v>
      </c>
    </row>
    <row r="214" spans="1:10">
      <c r="A214" s="5"/>
      <c r="B214" s="6"/>
      <c r="C214" s="7"/>
      <c r="D214" s="9"/>
      <c r="E214" s="8"/>
      <c r="F214" s="9"/>
      <c r="G214" s="9"/>
      <c r="H214" s="6"/>
      <c r="I214" s="9"/>
      <c r="J214" s="9" t="s">
        <v>145</v>
      </c>
    </row>
    <row r="215" spans="1:10">
      <c r="A215" s="5"/>
      <c r="B215" s="6"/>
      <c r="C215" s="7"/>
      <c r="D215" s="9"/>
      <c r="E215" s="8"/>
      <c r="F215" s="9"/>
      <c r="G215" s="9"/>
      <c r="H215" s="6"/>
      <c r="I215" s="9"/>
      <c r="J215" s="9" t="s">
        <v>145</v>
      </c>
    </row>
    <row r="216" spans="1:10">
      <c r="A216" s="5"/>
      <c r="B216" s="6"/>
      <c r="C216" s="7"/>
      <c r="D216" s="9"/>
      <c r="E216" s="8"/>
      <c r="F216" s="9"/>
      <c r="G216" s="9"/>
      <c r="H216" s="6"/>
      <c r="I216" s="9"/>
      <c r="J216" s="9" t="s">
        <v>145</v>
      </c>
    </row>
    <row r="217" spans="1:10">
      <c r="A217" s="5"/>
      <c r="B217" s="6"/>
      <c r="C217" s="7"/>
      <c r="D217" s="9"/>
      <c r="E217" s="8"/>
      <c r="F217" s="9"/>
      <c r="G217" s="9"/>
      <c r="H217" s="6"/>
      <c r="I217" s="9"/>
      <c r="J217" s="9" t="s">
        <v>145</v>
      </c>
    </row>
    <row r="218" spans="1:10">
      <c r="A218" s="5"/>
      <c r="B218" s="6"/>
      <c r="C218" s="7"/>
      <c r="D218" s="9"/>
      <c r="E218" s="8"/>
      <c r="F218" s="9"/>
      <c r="G218" s="9"/>
      <c r="H218" s="6"/>
      <c r="I218" s="9"/>
      <c r="J218" s="9" t="s">
        <v>145</v>
      </c>
    </row>
    <row r="219" spans="1:10">
      <c r="A219" s="5"/>
      <c r="B219" s="6"/>
      <c r="C219" s="7"/>
      <c r="D219" s="9"/>
      <c r="E219" s="8"/>
      <c r="F219" s="9"/>
      <c r="G219" s="9"/>
      <c r="H219" s="6"/>
      <c r="I219" s="9"/>
      <c r="J219" s="9" t="s">
        <v>145</v>
      </c>
    </row>
    <row r="220" spans="1:10">
      <c r="A220" s="5"/>
      <c r="B220" s="6"/>
      <c r="C220" s="7"/>
      <c r="D220" s="9"/>
      <c r="E220" s="8"/>
      <c r="F220" s="9"/>
      <c r="G220" s="9"/>
      <c r="H220" s="6"/>
      <c r="I220" s="9"/>
      <c r="J220" s="9" t="s">
        <v>145</v>
      </c>
    </row>
    <row r="221" spans="1:10">
      <c r="A221" s="5"/>
      <c r="B221" s="6"/>
      <c r="C221" s="7"/>
      <c r="D221" s="9"/>
      <c r="E221" s="8"/>
      <c r="F221" s="9"/>
      <c r="G221" s="9"/>
      <c r="H221" s="6"/>
      <c r="I221" s="9"/>
      <c r="J221" s="9" t="s">
        <v>145</v>
      </c>
    </row>
    <row r="222" spans="1:10">
      <c r="A222" s="5"/>
      <c r="B222" s="6"/>
      <c r="C222" s="7"/>
      <c r="D222" s="9"/>
      <c r="E222" s="8"/>
      <c r="F222" s="9"/>
      <c r="G222" s="9"/>
      <c r="H222" s="6"/>
      <c r="I222" s="9"/>
      <c r="J222" s="9" t="s">
        <v>145</v>
      </c>
    </row>
    <row r="223" spans="1:10">
      <c r="A223" s="5"/>
      <c r="B223" s="6"/>
      <c r="C223" s="7"/>
      <c r="D223" s="9"/>
      <c r="E223" s="8"/>
      <c r="F223" s="9"/>
      <c r="G223" s="9"/>
      <c r="H223" s="6"/>
      <c r="I223" s="9"/>
      <c r="J223" s="9" t="s">
        <v>145</v>
      </c>
    </row>
    <row r="224" spans="1:10">
      <c r="A224" s="5"/>
      <c r="B224" s="6"/>
      <c r="C224" s="7"/>
      <c r="D224" s="9"/>
      <c r="E224" s="4"/>
      <c r="F224" s="9"/>
      <c r="G224" s="9"/>
      <c r="H224" s="6"/>
      <c r="I224" s="9"/>
      <c r="J224" s="9" t="s">
        <v>145</v>
      </c>
    </row>
    <row r="225" spans="1:10">
      <c r="A225" s="5"/>
      <c r="B225" s="6"/>
      <c r="C225" s="7"/>
      <c r="D225" s="9"/>
      <c r="E225" s="8"/>
      <c r="F225" s="9"/>
      <c r="G225" s="9"/>
      <c r="H225" s="6"/>
      <c r="I225" s="9"/>
      <c r="J225" s="9" t="s">
        <v>145</v>
      </c>
    </row>
    <row r="226" spans="1:10">
      <c r="A226" s="5"/>
      <c r="B226" s="6"/>
      <c r="C226" s="7"/>
      <c r="D226" s="9"/>
      <c r="E226" s="8"/>
      <c r="F226" s="9"/>
      <c r="G226" s="9"/>
      <c r="H226" s="6"/>
      <c r="I226" s="9"/>
      <c r="J226" s="9" t="s">
        <v>145</v>
      </c>
    </row>
    <row r="227" spans="1:10">
      <c r="A227" s="5"/>
      <c r="B227" s="6"/>
      <c r="C227" s="7"/>
      <c r="D227" s="9"/>
      <c r="E227" s="8"/>
      <c r="F227" s="9"/>
      <c r="G227" s="9"/>
      <c r="H227" s="6"/>
      <c r="I227" s="9"/>
      <c r="J227" s="9" t="s">
        <v>145</v>
      </c>
    </row>
    <row r="228" spans="1:10">
      <c r="A228" s="5"/>
      <c r="B228" s="6"/>
      <c r="C228" s="7"/>
      <c r="D228" s="9"/>
      <c r="E228" s="4"/>
      <c r="F228" s="9"/>
      <c r="G228" s="9"/>
      <c r="H228" s="6"/>
      <c r="I228" s="9"/>
      <c r="J228" s="9" t="s">
        <v>145</v>
      </c>
    </row>
    <row r="229" spans="1:10">
      <c r="A229" s="5"/>
      <c r="B229" s="6"/>
      <c r="C229" s="7"/>
      <c r="D229" s="9"/>
      <c r="E229" s="8"/>
      <c r="F229" s="9"/>
      <c r="G229" s="9"/>
      <c r="H229" s="6"/>
      <c r="I229" s="9"/>
      <c r="J229" s="9" t="s">
        <v>145</v>
      </c>
    </row>
    <row r="230" spans="1:10">
      <c r="A230" s="5"/>
      <c r="B230" s="6"/>
      <c r="C230" s="7"/>
      <c r="D230" s="9"/>
      <c r="E230" s="4"/>
      <c r="F230" s="9"/>
      <c r="G230" s="9"/>
      <c r="H230" s="6"/>
      <c r="I230" s="9"/>
      <c r="J230" s="9" t="s">
        <v>145</v>
      </c>
    </row>
    <row r="231" spans="1:10">
      <c r="A231" s="5"/>
      <c r="B231" s="6"/>
      <c r="C231" s="7"/>
      <c r="D231" s="9"/>
      <c r="E231" s="8"/>
      <c r="F231" s="9"/>
      <c r="G231" s="9"/>
      <c r="H231" s="6"/>
      <c r="I231" s="9"/>
      <c r="J231" s="9" t="s">
        <v>145</v>
      </c>
    </row>
    <row r="232" spans="1:10">
      <c r="A232" s="5"/>
      <c r="B232" s="6"/>
      <c r="C232" s="7"/>
      <c r="D232" s="9"/>
      <c r="E232" s="4"/>
      <c r="F232" s="9"/>
      <c r="G232" s="9"/>
      <c r="H232" s="6"/>
      <c r="I232" s="9"/>
      <c r="J232" s="9" t="s">
        <v>145</v>
      </c>
    </row>
    <row r="233" spans="1:10">
      <c r="A233" s="5"/>
      <c r="B233" s="6"/>
      <c r="C233" s="7"/>
      <c r="D233" s="9"/>
      <c r="E233" s="8"/>
      <c r="F233" s="9"/>
      <c r="G233" s="9"/>
      <c r="H233" s="6"/>
      <c r="I233" s="9"/>
      <c r="J233" s="9" t="s">
        <v>145</v>
      </c>
    </row>
    <row r="234" spans="1:10">
      <c r="A234" s="5"/>
      <c r="B234" s="6"/>
      <c r="C234" s="7"/>
      <c r="D234" s="9"/>
      <c r="E234" s="8"/>
      <c r="F234" s="9"/>
      <c r="G234" s="9"/>
      <c r="H234" s="6"/>
      <c r="I234" s="9"/>
      <c r="J234" s="9" t="s">
        <v>145</v>
      </c>
    </row>
    <row r="235" spans="1:10">
      <c r="A235" s="5"/>
      <c r="B235" s="6"/>
      <c r="C235" s="7"/>
      <c r="D235" s="9"/>
      <c r="E235" s="8"/>
      <c r="F235" s="9"/>
      <c r="G235" s="9"/>
      <c r="H235" s="6"/>
      <c r="I235" s="9"/>
      <c r="J235" s="9" t="s">
        <v>145</v>
      </c>
    </row>
    <row r="236" spans="1:10">
      <c r="A236" s="5"/>
      <c r="B236" s="6"/>
      <c r="C236" s="7"/>
      <c r="D236" s="9"/>
      <c r="E236" s="4"/>
      <c r="F236" s="9"/>
      <c r="G236" s="9"/>
      <c r="H236" s="6"/>
      <c r="I236" s="9"/>
      <c r="J236" s="9" t="s">
        <v>145</v>
      </c>
    </row>
    <row r="237" spans="1:10">
      <c r="A237" s="5"/>
      <c r="B237" s="6"/>
      <c r="C237" s="7"/>
      <c r="D237" s="9"/>
      <c r="E237" s="8"/>
      <c r="F237" s="9"/>
      <c r="G237" s="9"/>
      <c r="H237" s="6"/>
      <c r="I237" s="9"/>
      <c r="J237" s="9" t="s">
        <v>145</v>
      </c>
    </row>
    <row r="238" spans="1:10">
      <c r="A238" s="5"/>
      <c r="B238" s="6"/>
      <c r="C238" s="7"/>
      <c r="D238" s="9"/>
      <c r="E238" s="8"/>
      <c r="F238" s="9"/>
      <c r="G238" s="9"/>
      <c r="H238" s="6"/>
      <c r="I238" s="9"/>
      <c r="J238" s="9" t="s">
        <v>145</v>
      </c>
    </row>
    <row r="239" spans="1:10">
      <c r="A239" s="5"/>
      <c r="B239" s="6"/>
      <c r="C239" s="7"/>
      <c r="D239" s="9"/>
      <c r="E239" s="8"/>
      <c r="F239" s="9"/>
      <c r="G239" s="9"/>
      <c r="H239" s="6"/>
      <c r="I239" s="9"/>
      <c r="J239" s="9" t="s">
        <v>145</v>
      </c>
    </row>
    <row r="240" spans="1:10">
      <c r="A240" s="5"/>
      <c r="B240" s="6"/>
      <c r="C240" s="7"/>
      <c r="D240" s="9"/>
      <c r="E240" s="8"/>
      <c r="F240" s="9"/>
      <c r="G240" s="9"/>
      <c r="H240" s="6"/>
      <c r="I240" s="9"/>
      <c r="J240" s="9" t="s">
        <v>145</v>
      </c>
    </row>
    <row r="241" spans="1:10">
      <c r="A241" s="5"/>
      <c r="B241" s="6"/>
      <c r="C241" s="7"/>
      <c r="D241" s="9"/>
      <c r="E241" s="4"/>
      <c r="F241" s="9"/>
      <c r="G241" s="9"/>
      <c r="H241" s="6"/>
      <c r="I241" s="9"/>
      <c r="J241" s="9" t="s">
        <v>145</v>
      </c>
    </row>
    <row r="242" spans="1:10">
      <c r="A242" s="5"/>
      <c r="B242" s="6"/>
      <c r="C242" s="7"/>
      <c r="D242" s="9"/>
      <c r="E242" s="4"/>
      <c r="F242" s="9"/>
      <c r="G242" s="9"/>
      <c r="H242" s="6"/>
      <c r="I242" s="9"/>
      <c r="J242" s="9" t="s">
        <v>145</v>
      </c>
    </row>
    <row r="243" spans="1:10">
      <c r="A243" s="5"/>
      <c r="B243" s="6"/>
      <c r="C243" s="7"/>
      <c r="D243" s="9"/>
      <c r="E243" s="8"/>
      <c r="F243" s="9"/>
      <c r="G243" s="9"/>
      <c r="H243" s="6"/>
      <c r="I243" s="9"/>
      <c r="J243" s="9" t="s">
        <v>145</v>
      </c>
    </row>
    <row r="244" spans="1:10">
      <c r="A244" s="5"/>
      <c r="B244" s="6"/>
      <c r="C244" s="7"/>
      <c r="D244" s="9"/>
      <c r="E244" s="8"/>
      <c r="F244" s="9"/>
      <c r="G244" s="9"/>
      <c r="H244" s="6"/>
      <c r="I244" s="9"/>
      <c r="J244" s="9" t="s">
        <v>145</v>
      </c>
    </row>
    <row r="245" spans="1:10">
      <c r="A245" s="5"/>
      <c r="B245" s="6"/>
      <c r="C245" s="7"/>
      <c r="D245" s="9"/>
      <c r="E245" s="4"/>
      <c r="F245" s="9"/>
      <c r="G245" s="9"/>
      <c r="H245" s="6"/>
      <c r="I245" s="9"/>
      <c r="J245" s="9" t="s">
        <v>145</v>
      </c>
    </row>
    <row r="246" spans="1:10">
      <c r="A246" s="5"/>
      <c r="B246" s="6"/>
      <c r="C246" s="7"/>
      <c r="D246" s="9"/>
      <c r="E246" s="8"/>
      <c r="F246" s="9"/>
      <c r="G246" s="9"/>
      <c r="H246" s="6"/>
      <c r="I246" s="9"/>
      <c r="J246" s="9" t="s">
        <v>145</v>
      </c>
    </row>
    <row r="247" spans="1:10">
      <c r="A247" s="5"/>
      <c r="B247" s="6"/>
      <c r="C247" s="7"/>
      <c r="D247" s="9"/>
      <c r="E247" s="8"/>
      <c r="F247" s="9"/>
      <c r="G247" s="9"/>
      <c r="H247" s="6"/>
      <c r="I247" s="9"/>
      <c r="J247" s="9" t="s">
        <v>145</v>
      </c>
    </row>
    <row r="248" spans="1:10">
      <c r="A248" s="5"/>
      <c r="B248" s="6"/>
      <c r="C248" s="7"/>
      <c r="D248" s="9"/>
      <c r="E248" s="8"/>
      <c r="F248" s="9"/>
      <c r="G248" s="9"/>
      <c r="H248" s="6"/>
      <c r="I248" s="9"/>
      <c r="J248" s="9" t="s">
        <v>145</v>
      </c>
    </row>
    <row r="249" spans="1:10">
      <c r="A249" s="5"/>
      <c r="B249" s="6"/>
      <c r="C249" s="7"/>
      <c r="D249" s="9"/>
      <c r="E249" s="8"/>
      <c r="F249" s="9"/>
      <c r="G249" s="9"/>
      <c r="H249" s="6"/>
      <c r="I249" s="9"/>
      <c r="J249" s="9" t="s">
        <v>145</v>
      </c>
    </row>
    <row r="250" spans="1:10">
      <c r="A250" s="5"/>
      <c r="B250" s="6"/>
      <c r="C250" s="7"/>
      <c r="D250" s="9"/>
      <c r="E250" s="4"/>
      <c r="F250" s="9"/>
      <c r="G250" s="9"/>
      <c r="H250" s="6"/>
      <c r="I250" s="9"/>
      <c r="J250" s="9" t="s">
        <v>145</v>
      </c>
    </row>
    <row r="251" spans="1:10">
      <c r="A251" s="5"/>
      <c r="B251" s="6"/>
      <c r="C251" s="7"/>
      <c r="D251" s="9"/>
      <c r="E251" s="8"/>
      <c r="F251" s="9"/>
      <c r="G251" s="9"/>
      <c r="H251" s="6"/>
      <c r="I251" s="9"/>
      <c r="J251" s="9" t="s">
        <v>145</v>
      </c>
    </row>
    <row r="252" spans="1:10">
      <c r="A252" s="5"/>
      <c r="B252" s="6"/>
      <c r="C252" s="7"/>
      <c r="D252" s="9"/>
      <c r="E252" s="8"/>
      <c r="F252" s="9"/>
      <c r="G252" s="9"/>
      <c r="H252" s="6"/>
      <c r="I252" s="9"/>
      <c r="J252" s="9" t="s">
        <v>145</v>
      </c>
    </row>
    <row r="253" spans="1:10">
      <c r="A253" s="5"/>
      <c r="B253" s="6"/>
      <c r="C253" s="7"/>
      <c r="D253" s="9"/>
      <c r="E253" s="8"/>
      <c r="F253" s="9"/>
      <c r="G253" s="9"/>
      <c r="H253" s="6"/>
      <c r="I253" s="9"/>
      <c r="J253" s="9" t="s">
        <v>145</v>
      </c>
    </row>
    <row r="254" spans="1:10">
      <c r="A254" s="5"/>
      <c r="B254" s="6"/>
      <c r="C254" s="7"/>
      <c r="D254" s="9"/>
      <c r="E254" s="8"/>
      <c r="F254" s="9"/>
      <c r="G254" s="9"/>
      <c r="H254" s="6"/>
      <c r="I254" s="9"/>
      <c r="J254" s="9" t="s">
        <v>145</v>
      </c>
    </row>
    <row r="255" spans="1:10">
      <c r="A255" s="5"/>
      <c r="B255" s="6"/>
      <c r="C255" s="7"/>
      <c r="D255" s="9"/>
      <c r="E255" s="8"/>
      <c r="F255" s="9"/>
      <c r="G255" s="9"/>
      <c r="H255" s="6"/>
      <c r="I255" s="9"/>
      <c r="J255" s="9" t="s">
        <v>145</v>
      </c>
    </row>
    <row r="256" spans="1:10">
      <c r="A256" s="5"/>
      <c r="B256" s="6"/>
      <c r="C256" s="7"/>
      <c r="D256" s="9"/>
      <c r="E256" s="8"/>
      <c r="F256" s="9"/>
      <c r="G256" s="9"/>
      <c r="H256" s="6"/>
      <c r="I256" s="9"/>
      <c r="J256" s="9" t="s">
        <v>145</v>
      </c>
    </row>
    <row r="257" spans="1:10">
      <c r="A257" s="5"/>
      <c r="B257" s="6"/>
      <c r="C257" s="7"/>
      <c r="D257" s="9"/>
      <c r="E257" s="8"/>
      <c r="F257" s="9"/>
      <c r="G257" s="9"/>
      <c r="H257" s="6"/>
      <c r="I257" s="9"/>
      <c r="J257" s="9" t="s">
        <v>145</v>
      </c>
    </row>
    <row r="258" spans="1:10">
      <c r="A258" s="5"/>
      <c r="B258" s="6"/>
      <c r="C258" s="7"/>
      <c r="D258" s="9"/>
      <c r="E258" s="8"/>
      <c r="F258" s="9"/>
      <c r="G258" s="9"/>
      <c r="H258" s="6"/>
      <c r="I258" s="9"/>
      <c r="J258" s="9" t="s">
        <v>145</v>
      </c>
    </row>
    <row r="259" spans="1:10">
      <c r="A259" s="5"/>
      <c r="B259" s="6"/>
      <c r="C259" s="7"/>
      <c r="D259" s="9"/>
      <c r="E259" s="8"/>
      <c r="F259" s="9"/>
      <c r="G259" s="9"/>
      <c r="H259" s="6"/>
      <c r="I259" s="9"/>
      <c r="J259" s="9" t="s">
        <v>145</v>
      </c>
    </row>
    <row r="260" spans="1:10">
      <c r="A260" s="5"/>
      <c r="B260" s="6"/>
      <c r="C260" s="7"/>
      <c r="D260" s="9"/>
      <c r="E260" s="8"/>
      <c r="F260" s="9"/>
      <c r="G260" s="9"/>
      <c r="H260" s="6"/>
      <c r="I260" s="9"/>
      <c r="J260" s="9" t="s">
        <v>145</v>
      </c>
    </row>
    <row r="261" spans="1:10">
      <c r="A261" s="5"/>
      <c r="B261" s="6"/>
      <c r="C261" s="7"/>
      <c r="D261" s="9"/>
      <c r="E261" s="8"/>
      <c r="F261" s="9"/>
      <c r="G261" s="9"/>
      <c r="H261" s="6"/>
      <c r="I261" s="9"/>
      <c r="J261" s="9" t="s">
        <v>145</v>
      </c>
    </row>
    <row r="262" spans="1:10">
      <c r="A262" s="5"/>
      <c r="B262" s="6"/>
      <c r="C262" s="7"/>
      <c r="D262" s="9"/>
      <c r="E262" s="8"/>
      <c r="F262" s="9"/>
      <c r="G262" s="9"/>
      <c r="H262" s="6"/>
      <c r="I262" s="9"/>
      <c r="J262" s="9" t="s">
        <v>145</v>
      </c>
    </row>
    <row r="263" spans="1:10">
      <c r="A263" s="5"/>
      <c r="B263" s="6"/>
      <c r="C263" s="7"/>
      <c r="D263" s="9"/>
      <c r="E263" s="8"/>
      <c r="F263" s="9"/>
      <c r="G263" s="9"/>
      <c r="H263" s="6"/>
      <c r="I263" s="9"/>
      <c r="J263" s="9" t="s">
        <v>145</v>
      </c>
    </row>
    <row r="264" spans="1:10">
      <c r="A264" s="5"/>
      <c r="B264" s="6"/>
      <c r="C264" s="7"/>
      <c r="D264" s="9"/>
      <c r="E264" s="8"/>
      <c r="F264" s="9"/>
      <c r="G264" s="9"/>
      <c r="H264" s="6"/>
      <c r="I264" s="9"/>
      <c r="J264" s="9" t="s">
        <v>145</v>
      </c>
    </row>
    <row r="265" spans="1:10">
      <c r="A265" s="5"/>
      <c r="B265" s="6"/>
      <c r="C265" s="7"/>
      <c r="D265" s="9"/>
      <c r="E265" s="8"/>
      <c r="F265" s="9"/>
      <c r="G265" s="9"/>
      <c r="H265" s="6"/>
      <c r="I265" s="9"/>
      <c r="J265" s="9" t="s">
        <v>145</v>
      </c>
    </row>
    <row r="266" spans="1:10">
      <c r="A266" s="5"/>
      <c r="B266" s="6"/>
      <c r="C266" s="7"/>
      <c r="D266" s="9"/>
      <c r="E266" s="8"/>
      <c r="F266" s="9"/>
      <c r="G266" s="9"/>
      <c r="H266" s="6"/>
      <c r="I266" s="9"/>
      <c r="J266" s="9" t="s">
        <v>145</v>
      </c>
    </row>
    <row r="267" spans="1:10">
      <c r="A267" s="5"/>
      <c r="B267" s="6"/>
      <c r="C267" s="7"/>
      <c r="D267" s="9"/>
      <c r="E267" s="4"/>
      <c r="F267" s="9"/>
      <c r="G267" s="9"/>
      <c r="H267" s="6"/>
      <c r="I267" s="9"/>
      <c r="J267" s="9" t="s">
        <v>145</v>
      </c>
    </row>
    <row r="268" spans="1:10">
      <c r="A268" s="5"/>
      <c r="B268" s="6"/>
      <c r="C268" s="7"/>
      <c r="D268" s="9"/>
      <c r="E268" s="8"/>
      <c r="F268" s="9"/>
      <c r="G268" s="9"/>
      <c r="H268" s="6"/>
      <c r="I268" s="9"/>
      <c r="J268" s="9" t="s">
        <v>145</v>
      </c>
    </row>
    <row r="269" spans="1:10">
      <c r="A269" s="5"/>
      <c r="B269" s="6"/>
      <c r="C269" s="7"/>
      <c r="D269" s="9"/>
      <c r="E269" s="8"/>
      <c r="F269" s="9"/>
      <c r="G269" s="9"/>
      <c r="H269" s="6"/>
      <c r="I269" s="9"/>
      <c r="J269" s="9" t="s">
        <v>145</v>
      </c>
    </row>
    <row r="270" spans="1:10">
      <c r="A270" s="5"/>
      <c r="B270" s="6"/>
      <c r="C270" s="7"/>
      <c r="D270" s="9"/>
      <c r="E270" s="8"/>
      <c r="F270" s="9"/>
      <c r="G270" s="9"/>
      <c r="H270" s="6"/>
      <c r="I270" s="9"/>
      <c r="J270" s="9" t="s">
        <v>145</v>
      </c>
    </row>
    <row r="271" spans="1:10">
      <c r="A271" s="5"/>
      <c r="B271" s="6"/>
      <c r="C271" s="7"/>
      <c r="D271" s="9"/>
      <c r="E271" s="8"/>
      <c r="F271" s="9"/>
      <c r="G271" s="9"/>
      <c r="H271" s="6"/>
      <c r="I271" s="9"/>
      <c r="J271" s="9" t="s">
        <v>145</v>
      </c>
    </row>
    <row r="272" spans="1:10">
      <c r="A272" s="5"/>
      <c r="B272" s="6"/>
      <c r="C272" s="7"/>
      <c r="D272" s="9"/>
      <c r="E272" s="8"/>
      <c r="F272" s="9"/>
      <c r="G272" s="9"/>
      <c r="H272" s="6"/>
      <c r="I272" s="9"/>
      <c r="J272" s="9" t="s">
        <v>145</v>
      </c>
    </row>
    <row r="273" spans="1:10">
      <c r="A273" s="5"/>
      <c r="B273" s="6"/>
      <c r="C273" s="7"/>
      <c r="D273" s="9"/>
      <c r="E273" s="8"/>
      <c r="F273" s="9"/>
      <c r="G273" s="9"/>
      <c r="H273" s="6"/>
      <c r="I273" s="9"/>
      <c r="J273" s="9" t="s">
        <v>145</v>
      </c>
    </row>
    <row r="274" spans="1:10">
      <c r="A274" s="5"/>
      <c r="B274" s="6"/>
      <c r="C274" s="7"/>
      <c r="D274" s="9"/>
      <c r="E274" s="8"/>
      <c r="F274" s="9"/>
      <c r="G274" s="9"/>
      <c r="H274" s="6"/>
      <c r="I274" s="9"/>
      <c r="J274" s="9" t="s">
        <v>145</v>
      </c>
    </row>
    <row r="275" spans="1:10">
      <c r="A275" s="5"/>
      <c r="B275" s="6"/>
      <c r="C275" s="7"/>
      <c r="D275" s="9"/>
      <c r="E275" s="8"/>
      <c r="F275" s="9"/>
      <c r="G275" s="9"/>
      <c r="H275" s="6"/>
      <c r="I275" s="9"/>
      <c r="J275" s="9" t="s">
        <v>145</v>
      </c>
    </row>
    <row r="276" spans="1:10">
      <c r="A276" s="5"/>
      <c r="B276" s="6"/>
      <c r="C276" s="7"/>
      <c r="D276" s="9"/>
      <c r="E276" s="8"/>
      <c r="F276" s="9"/>
      <c r="G276" s="9"/>
      <c r="H276" s="6"/>
      <c r="I276" s="9"/>
      <c r="J276" s="9" t="s">
        <v>145</v>
      </c>
    </row>
    <row r="277" spans="1:10">
      <c r="A277" s="5"/>
      <c r="B277" s="6"/>
      <c r="C277" s="7"/>
      <c r="D277" s="9"/>
      <c r="E277" s="8"/>
      <c r="F277" s="9"/>
      <c r="G277" s="9"/>
      <c r="H277" s="6"/>
      <c r="I277" s="9"/>
      <c r="J277" s="9" t="s">
        <v>145</v>
      </c>
    </row>
    <row r="278" spans="1:10">
      <c r="A278" s="5"/>
      <c r="B278" s="6"/>
      <c r="C278" s="7"/>
      <c r="D278" s="9"/>
      <c r="E278" s="8"/>
      <c r="F278" s="9"/>
      <c r="G278" s="9"/>
      <c r="H278" s="6"/>
      <c r="I278" s="9"/>
      <c r="J278" s="9" t="s">
        <v>145</v>
      </c>
    </row>
    <row r="279" spans="1:10">
      <c r="A279" s="5"/>
      <c r="B279" s="6"/>
      <c r="C279" s="7"/>
      <c r="D279" s="9"/>
      <c r="E279" s="8"/>
      <c r="F279" s="9"/>
      <c r="G279" s="9"/>
      <c r="H279" s="6"/>
      <c r="I279" s="9"/>
      <c r="J279" s="9" t="s">
        <v>145</v>
      </c>
    </row>
    <row r="280" spans="1:10">
      <c r="A280" s="5"/>
      <c r="B280" s="6"/>
      <c r="C280" s="7"/>
      <c r="D280" s="9"/>
      <c r="E280" s="8"/>
      <c r="F280" s="9"/>
      <c r="G280" s="9"/>
      <c r="H280" s="6"/>
      <c r="I280" s="9"/>
      <c r="J280" s="9" t="s">
        <v>145</v>
      </c>
    </row>
    <row r="281" spans="1:10">
      <c r="A281" s="5"/>
      <c r="B281" s="6"/>
      <c r="C281" s="7"/>
      <c r="D281" s="9"/>
      <c r="E281" s="8"/>
      <c r="F281" s="9"/>
      <c r="G281" s="9"/>
      <c r="H281" s="6"/>
      <c r="I281" s="9"/>
      <c r="J281" s="9" t="s">
        <v>145</v>
      </c>
    </row>
    <row r="282" spans="1:10">
      <c r="A282" s="5"/>
      <c r="B282" s="6"/>
      <c r="C282" s="7"/>
      <c r="D282" s="9"/>
      <c r="E282" s="8"/>
      <c r="F282" s="9"/>
      <c r="G282" s="9"/>
      <c r="H282" s="6"/>
      <c r="I282" s="9"/>
      <c r="J282" s="9" t="s">
        <v>145</v>
      </c>
    </row>
    <row r="283" spans="1:10">
      <c r="A283" s="5"/>
      <c r="B283" s="6"/>
      <c r="C283" s="7"/>
      <c r="D283" s="9"/>
      <c r="E283" s="8"/>
      <c r="F283" s="9"/>
      <c r="G283" s="9"/>
      <c r="H283" s="6"/>
      <c r="I283" s="9"/>
      <c r="J283" s="9" t="s">
        <v>145</v>
      </c>
    </row>
    <row r="284" spans="1:10">
      <c r="A284" s="5"/>
      <c r="B284" s="6"/>
      <c r="C284" s="7"/>
      <c r="D284" s="9"/>
      <c r="E284" s="8"/>
      <c r="F284" s="9"/>
      <c r="G284" s="9"/>
      <c r="H284" s="6"/>
      <c r="I284" s="9"/>
      <c r="J284" s="9" t="s">
        <v>145</v>
      </c>
    </row>
    <row r="285" spans="1:10">
      <c r="A285" s="5"/>
      <c r="B285" s="6"/>
      <c r="C285" s="7"/>
      <c r="D285" s="9"/>
      <c r="E285" s="4"/>
      <c r="F285" s="9"/>
      <c r="G285" s="9"/>
      <c r="H285" s="6"/>
      <c r="I285" s="9"/>
      <c r="J285" s="9" t="s">
        <v>145</v>
      </c>
    </row>
    <row r="286" spans="1:10">
      <c r="A286" s="5"/>
      <c r="B286" s="6"/>
      <c r="C286" s="7"/>
      <c r="D286" s="9"/>
      <c r="E286" s="4"/>
      <c r="F286" s="9"/>
      <c r="G286" s="9"/>
      <c r="H286" s="6"/>
      <c r="I286" s="9"/>
      <c r="J286" s="9" t="s">
        <v>145</v>
      </c>
    </row>
    <row r="287" spans="1:10">
      <c r="A287" s="5"/>
      <c r="B287" s="6"/>
      <c r="C287" s="7"/>
      <c r="D287" s="9"/>
      <c r="E287" s="8"/>
      <c r="F287" s="9"/>
      <c r="G287" s="9"/>
      <c r="H287" s="6"/>
      <c r="I287" s="9"/>
      <c r="J287" s="9" t="s">
        <v>145</v>
      </c>
    </row>
    <row r="288" spans="1:10">
      <c r="A288" s="5"/>
      <c r="B288" s="6"/>
      <c r="C288" s="7"/>
      <c r="D288" s="9"/>
      <c r="E288" s="8"/>
      <c r="F288" s="9"/>
      <c r="G288" s="9"/>
      <c r="H288" s="6"/>
      <c r="I288" s="9"/>
      <c r="J288" s="9" t="s">
        <v>145</v>
      </c>
    </row>
    <row r="289" spans="1:10">
      <c r="A289" s="5"/>
      <c r="B289" s="6"/>
      <c r="C289" s="7"/>
      <c r="D289" s="9"/>
      <c r="E289" s="8"/>
      <c r="F289" s="9"/>
      <c r="G289" s="9"/>
      <c r="H289" s="6"/>
      <c r="I289" s="9"/>
      <c r="J289" s="9" t="s">
        <v>145</v>
      </c>
    </row>
    <row r="290" spans="1:10">
      <c r="A290" s="5"/>
      <c r="B290" s="6"/>
      <c r="C290" s="7"/>
      <c r="D290" s="9"/>
      <c r="E290" s="8"/>
      <c r="F290" s="9"/>
      <c r="G290" s="9"/>
      <c r="H290" s="6"/>
      <c r="I290" s="9"/>
      <c r="J290" s="9" t="s">
        <v>145</v>
      </c>
    </row>
    <row r="291" spans="1:10">
      <c r="A291" s="5"/>
      <c r="B291" s="6"/>
      <c r="C291" s="7"/>
      <c r="D291" s="9"/>
      <c r="E291" s="4"/>
      <c r="F291" s="9"/>
      <c r="G291" s="9"/>
      <c r="H291" s="6"/>
      <c r="I291" s="9"/>
      <c r="J291" s="9" t="s">
        <v>145</v>
      </c>
    </row>
    <row r="292" spans="1:10">
      <c r="A292" s="5"/>
      <c r="B292" s="6"/>
      <c r="C292" s="7"/>
      <c r="D292" s="9"/>
      <c r="E292" s="8"/>
      <c r="F292" s="9"/>
      <c r="G292" s="9"/>
      <c r="H292" s="6"/>
      <c r="I292" s="9"/>
      <c r="J292" s="9" t="s">
        <v>145</v>
      </c>
    </row>
    <row r="293" spans="1:10">
      <c r="A293" s="5"/>
      <c r="B293" s="6"/>
      <c r="C293" s="7"/>
      <c r="D293" s="9"/>
      <c r="E293" s="8"/>
      <c r="F293" s="9"/>
      <c r="G293" s="9"/>
      <c r="H293" s="6"/>
      <c r="I293" s="9"/>
      <c r="J293" s="9" t="s">
        <v>145</v>
      </c>
    </row>
    <row r="294" spans="1:10">
      <c r="A294" s="5"/>
      <c r="B294" s="6"/>
      <c r="C294" s="7"/>
      <c r="D294" s="9"/>
      <c r="E294" s="4"/>
      <c r="F294" s="9"/>
      <c r="G294" s="9"/>
      <c r="H294" s="6"/>
      <c r="I294" s="9"/>
      <c r="J294" s="9" t="s">
        <v>145</v>
      </c>
    </row>
    <row r="295" spans="1:10">
      <c r="A295" s="5"/>
      <c r="B295" s="6"/>
      <c r="C295" s="7"/>
      <c r="D295" s="9"/>
      <c r="E295" s="8"/>
      <c r="F295" s="9"/>
      <c r="G295" s="9"/>
      <c r="H295" s="6"/>
      <c r="I295" s="9"/>
      <c r="J295" s="9" t="s">
        <v>145</v>
      </c>
    </row>
    <row r="296" spans="1:10">
      <c r="A296" s="5"/>
      <c r="B296" s="6"/>
      <c r="C296" s="7"/>
      <c r="D296" s="9"/>
      <c r="E296" s="8"/>
      <c r="F296" s="9"/>
      <c r="G296" s="9"/>
      <c r="H296" s="6"/>
      <c r="I296" s="9"/>
      <c r="J296" s="9" t="s">
        <v>145</v>
      </c>
    </row>
    <row r="297" spans="1:10">
      <c r="A297" s="5"/>
      <c r="B297" s="6"/>
      <c r="C297" s="7"/>
      <c r="D297" s="9"/>
      <c r="E297" s="8"/>
      <c r="F297" s="9"/>
      <c r="G297" s="9"/>
      <c r="H297" s="6"/>
      <c r="I297" s="9"/>
      <c r="J297" s="9" t="s">
        <v>145</v>
      </c>
    </row>
    <row r="298" spans="1:10">
      <c r="A298" s="5"/>
      <c r="B298" s="6"/>
      <c r="C298" s="7"/>
      <c r="D298" s="9"/>
      <c r="E298" s="8"/>
      <c r="F298" s="9"/>
      <c r="G298" s="9"/>
      <c r="H298" s="6"/>
      <c r="I298" s="9"/>
      <c r="J298" s="9" t="s">
        <v>145</v>
      </c>
    </row>
    <row r="299" spans="1:10">
      <c r="A299" s="5"/>
      <c r="B299" s="6"/>
      <c r="C299" s="7"/>
      <c r="D299" s="9"/>
      <c r="E299" s="8"/>
      <c r="F299" s="9"/>
      <c r="G299" s="9"/>
      <c r="H299" s="6"/>
      <c r="I299" s="9"/>
      <c r="J299" s="9" t="s">
        <v>145</v>
      </c>
    </row>
    <row r="300" spans="1:10">
      <c r="A300" s="5"/>
      <c r="B300" s="6"/>
      <c r="C300" s="7"/>
      <c r="D300" s="9"/>
      <c r="E300" s="8"/>
      <c r="F300" s="9"/>
      <c r="G300" s="9"/>
      <c r="H300" s="6"/>
      <c r="I300" s="9"/>
      <c r="J300" s="9" t="s">
        <v>145</v>
      </c>
    </row>
    <row r="301" spans="1:10">
      <c r="A301" s="5"/>
      <c r="B301" s="6"/>
      <c r="C301" s="7"/>
      <c r="D301" s="9"/>
      <c r="E301" s="8"/>
      <c r="F301" s="9"/>
      <c r="G301" s="9"/>
      <c r="H301" s="6"/>
      <c r="I301" s="9"/>
      <c r="J301" s="9" t="s">
        <v>145</v>
      </c>
    </row>
    <row r="302" spans="1:10">
      <c r="A302" s="5"/>
      <c r="B302" s="6"/>
      <c r="C302" s="7"/>
      <c r="D302" s="9"/>
      <c r="E302" s="8"/>
      <c r="F302" s="9"/>
      <c r="G302" s="9"/>
      <c r="H302" s="6"/>
      <c r="I302" s="9"/>
      <c r="J302" s="9" t="s">
        <v>145</v>
      </c>
    </row>
    <row r="303" spans="1:10">
      <c r="A303" s="5"/>
      <c r="B303" s="6"/>
      <c r="C303" s="7"/>
      <c r="D303" s="9"/>
      <c r="E303" s="8"/>
      <c r="F303" s="9"/>
      <c r="G303" s="9"/>
      <c r="H303" s="6"/>
      <c r="I303" s="9"/>
      <c r="J303" s="9" t="s">
        <v>145</v>
      </c>
    </row>
    <row r="304" spans="1:10">
      <c r="A304" s="5"/>
      <c r="B304" s="6"/>
      <c r="C304" s="7"/>
      <c r="D304" s="9"/>
      <c r="E304" s="4"/>
      <c r="F304" s="9"/>
      <c r="G304" s="9"/>
      <c r="H304" s="6"/>
      <c r="I304" s="9"/>
      <c r="J304" s="9" t="s">
        <v>145</v>
      </c>
    </row>
    <row r="305" spans="1:10">
      <c r="A305" s="5"/>
      <c r="B305" s="6"/>
      <c r="C305" s="7"/>
      <c r="D305" s="9"/>
      <c r="E305" s="8"/>
      <c r="F305" s="9"/>
      <c r="G305" s="9"/>
      <c r="H305" s="6"/>
      <c r="I305" s="9"/>
      <c r="J305" s="9" t="s">
        <v>145</v>
      </c>
    </row>
    <row r="306" spans="1:10">
      <c r="A306" s="5"/>
      <c r="B306" s="6"/>
      <c r="C306" s="7"/>
      <c r="D306" s="9"/>
      <c r="E306" s="4"/>
      <c r="F306" s="9"/>
      <c r="G306" s="9"/>
      <c r="H306" s="6"/>
      <c r="I306" s="9"/>
      <c r="J306" s="9" t="s">
        <v>145</v>
      </c>
    </row>
    <row r="307" spans="1:10">
      <c r="A307" s="5"/>
      <c r="B307" s="6"/>
      <c r="C307" s="7"/>
      <c r="D307" s="9"/>
      <c r="E307" s="8"/>
      <c r="F307" s="9"/>
      <c r="G307" s="9"/>
      <c r="H307" s="6"/>
      <c r="I307" s="9"/>
      <c r="J307" s="9" t="s">
        <v>145</v>
      </c>
    </row>
    <row r="308" spans="1:10">
      <c r="A308" s="5"/>
      <c r="B308" s="6"/>
      <c r="C308" s="7"/>
      <c r="D308" s="9"/>
      <c r="E308" s="8"/>
      <c r="F308" s="9"/>
      <c r="G308" s="9"/>
      <c r="H308" s="6"/>
      <c r="I308" s="9"/>
      <c r="J308" s="9" t="s">
        <v>145</v>
      </c>
    </row>
    <row r="309" spans="1:10">
      <c r="A309" s="5"/>
      <c r="B309" s="6"/>
      <c r="C309" s="7"/>
      <c r="D309" s="9"/>
      <c r="E309" s="8"/>
      <c r="F309" s="9"/>
      <c r="G309" s="9"/>
      <c r="H309" s="6"/>
      <c r="I309" s="9"/>
      <c r="J309" s="9" t="s">
        <v>145</v>
      </c>
    </row>
    <row r="310" spans="1:10">
      <c r="A310" s="5"/>
      <c r="B310" s="6"/>
      <c r="C310" s="7"/>
      <c r="D310" s="9"/>
      <c r="E310" s="8"/>
      <c r="F310" s="9"/>
      <c r="G310" s="9"/>
      <c r="H310" s="6"/>
      <c r="I310" s="9"/>
      <c r="J310" s="9" t="s">
        <v>145</v>
      </c>
    </row>
    <row r="311" spans="1:10">
      <c r="A311" s="5"/>
      <c r="B311" s="6"/>
      <c r="C311" s="7"/>
      <c r="D311" s="9"/>
      <c r="E311" s="8"/>
      <c r="F311" s="9"/>
      <c r="G311" s="9"/>
      <c r="H311" s="6"/>
      <c r="I311" s="9"/>
      <c r="J311" s="9" t="s">
        <v>145</v>
      </c>
    </row>
    <row r="312" spans="1:10">
      <c r="A312" s="5"/>
      <c r="B312" s="6"/>
      <c r="C312" s="7"/>
      <c r="D312" s="9"/>
      <c r="E312" s="8"/>
      <c r="F312" s="9"/>
      <c r="G312" s="9"/>
      <c r="H312" s="6"/>
      <c r="I312" s="9"/>
      <c r="J312" s="9" t="s">
        <v>145</v>
      </c>
    </row>
    <row r="313" spans="1:10">
      <c r="A313" s="5"/>
      <c r="B313" s="6"/>
      <c r="C313" s="7"/>
      <c r="D313" s="9"/>
      <c r="E313" s="8"/>
      <c r="F313" s="9"/>
      <c r="G313" s="9"/>
      <c r="H313" s="6"/>
      <c r="I313" s="9"/>
      <c r="J313" s="9" t="s">
        <v>145</v>
      </c>
    </row>
    <row r="314" spans="1:10">
      <c r="A314" s="5"/>
      <c r="B314" s="6"/>
      <c r="C314" s="7"/>
      <c r="D314" s="9"/>
      <c r="E314" s="8"/>
      <c r="F314" s="9"/>
      <c r="G314" s="9"/>
      <c r="H314" s="6"/>
      <c r="I314" s="9"/>
      <c r="J314" s="9" t="s">
        <v>145</v>
      </c>
    </row>
    <row r="315" spans="1:10">
      <c r="A315" s="5"/>
      <c r="B315" s="6"/>
      <c r="C315" s="7"/>
      <c r="D315" s="9"/>
      <c r="E315" s="8"/>
      <c r="F315" s="9"/>
      <c r="G315" s="9"/>
      <c r="H315" s="6"/>
      <c r="I315" s="9"/>
      <c r="J315" s="9" t="s">
        <v>145</v>
      </c>
    </row>
    <row r="316" spans="1:10">
      <c r="A316" s="5"/>
      <c r="B316" s="6"/>
      <c r="C316" s="7"/>
      <c r="D316" s="9"/>
      <c r="E316" s="4"/>
      <c r="F316" s="9"/>
      <c r="G316" s="9"/>
      <c r="H316" s="6"/>
      <c r="I316" s="9"/>
      <c r="J316" s="9" t="s">
        <v>145</v>
      </c>
    </row>
    <row r="317" spans="1:10">
      <c r="A317" s="5"/>
      <c r="B317" s="6"/>
      <c r="C317" s="7"/>
      <c r="D317" s="9"/>
      <c r="E317" s="8"/>
      <c r="F317" s="9"/>
      <c r="G317" s="9"/>
      <c r="H317" s="6"/>
      <c r="I317" s="9"/>
      <c r="J317" s="9" t="s">
        <v>145</v>
      </c>
    </row>
    <row r="318" spans="1:10">
      <c r="A318" s="5"/>
      <c r="B318" s="6"/>
      <c r="C318" s="7"/>
      <c r="D318" s="9"/>
      <c r="E318" s="8"/>
      <c r="F318" s="9"/>
      <c r="G318" s="9"/>
      <c r="H318" s="6"/>
      <c r="I318" s="9"/>
      <c r="J318" s="9" t="s">
        <v>145</v>
      </c>
    </row>
    <row r="319" spans="1:10">
      <c r="A319" s="5"/>
      <c r="B319" s="6"/>
      <c r="C319" s="7"/>
      <c r="D319" s="9"/>
      <c r="E319" s="8"/>
      <c r="F319" s="9"/>
      <c r="G319" s="9"/>
      <c r="H319" s="6"/>
      <c r="I319" s="9"/>
      <c r="J319" s="9" t="s">
        <v>145</v>
      </c>
    </row>
    <row r="320" spans="1:10">
      <c r="A320" s="5"/>
      <c r="B320" s="6"/>
      <c r="C320" s="7"/>
      <c r="D320" s="9"/>
      <c r="E320" s="8"/>
      <c r="F320" s="9"/>
      <c r="G320" s="9"/>
      <c r="H320" s="6"/>
      <c r="I320" s="9"/>
      <c r="J320" s="9" t="s">
        <v>145</v>
      </c>
    </row>
    <row r="321" spans="1:10">
      <c r="A321" s="5"/>
      <c r="B321" s="6"/>
      <c r="C321" s="7"/>
      <c r="D321" s="9"/>
      <c r="E321" s="8"/>
      <c r="F321" s="9"/>
      <c r="G321" s="9"/>
      <c r="H321" s="6"/>
      <c r="I321" s="9"/>
      <c r="J321" s="9" t="s">
        <v>145</v>
      </c>
    </row>
    <row r="322" spans="1:10">
      <c r="A322" s="5"/>
      <c r="B322" s="6"/>
      <c r="C322" s="7"/>
      <c r="D322" s="9"/>
      <c r="E322" s="4"/>
      <c r="F322" s="9"/>
      <c r="G322" s="9"/>
      <c r="H322" s="6"/>
      <c r="I322" s="9"/>
      <c r="J322" s="9" t="s">
        <v>145</v>
      </c>
    </row>
    <row r="323" spans="1:10">
      <c r="A323" s="5"/>
      <c r="B323" s="6"/>
      <c r="C323" s="7"/>
      <c r="D323" s="9"/>
      <c r="E323" s="8"/>
      <c r="F323" s="9"/>
      <c r="G323" s="9"/>
      <c r="H323" s="6"/>
      <c r="I323" s="9"/>
      <c r="J323" s="9" t="s">
        <v>145</v>
      </c>
    </row>
    <row r="324" spans="1:10">
      <c r="A324" s="5"/>
      <c r="B324" s="6"/>
      <c r="C324" s="7"/>
      <c r="D324" s="9"/>
      <c r="E324" s="8"/>
      <c r="F324" s="9"/>
      <c r="G324" s="9"/>
      <c r="H324" s="6"/>
      <c r="I324" s="9"/>
      <c r="J324" s="9" t="s">
        <v>145</v>
      </c>
    </row>
    <row r="325" spans="1:10">
      <c r="A325" s="5"/>
      <c r="B325" s="6"/>
      <c r="C325" s="7"/>
      <c r="D325" s="9"/>
      <c r="E325" s="8"/>
      <c r="F325" s="9"/>
      <c r="G325" s="9"/>
      <c r="H325" s="6"/>
      <c r="I325" s="9"/>
      <c r="J325" s="9" t="s">
        <v>145</v>
      </c>
    </row>
    <row r="326" spans="1:10">
      <c r="A326" s="5"/>
      <c r="B326" s="6"/>
      <c r="C326" s="7"/>
      <c r="D326" s="9"/>
      <c r="E326" s="4"/>
      <c r="F326" s="9"/>
      <c r="G326" s="9"/>
      <c r="H326" s="6"/>
      <c r="I326" s="9"/>
      <c r="J326" s="9" t="s">
        <v>145</v>
      </c>
    </row>
    <row r="327" spans="1:10">
      <c r="A327" s="5"/>
      <c r="B327" s="6"/>
      <c r="C327" s="7"/>
      <c r="D327" s="9"/>
      <c r="E327" s="8"/>
      <c r="F327" s="9"/>
      <c r="G327" s="9"/>
      <c r="H327" s="6"/>
      <c r="I327" s="9"/>
      <c r="J327" s="9" t="s">
        <v>145</v>
      </c>
    </row>
    <row r="328" spans="1:10">
      <c r="A328" s="5"/>
      <c r="B328" s="6"/>
      <c r="C328" s="7"/>
      <c r="D328" s="9"/>
      <c r="E328" s="8"/>
      <c r="F328" s="9"/>
      <c r="G328" s="9"/>
      <c r="H328" s="6"/>
      <c r="I328" s="9"/>
      <c r="J328" s="9" t="s">
        <v>145</v>
      </c>
    </row>
    <row r="329" spans="1:10">
      <c r="A329" s="5"/>
      <c r="B329" s="6"/>
      <c r="C329" s="7"/>
      <c r="D329" s="9"/>
      <c r="E329" s="8"/>
      <c r="F329" s="9"/>
      <c r="G329" s="9"/>
      <c r="H329" s="6"/>
      <c r="I329" s="9"/>
      <c r="J329" s="9" t="s">
        <v>145</v>
      </c>
    </row>
    <row r="330" spans="1:10">
      <c r="A330" s="5"/>
      <c r="B330" s="6"/>
      <c r="C330" s="7"/>
      <c r="D330" s="9"/>
      <c r="E330" s="8"/>
      <c r="F330" s="9"/>
      <c r="G330" s="9"/>
      <c r="H330" s="6"/>
      <c r="I330" s="9"/>
      <c r="J330" s="9" t="s">
        <v>145</v>
      </c>
    </row>
    <row r="331" spans="1:10">
      <c r="A331" s="5"/>
      <c r="B331" s="6"/>
      <c r="C331" s="7"/>
      <c r="D331" s="9"/>
      <c r="E331" s="8"/>
      <c r="F331" s="9"/>
      <c r="G331" s="9"/>
      <c r="H331" s="6"/>
      <c r="I331" s="9"/>
      <c r="J331" s="9" t="s">
        <v>145</v>
      </c>
    </row>
    <row r="332" spans="1:10">
      <c r="A332" s="5"/>
      <c r="B332" s="6"/>
      <c r="C332" s="7"/>
      <c r="D332" s="9"/>
      <c r="E332" s="8"/>
      <c r="F332" s="9"/>
      <c r="G332" s="9"/>
      <c r="H332" s="6"/>
      <c r="I332" s="9"/>
      <c r="J332" s="9" t="s">
        <v>145</v>
      </c>
    </row>
    <row r="333" spans="1:10">
      <c r="A333" s="5"/>
      <c r="B333" s="6"/>
      <c r="C333" s="7"/>
      <c r="D333" s="9"/>
      <c r="E333" s="8"/>
      <c r="F333" s="9"/>
      <c r="G333" s="9"/>
      <c r="H333" s="6"/>
      <c r="I333" s="9"/>
      <c r="J333" s="9" t="s">
        <v>145</v>
      </c>
    </row>
    <row r="334" spans="1:10">
      <c r="A334" s="5"/>
      <c r="B334" s="6"/>
      <c r="C334" s="7"/>
      <c r="D334" s="9"/>
      <c r="E334" s="8"/>
      <c r="F334" s="9"/>
      <c r="G334" s="9"/>
      <c r="H334" s="6"/>
      <c r="I334" s="9"/>
      <c r="J334" s="9" t="s">
        <v>145</v>
      </c>
    </row>
    <row r="335" spans="1:10">
      <c r="A335" s="5"/>
      <c r="B335" s="6"/>
      <c r="C335" s="7"/>
      <c r="D335" s="9"/>
      <c r="E335" s="8"/>
      <c r="F335" s="9"/>
      <c r="G335" s="9"/>
      <c r="H335" s="6"/>
      <c r="I335" s="9"/>
      <c r="J335" s="9" t="s">
        <v>145</v>
      </c>
    </row>
    <row r="336" spans="1:10">
      <c r="A336" s="5"/>
      <c r="B336" s="6"/>
      <c r="C336" s="7"/>
      <c r="D336" s="9"/>
      <c r="E336" s="8"/>
      <c r="F336" s="9"/>
      <c r="G336" s="9"/>
      <c r="H336" s="6"/>
      <c r="I336" s="9"/>
      <c r="J336" s="9" t="s">
        <v>145</v>
      </c>
    </row>
    <row r="337" spans="1:10">
      <c r="A337" s="5"/>
      <c r="B337" s="6"/>
      <c r="C337" s="7"/>
      <c r="D337" s="9"/>
      <c r="E337" s="8"/>
      <c r="F337" s="9"/>
      <c r="G337" s="9"/>
      <c r="H337" s="6"/>
      <c r="I337" s="9"/>
      <c r="J337" s="9" t="s">
        <v>145</v>
      </c>
    </row>
    <row r="338" spans="1:10">
      <c r="A338" s="5"/>
      <c r="B338" s="6"/>
      <c r="C338" s="7"/>
      <c r="D338" s="9"/>
      <c r="E338" s="8"/>
      <c r="F338" s="9"/>
      <c r="G338" s="9"/>
      <c r="H338" s="6"/>
      <c r="I338" s="9"/>
      <c r="J338" s="9" t="s">
        <v>145</v>
      </c>
    </row>
    <row r="339" spans="1:10">
      <c r="A339" s="5"/>
      <c r="B339" s="6"/>
      <c r="C339" s="7"/>
      <c r="D339" s="9"/>
      <c r="E339" s="8"/>
      <c r="F339" s="9"/>
      <c r="G339" s="9"/>
      <c r="H339" s="6"/>
      <c r="I339" s="9"/>
      <c r="J339" s="9" t="s">
        <v>145</v>
      </c>
    </row>
    <row r="340" spans="1:10">
      <c r="A340" s="5"/>
      <c r="B340" s="6"/>
      <c r="C340" s="7"/>
      <c r="D340" s="9"/>
      <c r="E340" s="8"/>
      <c r="F340" s="9"/>
      <c r="G340" s="9"/>
      <c r="H340" s="6"/>
      <c r="I340" s="9"/>
      <c r="J340" s="9" t="s">
        <v>145</v>
      </c>
    </row>
    <row r="341" spans="1:10">
      <c r="A341" s="5"/>
      <c r="B341" s="6"/>
      <c r="C341" s="7"/>
      <c r="D341" s="9"/>
      <c r="E341" s="8"/>
      <c r="F341" s="9"/>
      <c r="G341" s="9"/>
      <c r="H341" s="6"/>
      <c r="I341" s="9"/>
      <c r="J341" s="9" t="s">
        <v>145</v>
      </c>
    </row>
    <row r="342" spans="1:10">
      <c r="A342" s="5"/>
      <c r="B342" s="6"/>
      <c r="C342" s="7"/>
      <c r="D342" s="9"/>
      <c r="E342" s="8"/>
      <c r="F342" s="9"/>
      <c r="G342" s="9"/>
      <c r="H342" s="6"/>
      <c r="I342" s="9"/>
      <c r="J342" s="9" t="s">
        <v>145</v>
      </c>
    </row>
    <row r="343" spans="1:10">
      <c r="A343" s="5"/>
      <c r="B343" s="6"/>
      <c r="C343" s="7"/>
      <c r="D343" s="9"/>
      <c r="E343" s="8"/>
      <c r="F343" s="9"/>
      <c r="G343" s="9"/>
      <c r="H343" s="6"/>
      <c r="I343" s="9"/>
      <c r="J343" s="9" t="s">
        <v>145</v>
      </c>
    </row>
    <row r="344" spans="1:10">
      <c r="A344" s="5"/>
      <c r="B344" s="6"/>
      <c r="C344" s="7"/>
      <c r="D344" s="9"/>
      <c r="E344" s="4"/>
      <c r="F344" s="9"/>
      <c r="G344" s="9"/>
      <c r="H344" s="6"/>
      <c r="I344" s="9"/>
      <c r="J344" s="9" t="s">
        <v>145</v>
      </c>
    </row>
    <row r="345" spans="1:10">
      <c r="A345" s="5"/>
      <c r="B345" s="6"/>
      <c r="C345" s="7"/>
      <c r="D345" s="9"/>
      <c r="E345" s="4"/>
      <c r="F345" s="9"/>
      <c r="G345" s="9"/>
      <c r="H345" s="6"/>
      <c r="I345" s="9"/>
      <c r="J345" s="9" t="s">
        <v>145</v>
      </c>
    </row>
    <row r="346" spans="1:10">
      <c r="A346" s="5"/>
      <c r="B346" s="6"/>
      <c r="C346" s="7"/>
      <c r="D346" s="9"/>
      <c r="E346" s="8"/>
      <c r="F346" s="9"/>
      <c r="G346" s="9"/>
      <c r="H346" s="6"/>
      <c r="I346" s="9"/>
      <c r="J346" s="9" t="s">
        <v>145</v>
      </c>
    </row>
    <row r="347" spans="1:10">
      <c r="A347" s="5"/>
      <c r="B347" s="6"/>
      <c r="C347" s="7"/>
      <c r="D347" s="9"/>
      <c r="E347" s="8"/>
      <c r="F347" s="9"/>
      <c r="G347" s="9"/>
      <c r="H347" s="6"/>
      <c r="I347" s="9"/>
      <c r="J347" s="9" t="s">
        <v>145</v>
      </c>
    </row>
    <row r="348" spans="1:10">
      <c r="A348" s="5"/>
      <c r="B348" s="6"/>
      <c r="C348" s="7"/>
      <c r="D348" s="9"/>
      <c r="E348" s="8"/>
      <c r="F348" s="9"/>
      <c r="G348" s="9"/>
      <c r="H348" s="6"/>
      <c r="I348" s="9"/>
      <c r="J348" s="9" t="s">
        <v>145</v>
      </c>
    </row>
    <row r="349" spans="1:10">
      <c r="A349" s="5"/>
      <c r="B349" s="6"/>
      <c r="C349" s="7"/>
      <c r="D349" s="9"/>
      <c r="E349" s="4"/>
      <c r="F349" s="9"/>
      <c r="G349" s="9"/>
      <c r="H349" s="6"/>
      <c r="I349" s="9"/>
      <c r="J349" s="9" t="s">
        <v>145</v>
      </c>
    </row>
    <row r="350" spans="1:10">
      <c r="A350" s="5"/>
      <c r="B350" s="6"/>
      <c r="C350" s="7"/>
      <c r="D350" s="9"/>
      <c r="E350" s="8"/>
      <c r="F350" s="9"/>
      <c r="G350" s="9"/>
      <c r="H350" s="6"/>
      <c r="I350" s="9"/>
      <c r="J350" s="9" t="s">
        <v>145</v>
      </c>
    </row>
    <row r="351" spans="1:10">
      <c r="A351" s="5"/>
      <c r="B351" s="6"/>
      <c r="C351" s="7"/>
      <c r="D351" s="9"/>
      <c r="E351" s="4"/>
      <c r="F351" s="9"/>
      <c r="G351" s="9"/>
      <c r="H351" s="6"/>
      <c r="I351" s="9"/>
      <c r="J351" s="9" t="s">
        <v>145</v>
      </c>
    </row>
    <row r="352" spans="1:10">
      <c r="A352" s="5"/>
      <c r="B352" s="6"/>
      <c r="C352" s="7"/>
      <c r="D352" s="9"/>
      <c r="E352" s="8"/>
      <c r="F352" s="9"/>
      <c r="G352" s="9"/>
      <c r="H352" s="6"/>
      <c r="I352" s="9"/>
      <c r="J352" s="9" t="s">
        <v>145</v>
      </c>
    </row>
    <row r="353" spans="1:10">
      <c r="A353" s="5"/>
      <c r="B353" s="6"/>
      <c r="C353" s="7"/>
      <c r="D353" s="9"/>
      <c r="E353" s="4"/>
      <c r="F353" s="9"/>
      <c r="G353" s="9"/>
      <c r="H353" s="6"/>
      <c r="I353" s="9"/>
      <c r="J353" s="9" t="s">
        <v>145</v>
      </c>
    </row>
    <row r="354" spans="1:10">
      <c r="A354" s="5"/>
      <c r="B354" s="6"/>
      <c r="C354" s="7"/>
      <c r="D354" s="9"/>
      <c r="E354" s="8"/>
      <c r="F354" s="9"/>
      <c r="G354" s="9"/>
      <c r="H354" s="6"/>
      <c r="I354" s="9"/>
      <c r="J354" s="9" t="s">
        <v>145</v>
      </c>
    </row>
    <row r="355" spans="1:10">
      <c r="A355" s="5"/>
      <c r="B355" s="6"/>
      <c r="C355" s="7"/>
      <c r="D355" s="9"/>
      <c r="E355" s="8"/>
      <c r="F355" s="9"/>
      <c r="G355" s="9"/>
      <c r="H355" s="6"/>
      <c r="I355" s="9"/>
      <c r="J355" s="9" t="s">
        <v>145</v>
      </c>
    </row>
    <row r="356" spans="1:10">
      <c r="A356" s="5"/>
      <c r="B356" s="6"/>
      <c r="C356" s="7"/>
      <c r="D356" s="9"/>
      <c r="E356" s="8"/>
      <c r="F356" s="9"/>
      <c r="G356" s="9"/>
      <c r="H356" s="6"/>
      <c r="I356" s="9"/>
      <c r="J356" s="9" t="s">
        <v>145</v>
      </c>
    </row>
    <row r="357" spans="1:10">
      <c r="A357" s="5"/>
      <c r="B357" s="6"/>
      <c r="C357" s="7"/>
      <c r="D357" s="9"/>
      <c r="E357" s="8"/>
      <c r="F357" s="9"/>
      <c r="G357" s="9"/>
      <c r="H357" s="6"/>
      <c r="I357" s="9"/>
      <c r="J357" s="9" t="s">
        <v>145</v>
      </c>
    </row>
    <row r="358" spans="1:10">
      <c r="A358" s="5"/>
      <c r="B358" s="6"/>
      <c r="C358" s="7"/>
      <c r="D358" s="9"/>
      <c r="E358" s="8"/>
      <c r="F358" s="9"/>
      <c r="G358" s="9"/>
      <c r="H358" s="6"/>
      <c r="I358" s="9"/>
      <c r="J358" s="9" t="s">
        <v>145</v>
      </c>
    </row>
    <row r="359" spans="1:10">
      <c r="A359" s="5"/>
      <c r="B359" s="6"/>
      <c r="C359" s="7"/>
      <c r="D359" s="9"/>
      <c r="E359" s="4"/>
      <c r="F359" s="9"/>
      <c r="G359" s="9"/>
      <c r="H359" s="6"/>
      <c r="I359" s="9"/>
      <c r="J359" s="9" t="s">
        <v>145</v>
      </c>
    </row>
    <row r="360" spans="1:10">
      <c r="A360" s="5"/>
      <c r="B360" s="6"/>
      <c r="C360" s="7"/>
      <c r="D360" s="9"/>
      <c r="E360" s="8"/>
      <c r="F360" s="9"/>
      <c r="G360" s="9"/>
      <c r="H360" s="6"/>
      <c r="I360" s="9"/>
      <c r="J360" s="9" t="s">
        <v>145</v>
      </c>
    </row>
    <row r="361" spans="1:10">
      <c r="A361" s="5"/>
      <c r="B361" s="6"/>
      <c r="C361" s="7"/>
      <c r="D361" s="9"/>
      <c r="E361" s="8"/>
      <c r="F361" s="9"/>
      <c r="G361" s="9"/>
      <c r="H361" s="6"/>
      <c r="I361" s="9"/>
      <c r="J361" s="9" t="s">
        <v>145</v>
      </c>
    </row>
    <row r="362" spans="1:10">
      <c r="A362" s="5"/>
      <c r="B362" s="6"/>
      <c r="C362" s="7"/>
      <c r="D362" s="9"/>
      <c r="E362" s="8"/>
      <c r="F362" s="9"/>
      <c r="G362" s="9"/>
      <c r="H362" s="6"/>
      <c r="I362" s="9"/>
      <c r="J362" s="9" t="s">
        <v>145</v>
      </c>
    </row>
    <row r="363" spans="1:10">
      <c r="A363" s="5"/>
      <c r="B363" s="6"/>
      <c r="C363" s="7"/>
      <c r="D363" s="9"/>
      <c r="E363" s="8"/>
      <c r="F363" s="9"/>
      <c r="G363" s="9"/>
      <c r="H363" s="6"/>
      <c r="I363" s="9"/>
      <c r="J363" s="9" t="s">
        <v>145</v>
      </c>
    </row>
    <row r="364" spans="1:10">
      <c r="A364" s="5"/>
      <c r="B364" s="6"/>
      <c r="C364" s="7"/>
      <c r="D364" s="9"/>
      <c r="E364" s="8"/>
      <c r="F364" s="9"/>
      <c r="G364" s="9"/>
      <c r="H364" s="6"/>
      <c r="I364" s="9"/>
      <c r="J364" s="9" t="s">
        <v>145</v>
      </c>
    </row>
    <row r="365" spans="1:10">
      <c r="A365" s="5"/>
      <c r="B365" s="6"/>
      <c r="C365" s="7"/>
      <c r="D365" s="9"/>
      <c r="E365" s="8"/>
      <c r="F365" s="9"/>
      <c r="G365" s="9"/>
      <c r="H365" s="6"/>
      <c r="I365" s="9"/>
      <c r="J365" s="9" t="s">
        <v>145</v>
      </c>
    </row>
    <row r="366" spans="1:10">
      <c r="A366" s="5"/>
      <c r="B366" s="6"/>
      <c r="C366" s="7"/>
      <c r="D366" s="9"/>
      <c r="E366" s="8"/>
      <c r="F366" s="9"/>
      <c r="G366" s="9"/>
      <c r="H366" s="6"/>
      <c r="I366" s="9"/>
      <c r="J366" s="9" t="s">
        <v>145</v>
      </c>
    </row>
    <row r="367" spans="1:10">
      <c r="A367" s="5"/>
      <c r="B367" s="6"/>
      <c r="C367" s="7"/>
      <c r="D367" s="9"/>
      <c r="E367" s="8"/>
      <c r="F367" s="9"/>
      <c r="G367" s="9"/>
      <c r="H367" s="6"/>
      <c r="I367" s="9"/>
      <c r="J367" s="9" t="s">
        <v>145</v>
      </c>
    </row>
    <row r="368" spans="1:10">
      <c r="A368" s="5"/>
      <c r="B368" s="6"/>
      <c r="C368" s="7"/>
      <c r="D368" s="9"/>
      <c r="E368" s="4"/>
      <c r="F368" s="9"/>
      <c r="G368" s="9"/>
      <c r="H368" s="6"/>
      <c r="I368" s="9"/>
      <c r="J368" s="9" t="s">
        <v>145</v>
      </c>
    </row>
    <row r="369" spans="1:10">
      <c r="A369" s="5"/>
      <c r="B369" s="6"/>
      <c r="C369" s="7"/>
      <c r="D369" s="9"/>
      <c r="E369" s="8"/>
      <c r="F369" s="9"/>
      <c r="G369" s="9"/>
      <c r="H369" s="6"/>
      <c r="I369" s="9"/>
      <c r="J369" s="9" t="s">
        <v>145</v>
      </c>
    </row>
    <row r="370" spans="1:10">
      <c r="A370" s="5"/>
      <c r="B370" s="6"/>
      <c r="C370" s="7"/>
      <c r="D370" s="9"/>
      <c r="E370" s="8"/>
      <c r="F370" s="9"/>
      <c r="G370" s="9"/>
      <c r="H370" s="6"/>
      <c r="I370" s="9"/>
      <c r="J370" s="9" t="s">
        <v>145</v>
      </c>
    </row>
    <row r="371" spans="1:10">
      <c r="A371" s="5"/>
      <c r="B371" s="6"/>
      <c r="C371" s="7"/>
      <c r="D371" s="9"/>
      <c r="E371" s="8"/>
      <c r="F371" s="9"/>
      <c r="G371" s="9"/>
      <c r="H371" s="6"/>
      <c r="I371" s="9"/>
      <c r="J371" s="9" t="s">
        <v>145</v>
      </c>
    </row>
    <row r="372" spans="1:10">
      <c r="A372" s="5"/>
      <c r="B372" s="6"/>
      <c r="C372" s="7"/>
      <c r="D372" s="9"/>
      <c r="E372" s="8"/>
      <c r="F372" s="9"/>
      <c r="G372" s="9"/>
      <c r="H372" s="6"/>
      <c r="I372" s="9"/>
      <c r="J372" s="9" t="s">
        <v>145</v>
      </c>
    </row>
    <row r="373" spans="1:10">
      <c r="A373" s="5"/>
      <c r="B373" s="6"/>
      <c r="C373" s="7"/>
      <c r="D373" s="9"/>
      <c r="E373" s="8"/>
      <c r="F373" s="9"/>
      <c r="G373" s="9"/>
      <c r="H373" s="6"/>
      <c r="I373" s="9"/>
      <c r="J373" s="9" t="s">
        <v>145</v>
      </c>
    </row>
    <row r="374" spans="1:10">
      <c r="A374" s="5"/>
      <c r="B374" s="6"/>
      <c r="C374" s="7"/>
      <c r="D374" s="9"/>
      <c r="E374" s="8"/>
      <c r="F374" s="9"/>
      <c r="G374" s="9"/>
      <c r="H374" s="6"/>
      <c r="I374" s="9"/>
      <c r="J374" s="9" t="s">
        <v>145</v>
      </c>
    </row>
    <row r="375" spans="1:10">
      <c r="A375" s="5"/>
      <c r="B375" s="6"/>
      <c r="C375" s="7"/>
      <c r="D375" s="9"/>
      <c r="E375" s="8"/>
      <c r="F375" s="9"/>
      <c r="G375" s="9"/>
      <c r="H375" s="6"/>
      <c r="I375" s="9"/>
      <c r="J375" s="9" t="s">
        <v>145</v>
      </c>
    </row>
    <row r="376" spans="1:10">
      <c r="A376" s="5"/>
      <c r="B376" s="6"/>
      <c r="C376" s="7"/>
      <c r="D376" s="9"/>
      <c r="E376" s="4"/>
      <c r="F376" s="9"/>
      <c r="G376" s="9"/>
      <c r="H376" s="6"/>
      <c r="I376" s="9"/>
      <c r="J376" s="9" t="s">
        <v>145</v>
      </c>
    </row>
    <row r="377" spans="1:10">
      <c r="A377" s="5"/>
      <c r="B377" s="6"/>
      <c r="C377" s="7"/>
      <c r="D377" s="9"/>
      <c r="E377" s="8"/>
      <c r="F377" s="9"/>
      <c r="G377" s="9"/>
      <c r="H377" s="6"/>
      <c r="I377" s="9"/>
      <c r="J377" s="9" t="s">
        <v>145</v>
      </c>
    </row>
    <row r="378" spans="1:10">
      <c r="A378" s="5"/>
      <c r="B378" s="6"/>
      <c r="C378" s="7"/>
      <c r="D378" s="9"/>
      <c r="E378" s="8"/>
      <c r="F378" s="9"/>
      <c r="G378" s="9"/>
      <c r="H378" s="6"/>
      <c r="I378" s="9"/>
      <c r="J378" s="9" t="s">
        <v>145</v>
      </c>
    </row>
    <row r="379" spans="1:10">
      <c r="A379" s="5"/>
      <c r="B379" s="6"/>
      <c r="C379" s="7"/>
      <c r="D379" s="9"/>
      <c r="E379" s="8"/>
      <c r="F379" s="9"/>
      <c r="G379" s="9"/>
      <c r="H379" s="6"/>
      <c r="I379" s="9"/>
      <c r="J379" s="9" t="s">
        <v>145</v>
      </c>
    </row>
    <row r="380" spans="1:10">
      <c r="A380" s="5"/>
      <c r="B380" s="6"/>
      <c r="C380" s="7"/>
      <c r="D380" s="9"/>
      <c r="E380" s="8"/>
      <c r="F380" s="9"/>
      <c r="G380" s="9"/>
      <c r="H380" s="6"/>
      <c r="I380" s="9"/>
      <c r="J380" s="9" t="s">
        <v>145</v>
      </c>
    </row>
    <row r="381" spans="1:10">
      <c r="A381" s="5"/>
      <c r="B381" s="6"/>
      <c r="C381" s="7"/>
      <c r="D381" s="9"/>
      <c r="E381" s="8"/>
      <c r="F381" s="9"/>
      <c r="G381" s="9"/>
      <c r="H381" s="6"/>
      <c r="I381" s="9"/>
      <c r="J381" s="9" t="s">
        <v>145</v>
      </c>
    </row>
    <row r="382" spans="1:10">
      <c r="A382" s="5"/>
      <c r="B382" s="6"/>
      <c r="C382" s="7"/>
      <c r="D382" s="9"/>
      <c r="E382" s="8"/>
      <c r="F382" s="9"/>
      <c r="G382" s="9"/>
      <c r="H382" s="6"/>
      <c r="I382" s="9"/>
      <c r="J382" s="9" t="s">
        <v>145</v>
      </c>
    </row>
    <row r="383" spans="1:10">
      <c r="A383" s="5"/>
      <c r="B383" s="6"/>
      <c r="C383" s="7"/>
      <c r="D383" s="9"/>
      <c r="E383" s="8"/>
      <c r="F383" s="9"/>
      <c r="G383" s="9"/>
      <c r="H383" s="6"/>
      <c r="I383" s="9"/>
      <c r="J383" s="9" t="s">
        <v>145</v>
      </c>
    </row>
    <row r="384" spans="1:10">
      <c r="A384" s="5"/>
      <c r="B384" s="6"/>
      <c r="C384" s="7"/>
      <c r="D384" s="9"/>
      <c r="E384" s="8"/>
      <c r="F384" s="9"/>
      <c r="G384" s="9"/>
      <c r="H384" s="6"/>
      <c r="I384" s="9"/>
      <c r="J384" s="9" t="s">
        <v>145</v>
      </c>
    </row>
    <row r="385" spans="1:10">
      <c r="A385" s="5"/>
      <c r="B385" s="6"/>
      <c r="C385" s="7"/>
      <c r="D385" s="9"/>
      <c r="E385" s="8"/>
      <c r="F385" s="9"/>
      <c r="G385" s="9"/>
      <c r="H385" s="6"/>
      <c r="I385" s="9"/>
      <c r="J385" s="9" t="s">
        <v>145</v>
      </c>
    </row>
    <row r="386" spans="1:10">
      <c r="A386" s="5"/>
      <c r="B386" s="6"/>
      <c r="C386" s="7"/>
      <c r="D386" s="9"/>
      <c r="E386" s="8"/>
      <c r="F386" s="9"/>
      <c r="G386" s="9"/>
      <c r="H386" s="6"/>
      <c r="I386" s="9"/>
      <c r="J386" s="9" t="s">
        <v>145</v>
      </c>
    </row>
    <row r="387" spans="1:10">
      <c r="A387" s="5"/>
      <c r="B387" s="6"/>
      <c r="C387" s="7"/>
      <c r="D387" s="9"/>
      <c r="E387" s="8"/>
      <c r="F387" s="9"/>
      <c r="G387" s="9"/>
      <c r="H387" s="6"/>
      <c r="I387" s="9"/>
      <c r="J387" s="9" t="s">
        <v>145</v>
      </c>
    </row>
    <row r="388" spans="1:10">
      <c r="A388" s="5"/>
      <c r="B388" s="6"/>
      <c r="C388" s="7"/>
      <c r="D388" s="9"/>
      <c r="E388" s="8"/>
      <c r="F388" s="9"/>
      <c r="G388" s="9"/>
      <c r="H388" s="6"/>
      <c r="I388" s="9"/>
      <c r="J388" s="9" t="s">
        <v>145</v>
      </c>
    </row>
    <row r="389" spans="1:10">
      <c r="A389" s="5"/>
      <c r="B389" s="6"/>
      <c r="C389" s="7"/>
      <c r="D389" s="9"/>
      <c r="E389" s="4"/>
      <c r="F389" s="9"/>
      <c r="G389" s="9"/>
      <c r="H389" s="6"/>
      <c r="I389" s="9"/>
      <c r="J389" s="9" t="s">
        <v>145</v>
      </c>
    </row>
    <row r="390" spans="1:10">
      <c r="A390" s="5"/>
      <c r="B390" s="6"/>
      <c r="C390" s="7"/>
      <c r="D390" s="9"/>
      <c r="E390" s="8"/>
      <c r="F390" s="9"/>
      <c r="G390" s="9"/>
      <c r="H390" s="6"/>
      <c r="I390" s="9"/>
      <c r="J390" s="9" t="s">
        <v>145</v>
      </c>
    </row>
    <row r="391" spans="1:10">
      <c r="A391" s="5"/>
      <c r="B391" s="6"/>
      <c r="C391" s="7"/>
      <c r="D391" s="9"/>
      <c r="E391" s="8"/>
      <c r="F391" s="9"/>
      <c r="G391" s="9"/>
      <c r="H391" s="6"/>
      <c r="I391" s="9"/>
      <c r="J391" s="9" t="s">
        <v>145</v>
      </c>
    </row>
    <row r="392" spans="1:10">
      <c r="A392" s="5"/>
      <c r="B392" s="6"/>
      <c r="C392" s="7"/>
      <c r="D392" s="9"/>
      <c r="E392" s="8"/>
      <c r="F392" s="9"/>
      <c r="G392" s="9"/>
      <c r="H392" s="6"/>
      <c r="I392" s="9"/>
      <c r="J392" s="9" t="s">
        <v>145</v>
      </c>
    </row>
    <row r="393" spans="1:10">
      <c r="A393" s="5"/>
      <c r="B393" s="6"/>
      <c r="C393" s="7"/>
      <c r="D393" s="9"/>
      <c r="E393" s="8"/>
      <c r="F393" s="9"/>
      <c r="G393" s="9"/>
      <c r="H393" s="6"/>
      <c r="I393" s="9"/>
      <c r="J393" s="9" t="s">
        <v>145</v>
      </c>
    </row>
    <row r="394" spans="1:10">
      <c r="A394" s="5"/>
      <c r="B394" s="6"/>
      <c r="C394" s="7"/>
      <c r="D394" s="9"/>
      <c r="E394" s="8"/>
      <c r="F394" s="9"/>
      <c r="G394" s="9"/>
      <c r="H394" s="6"/>
      <c r="I394" s="9"/>
      <c r="J394" s="9" t="s">
        <v>145</v>
      </c>
    </row>
    <row r="395" spans="1:10">
      <c r="A395" s="5"/>
      <c r="B395" s="6"/>
      <c r="C395" s="7"/>
      <c r="D395" s="9"/>
      <c r="E395" s="8"/>
      <c r="F395" s="9"/>
      <c r="G395" s="9"/>
      <c r="H395" s="6"/>
      <c r="I395" s="9"/>
      <c r="J395" s="9" t="s">
        <v>145</v>
      </c>
    </row>
    <row r="396" spans="1:10">
      <c r="A396" s="5"/>
      <c r="B396" s="6"/>
      <c r="C396" s="7"/>
      <c r="D396" s="9"/>
      <c r="E396" s="8"/>
      <c r="F396" s="9"/>
      <c r="G396" s="9"/>
      <c r="H396" s="6"/>
      <c r="I396" s="9"/>
      <c r="J396" s="9" t="s">
        <v>145</v>
      </c>
    </row>
    <row r="397" spans="1:10">
      <c r="A397" s="5"/>
      <c r="B397" s="6"/>
      <c r="C397" s="7"/>
      <c r="D397" s="9"/>
      <c r="E397" s="8"/>
      <c r="F397" s="9"/>
      <c r="G397" s="9"/>
      <c r="H397" s="6"/>
      <c r="I397" s="9"/>
      <c r="J397" s="9" t="s">
        <v>145</v>
      </c>
    </row>
    <row r="398" spans="1:10">
      <c r="A398" s="5"/>
      <c r="B398" s="6"/>
      <c r="C398" s="7"/>
      <c r="D398" s="9"/>
      <c r="E398" s="8"/>
      <c r="F398" s="9"/>
      <c r="G398" s="9"/>
      <c r="H398" s="6"/>
      <c r="I398" s="9"/>
      <c r="J398" s="9" t="s">
        <v>145</v>
      </c>
    </row>
    <row r="399" spans="1:10">
      <c r="A399" s="5"/>
      <c r="B399" s="6"/>
      <c r="C399" s="7"/>
      <c r="D399" s="9"/>
      <c r="E399" s="8"/>
      <c r="F399" s="9"/>
      <c r="G399" s="9"/>
      <c r="H399" s="6"/>
      <c r="I399" s="9"/>
      <c r="J399" s="9" t="s">
        <v>145</v>
      </c>
    </row>
    <row r="400" spans="1:10">
      <c r="A400" s="5"/>
      <c r="B400" s="6"/>
      <c r="C400" s="7"/>
      <c r="D400" s="9"/>
      <c r="E400" s="8"/>
      <c r="F400" s="9"/>
      <c r="G400" s="9"/>
      <c r="H400" s="6"/>
      <c r="I400" s="9"/>
      <c r="J400" s="9" t="s">
        <v>145</v>
      </c>
    </row>
    <row r="401" spans="1:10">
      <c r="A401" s="5"/>
      <c r="B401" s="6"/>
      <c r="C401" s="7"/>
      <c r="D401" s="9"/>
      <c r="E401" s="8"/>
      <c r="F401" s="9"/>
      <c r="G401" s="9"/>
      <c r="H401" s="6"/>
      <c r="I401" s="9"/>
      <c r="J401" s="9" t="s">
        <v>145</v>
      </c>
    </row>
    <row r="402" spans="1:10">
      <c r="A402" s="5"/>
      <c r="B402" s="6"/>
      <c r="C402" s="7"/>
      <c r="D402" s="9"/>
      <c r="E402" s="8"/>
      <c r="F402" s="9"/>
      <c r="G402" s="9"/>
      <c r="H402" s="6"/>
      <c r="I402" s="9"/>
      <c r="J402" s="9" t="s">
        <v>145</v>
      </c>
    </row>
    <row r="403" spans="1:10">
      <c r="A403" s="5"/>
      <c r="B403" s="6"/>
      <c r="C403" s="7"/>
      <c r="D403" s="9"/>
      <c r="E403" s="8"/>
      <c r="F403" s="9"/>
      <c r="G403" s="9"/>
      <c r="H403" s="6"/>
      <c r="I403" s="9"/>
      <c r="J403" s="9" t="s">
        <v>145</v>
      </c>
    </row>
    <row r="404" spans="1:10">
      <c r="A404" s="5"/>
      <c r="B404" s="6"/>
      <c r="C404" s="7"/>
      <c r="D404" s="9"/>
      <c r="E404" s="8"/>
      <c r="F404" s="9"/>
      <c r="G404" s="9"/>
      <c r="H404" s="6"/>
      <c r="I404" s="9"/>
      <c r="J404" s="9" t="s">
        <v>145</v>
      </c>
    </row>
    <row r="405" spans="1:10">
      <c r="A405" s="5"/>
      <c r="B405" s="6"/>
      <c r="C405" s="7"/>
      <c r="D405" s="9"/>
      <c r="E405" s="4"/>
      <c r="F405" s="9"/>
      <c r="G405" s="9"/>
      <c r="H405" s="6"/>
      <c r="I405" s="9"/>
      <c r="J405" s="9" t="s">
        <v>145</v>
      </c>
    </row>
    <row r="406" spans="1:10">
      <c r="A406" s="5"/>
      <c r="B406" s="6"/>
      <c r="C406" s="7"/>
      <c r="D406" s="9"/>
      <c r="E406" s="8"/>
      <c r="F406" s="9"/>
      <c r="G406" s="9"/>
      <c r="H406" s="6"/>
      <c r="I406" s="9"/>
      <c r="J406" s="9" t="s">
        <v>145</v>
      </c>
    </row>
    <row r="407" spans="1:10">
      <c r="A407" s="5"/>
      <c r="B407" s="6"/>
      <c r="C407" s="7"/>
      <c r="D407" s="9"/>
      <c r="E407" s="8"/>
      <c r="F407" s="9"/>
      <c r="G407" s="9"/>
      <c r="H407" s="6"/>
      <c r="I407" s="9"/>
      <c r="J407" s="9" t="s">
        <v>145</v>
      </c>
    </row>
    <row r="408" spans="1:10">
      <c r="A408" s="5"/>
      <c r="B408" s="6"/>
      <c r="C408" s="7"/>
      <c r="D408" s="9"/>
      <c r="E408" s="4"/>
      <c r="F408" s="9"/>
      <c r="G408" s="9"/>
      <c r="H408" s="6"/>
      <c r="I408" s="9"/>
      <c r="J408" s="9" t="s">
        <v>145</v>
      </c>
    </row>
    <row r="409" spans="1:10">
      <c r="A409" s="5"/>
      <c r="B409" s="6"/>
      <c r="C409" s="7"/>
      <c r="D409" s="9"/>
      <c r="E409" s="8"/>
      <c r="F409" s="9"/>
      <c r="G409" s="9"/>
      <c r="H409" s="6"/>
      <c r="I409" s="9"/>
      <c r="J409" s="9" t="s">
        <v>145</v>
      </c>
    </row>
    <row r="410" spans="1:10">
      <c r="A410" s="5"/>
      <c r="B410" s="6"/>
      <c r="C410" s="7"/>
      <c r="D410" s="9"/>
      <c r="E410" s="8"/>
      <c r="F410" s="9"/>
      <c r="G410" s="9"/>
      <c r="H410" s="6"/>
      <c r="I410" s="9"/>
      <c r="J410" s="9" t="s">
        <v>145</v>
      </c>
    </row>
    <row r="411" spans="1:10">
      <c r="A411" s="5"/>
      <c r="B411" s="6"/>
      <c r="C411" s="7"/>
      <c r="D411" s="9"/>
      <c r="E411" s="4"/>
      <c r="F411" s="9"/>
      <c r="G411" s="9"/>
      <c r="H411" s="6"/>
      <c r="I411" s="9"/>
      <c r="J411" s="9" t="s">
        <v>145</v>
      </c>
    </row>
    <row r="412" spans="1:10">
      <c r="A412" s="5"/>
      <c r="B412" s="6"/>
      <c r="C412" s="7"/>
      <c r="D412" s="9"/>
      <c r="E412" s="8"/>
      <c r="F412" s="9"/>
      <c r="G412" s="9"/>
      <c r="H412" s="6"/>
      <c r="I412" s="9"/>
      <c r="J412" s="9" t="s">
        <v>145</v>
      </c>
    </row>
    <row r="413" spans="1:10">
      <c r="A413" s="5"/>
      <c r="B413" s="6"/>
      <c r="C413" s="7"/>
      <c r="D413" s="9"/>
      <c r="E413" s="8"/>
      <c r="F413" s="9"/>
      <c r="G413" s="9"/>
      <c r="H413" s="6"/>
      <c r="I413" s="9"/>
      <c r="J413" s="9" t="s">
        <v>145</v>
      </c>
    </row>
    <row r="414" spans="1:10">
      <c r="A414" s="5"/>
      <c r="B414" s="6"/>
      <c r="C414" s="7"/>
      <c r="D414" s="9"/>
      <c r="E414" s="8"/>
      <c r="F414" s="9"/>
      <c r="G414" s="9"/>
      <c r="H414" s="6"/>
      <c r="I414" s="9"/>
      <c r="J414" s="9" t="s">
        <v>145</v>
      </c>
    </row>
    <row r="415" spans="1:10">
      <c r="A415" s="5"/>
      <c r="B415" s="6"/>
      <c r="C415" s="7"/>
      <c r="D415" s="9"/>
      <c r="E415" s="8"/>
      <c r="F415" s="9"/>
      <c r="G415" s="9"/>
      <c r="H415" s="6"/>
      <c r="I415" s="9"/>
      <c r="J415" s="9" t="s">
        <v>145</v>
      </c>
    </row>
    <row r="416" spans="1:10">
      <c r="A416" s="5"/>
      <c r="B416" s="6"/>
      <c r="C416" s="7"/>
      <c r="D416" s="9"/>
      <c r="E416" s="8"/>
      <c r="F416" s="9"/>
      <c r="G416" s="9"/>
      <c r="H416" s="6"/>
      <c r="I416" s="9"/>
      <c r="J416" s="9" t="s">
        <v>145</v>
      </c>
    </row>
    <row r="417" spans="1:10">
      <c r="A417" s="5"/>
      <c r="B417" s="6"/>
      <c r="C417" s="7"/>
      <c r="D417" s="9"/>
      <c r="E417" s="4"/>
      <c r="F417" s="9"/>
      <c r="G417" s="9"/>
      <c r="H417" s="6"/>
      <c r="I417" s="9"/>
      <c r="J417" s="9" t="s">
        <v>145</v>
      </c>
    </row>
    <row r="418" spans="1:10">
      <c r="A418" s="5"/>
      <c r="B418" s="6"/>
      <c r="C418" s="7"/>
      <c r="D418" s="9"/>
      <c r="E418" s="8"/>
      <c r="F418" s="9"/>
      <c r="G418" s="9"/>
      <c r="H418" s="6"/>
      <c r="I418" s="9"/>
      <c r="J418" s="9" t="s">
        <v>145</v>
      </c>
    </row>
    <row r="419" spans="1:10">
      <c r="A419" s="5"/>
      <c r="B419" s="6"/>
      <c r="C419" s="7"/>
      <c r="D419" s="9"/>
      <c r="E419" s="8"/>
      <c r="F419" s="9"/>
      <c r="G419" s="9"/>
      <c r="H419" s="6"/>
      <c r="I419" s="9"/>
      <c r="J419" s="9" t="s">
        <v>145</v>
      </c>
    </row>
    <row r="420" spans="1:10">
      <c r="A420" s="5"/>
      <c r="B420" s="6"/>
      <c r="C420" s="7"/>
      <c r="D420" s="9"/>
      <c r="E420" s="8"/>
      <c r="F420" s="9"/>
      <c r="G420" s="9"/>
      <c r="H420" s="6"/>
      <c r="I420" s="9"/>
      <c r="J420" s="9" t="s">
        <v>145</v>
      </c>
    </row>
    <row r="421" spans="1:10">
      <c r="A421" s="5"/>
      <c r="B421" s="6"/>
      <c r="C421" s="7"/>
      <c r="D421" s="9"/>
      <c r="E421" s="8"/>
      <c r="F421" s="9"/>
      <c r="G421" s="9"/>
      <c r="H421" s="6"/>
      <c r="I421" s="9"/>
      <c r="J421" s="9" t="s">
        <v>145</v>
      </c>
    </row>
    <row r="422" spans="1:10">
      <c r="A422" s="5"/>
      <c r="B422" s="6"/>
      <c r="C422" s="7"/>
      <c r="D422" s="9"/>
      <c r="E422" s="8"/>
      <c r="F422" s="9"/>
      <c r="G422" s="9"/>
      <c r="H422" s="6"/>
      <c r="I422" s="9"/>
      <c r="J422" s="9" t="s">
        <v>145</v>
      </c>
    </row>
    <row r="423" spans="1:10">
      <c r="A423" s="5"/>
      <c r="B423" s="6"/>
      <c r="C423" s="7"/>
      <c r="D423" s="9"/>
      <c r="E423" s="8"/>
      <c r="F423" s="9"/>
      <c r="G423" s="9"/>
      <c r="H423" s="6"/>
      <c r="I423" s="9"/>
      <c r="J423" s="9" t="s">
        <v>145</v>
      </c>
    </row>
    <row r="424" spans="1:10">
      <c r="A424" s="5"/>
      <c r="B424" s="6"/>
      <c r="C424" s="7"/>
      <c r="D424" s="9"/>
      <c r="E424" s="8"/>
      <c r="F424" s="9"/>
      <c r="G424" s="9"/>
      <c r="H424" s="6"/>
      <c r="I424" s="9"/>
      <c r="J424" s="9" t="s">
        <v>145</v>
      </c>
    </row>
    <row r="425" spans="1:10">
      <c r="A425" s="5"/>
      <c r="B425" s="6"/>
      <c r="C425" s="7"/>
      <c r="D425" s="9"/>
      <c r="E425" s="8"/>
      <c r="F425" s="9"/>
      <c r="G425" s="9"/>
      <c r="H425" s="6"/>
      <c r="I425" s="9"/>
      <c r="J425" s="9" t="s">
        <v>145</v>
      </c>
    </row>
    <row r="426" spans="1:10">
      <c r="A426" s="5"/>
      <c r="B426" s="6"/>
      <c r="C426" s="7"/>
      <c r="D426" s="9"/>
      <c r="E426" s="8"/>
      <c r="F426" s="9"/>
      <c r="G426" s="9"/>
      <c r="H426" s="6"/>
      <c r="I426" s="9"/>
      <c r="J426" s="9" t="s">
        <v>145</v>
      </c>
    </row>
    <row r="427" spans="1:10">
      <c r="A427" s="5"/>
      <c r="B427" s="6"/>
      <c r="C427" s="7"/>
      <c r="D427" s="9"/>
      <c r="E427" s="8"/>
      <c r="F427" s="9"/>
      <c r="G427" s="9"/>
      <c r="H427" s="6"/>
      <c r="I427" s="9"/>
      <c r="J427" s="9" t="s">
        <v>145</v>
      </c>
    </row>
    <row r="428" spans="1:10">
      <c r="A428" s="5"/>
      <c r="B428" s="6"/>
      <c r="C428" s="7"/>
      <c r="D428" s="9"/>
      <c r="E428" s="8"/>
      <c r="F428" s="9"/>
      <c r="G428" s="9"/>
      <c r="H428" s="6"/>
      <c r="I428" s="9"/>
      <c r="J428" s="9" t="s">
        <v>145</v>
      </c>
    </row>
    <row r="429" spans="1:10">
      <c r="A429" s="5"/>
      <c r="B429" s="6"/>
      <c r="C429" s="7"/>
      <c r="D429" s="9"/>
      <c r="E429" s="8"/>
      <c r="F429" s="9"/>
      <c r="G429" s="9"/>
      <c r="H429" s="6"/>
      <c r="I429" s="9"/>
      <c r="J429" s="9" t="s">
        <v>145</v>
      </c>
    </row>
    <row r="430" spans="1:10">
      <c r="A430" s="5"/>
      <c r="B430" s="6"/>
      <c r="C430" s="7"/>
      <c r="D430" s="9"/>
      <c r="E430" s="8"/>
      <c r="F430" s="9"/>
      <c r="G430" s="9"/>
      <c r="H430" s="6"/>
      <c r="I430" s="9"/>
      <c r="J430" s="9" t="s">
        <v>145</v>
      </c>
    </row>
    <row r="431" spans="1:10">
      <c r="A431" s="5"/>
      <c r="B431" s="6"/>
      <c r="C431" s="7"/>
      <c r="D431" s="9"/>
      <c r="E431" s="4"/>
      <c r="F431" s="9"/>
      <c r="G431" s="9"/>
      <c r="H431" s="6"/>
      <c r="I431" s="9"/>
      <c r="J431" s="9" t="s">
        <v>145</v>
      </c>
    </row>
    <row r="432" spans="1:10">
      <c r="A432" s="5"/>
      <c r="B432" s="6"/>
      <c r="C432" s="7"/>
      <c r="D432" s="9"/>
      <c r="E432" s="8"/>
      <c r="F432" s="9"/>
      <c r="G432" s="9"/>
      <c r="H432" s="6"/>
      <c r="I432" s="9"/>
      <c r="J432" s="9" t="s">
        <v>145</v>
      </c>
    </row>
    <row r="433" spans="1:10">
      <c r="A433" s="5"/>
      <c r="B433" s="6"/>
      <c r="C433" s="7"/>
      <c r="D433" s="9"/>
      <c r="E433" s="8"/>
      <c r="F433" s="9"/>
      <c r="G433" s="9"/>
      <c r="H433" s="6"/>
      <c r="I433" s="9"/>
      <c r="J433" s="9" t="s">
        <v>145</v>
      </c>
    </row>
    <row r="434" spans="1:10">
      <c r="A434" s="5"/>
      <c r="B434" s="6"/>
      <c r="C434" s="7"/>
      <c r="D434" s="9"/>
      <c r="E434" s="8"/>
      <c r="F434" s="9"/>
      <c r="G434" s="9"/>
      <c r="H434" s="6"/>
      <c r="I434" s="9"/>
      <c r="J434" s="9" t="s">
        <v>145</v>
      </c>
    </row>
    <row r="435" spans="1:10">
      <c r="A435" s="5"/>
      <c r="B435" s="6"/>
      <c r="C435" s="7"/>
      <c r="D435" s="9"/>
      <c r="E435" s="8"/>
      <c r="F435" s="9"/>
      <c r="G435" s="9"/>
      <c r="H435" s="6"/>
      <c r="I435" s="9"/>
      <c r="J435" s="9" t="s">
        <v>145</v>
      </c>
    </row>
    <row r="436" spans="1:10">
      <c r="A436" s="5"/>
      <c r="B436" s="6"/>
      <c r="C436" s="7"/>
      <c r="D436" s="9"/>
      <c r="E436" s="8"/>
      <c r="F436" s="9"/>
      <c r="G436" s="9"/>
      <c r="H436" s="6"/>
      <c r="I436" s="9"/>
      <c r="J436" s="9" t="s">
        <v>145</v>
      </c>
    </row>
    <row r="437" spans="1:10">
      <c r="A437" s="5"/>
      <c r="B437" s="6"/>
      <c r="C437" s="7"/>
      <c r="D437" s="9"/>
      <c r="E437" s="8"/>
      <c r="F437" s="9"/>
      <c r="G437" s="9"/>
      <c r="H437" s="6"/>
      <c r="I437" s="9"/>
      <c r="J437" s="9" t="s">
        <v>145</v>
      </c>
    </row>
    <row r="438" spans="1:10">
      <c r="A438" s="5"/>
      <c r="B438" s="6"/>
      <c r="C438" s="7"/>
      <c r="D438" s="9"/>
      <c r="E438" s="4"/>
      <c r="F438" s="9"/>
      <c r="G438" s="9"/>
      <c r="H438" s="6"/>
      <c r="I438" s="9"/>
      <c r="J438" s="9" t="s">
        <v>145</v>
      </c>
    </row>
    <row r="439" spans="1:10">
      <c r="A439" s="5"/>
      <c r="B439" s="6"/>
      <c r="C439" s="7"/>
      <c r="D439" s="9"/>
      <c r="E439" s="4"/>
      <c r="F439" s="9"/>
      <c r="G439" s="9"/>
      <c r="H439" s="6"/>
      <c r="I439" s="9"/>
      <c r="J439" s="9" t="s">
        <v>145</v>
      </c>
    </row>
    <row r="440" spans="1:10">
      <c r="A440" s="5"/>
      <c r="B440" s="6"/>
      <c r="C440" s="7"/>
      <c r="D440" s="9"/>
      <c r="E440" s="8"/>
      <c r="F440" s="9"/>
      <c r="G440" s="9"/>
      <c r="H440" s="6"/>
      <c r="I440" s="9"/>
      <c r="J440" s="9" t="s">
        <v>145</v>
      </c>
    </row>
    <row r="441" spans="1:10">
      <c r="A441" s="5"/>
      <c r="B441" s="6"/>
      <c r="C441" s="7"/>
      <c r="D441" s="9"/>
      <c r="E441" s="8"/>
      <c r="F441" s="9"/>
      <c r="G441" s="9"/>
      <c r="H441" s="6"/>
      <c r="I441" s="9"/>
      <c r="J441" s="9" t="s">
        <v>145</v>
      </c>
    </row>
    <row r="442" spans="1:10">
      <c r="A442" s="5"/>
      <c r="B442" s="6"/>
      <c r="C442" s="7"/>
      <c r="D442" s="9"/>
      <c r="E442" s="8"/>
      <c r="F442" s="9"/>
      <c r="G442" s="9"/>
      <c r="H442" s="6"/>
      <c r="I442" s="9"/>
      <c r="J442" s="9" t="s">
        <v>145</v>
      </c>
    </row>
    <row r="443" spans="1:10">
      <c r="A443" s="5"/>
      <c r="B443" s="6"/>
      <c r="C443" s="7"/>
      <c r="D443" s="9"/>
      <c r="E443" s="4"/>
      <c r="F443" s="9"/>
      <c r="G443" s="9"/>
      <c r="H443" s="6"/>
      <c r="I443" s="9"/>
      <c r="J443" s="9" t="s">
        <v>145</v>
      </c>
    </row>
    <row r="444" spans="1:10">
      <c r="A444" s="5"/>
      <c r="B444" s="6"/>
      <c r="C444" s="7"/>
      <c r="D444" s="9"/>
      <c r="E444" s="8"/>
      <c r="F444" s="9"/>
      <c r="G444" s="9"/>
      <c r="H444" s="6"/>
      <c r="I444" s="9"/>
      <c r="J444" s="9" t="s">
        <v>145</v>
      </c>
    </row>
    <row r="445" spans="1:10">
      <c r="A445" s="5"/>
      <c r="B445" s="6"/>
      <c r="C445" s="7"/>
      <c r="D445" s="9"/>
      <c r="E445" s="8"/>
      <c r="F445" s="9"/>
      <c r="G445" s="9"/>
      <c r="H445" s="6"/>
      <c r="I445" s="9"/>
      <c r="J445" s="9" t="s">
        <v>145</v>
      </c>
    </row>
    <row r="446" spans="1:10">
      <c r="A446" s="5"/>
      <c r="B446" s="6"/>
      <c r="C446" s="7"/>
      <c r="D446" s="9"/>
      <c r="E446" s="8"/>
      <c r="F446" s="9"/>
      <c r="G446" s="9"/>
      <c r="H446" s="6"/>
      <c r="I446" s="9"/>
      <c r="J446" s="9" t="s">
        <v>145</v>
      </c>
    </row>
    <row r="447" spans="1:10">
      <c r="A447" s="5"/>
      <c r="B447" s="6"/>
      <c r="C447" s="7"/>
      <c r="D447" s="9"/>
      <c r="E447" s="4"/>
      <c r="F447" s="9"/>
      <c r="G447" s="9"/>
      <c r="H447" s="6"/>
      <c r="I447" s="9"/>
      <c r="J447" s="9" t="s">
        <v>145</v>
      </c>
    </row>
    <row r="448" spans="1:10">
      <c r="A448" s="5"/>
      <c r="B448" s="6"/>
      <c r="C448" s="7"/>
      <c r="D448" s="9"/>
      <c r="E448" s="8"/>
      <c r="F448" s="9"/>
      <c r="G448" s="9"/>
      <c r="H448" s="6"/>
      <c r="I448" s="9"/>
      <c r="J448" s="9" t="s">
        <v>145</v>
      </c>
    </row>
    <row r="449" spans="1:10">
      <c r="A449" s="5"/>
      <c r="B449" s="6"/>
      <c r="C449" s="7"/>
      <c r="D449" s="9"/>
      <c r="E449" s="4"/>
      <c r="F449" s="9"/>
      <c r="G449" s="9"/>
      <c r="H449" s="6"/>
      <c r="I449" s="9"/>
      <c r="J449" s="9" t="s">
        <v>145</v>
      </c>
    </row>
    <row r="450" spans="1:10">
      <c r="A450" s="5"/>
      <c r="B450" s="6"/>
      <c r="C450" s="7"/>
      <c r="D450" s="9"/>
      <c r="E450" s="8"/>
      <c r="F450" s="9"/>
      <c r="G450" s="9"/>
      <c r="H450" s="6"/>
      <c r="I450" s="9"/>
      <c r="J450" s="9" t="s">
        <v>145</v>
      </c>
    </row>
    <row r="451" spans="1:10">
      <c r="A451" s="5"/>
      <c r="B451" s="6"/>
      <c r="C451" s="7"/>
      <c r="D451" s="9"/>
      <c r="E451" s="4"/>
      <c r="F451" s="9"/>
      <c r="G451" s="9"/>
      <c r="H451" s="6"/>
      <c r="I451" s="9"/>
      <c r="J451" s="9" t="s">
        <v>145</v>
      </c>
    </row>
    <row r="452" spans="1:10">
      <c r="A452" s="5"/>
      <c r="B452" s="6"/>
      <c r="C452" s="7"/>
      <c r="D452" s="9"/>
      <c r="E452" s="8"/>
      <c r="F452" s="9"/>
      <c r="G452" s="9"/>
      <c r="H452" s="6"/>
      <c r="I452" s="9"/>
      <c r="J452" s="9" t="s">
        <v>145</v>
      </c>
    </row>
    <row r="453" spans="1:10">
      <c r="A453" s="5"/>
      <c r="B453" s="6"/>
      <c r="C453" s="7"/>
      <c r="D453" s="9"/>
      <c r="E453" s="8"/>
      <c r="F453" s="9"/>
      <c r="G453" s="9"/>
      <c r="H453" s="6"/>
      <c r="I453" s="9"/>
      <c r="J453" s="9" t="s">
        <v>145</v>
      </c>
    </row>
    <row r="454" spans="1:10">
      <c r="A454" s="5"/>
      <c r="B454" s="6"/>
      <c r="C454" s="7"/>
      <c r="D454" s="9"/>
      <c r="E454" s="4"/>
      <c r="F454" s="9"/>
      <c r="G454" s="9"/>
      <c r="H454" s="6"/>
      <c r="I454" s="9"/>
      <c r="J454" s="9" t="s">
        <v>145</v>
      </c>
    </row>
    <row r="455" spans="1:10">
      <c r="A455" s="5"/>
      <c r="B455" s="6"/>
      <c r="C455" s="7"/>
      <c r="D455" s="9"/>
      <c r="E455" s="8"/>
      <c r="F455" s="9"/>
      <c r="G455" s="9"/>
      <c r="H455" s="6"/>
      <c r="I455" s="9"/>
      <c r="J455" s="9" t="s">
        <v>145</v>
      </c>
    </row>
    <row r="456" spans="1:10">
      <c r="A456" s="5"/>
      <c r="B456" s="6"/>
      <c r="C456" s="7"/>
      <c r="D456" s="9"/>
      <c r="E456" s="8"/>
      <c r="F456" s="9"/>
      <c r="G456" s="9"/>
      <c r="H456" s="6"/>
      <c r="I456" s="9"/>
      <c r="J456" s="9" t="s">
        <v>145</v>
      </c>
    </row>
    <row r="457" spans="1:10">
      <c r="A457" s="5"/>
      <c r="B457" s="6"/>
      <c r="C457" s="7"/>
      <c r="D457" s="9"/>
      <c r="E457" s="8"/>
      <c r="F457" s="9"/>
      <c r="G457" s="9"/>
      <c r="H457" s="6"/>
      <c r="I457" s="9"/>
      <c r="J457" s="9" t="s">
        <v>145</v>
      </c>
    </row>
    <row r="458" spans="1:10">
      <c r="A458" s="5"/>
      <c r="B458" s="6"/>
      <c r="C458" s="7"/>
      <c r="D458" s="9"/>
      <c r="E458" s="8"/>
      <c r="F458" s="9"/>
      <c r="G458" s="9"/>
      <c r="H458" s="6"/>
      <c r="I458" s="9"/>
      <c r="J458" s="9" t="s">
        <v>145</v>
      </c>
    </row>
    <row r="459" spans="1:10">
      <c r="A459" s="5"/>
      <c r="B459" s="6"/>
      <c r="C459" s="7"/>
      <c r="D459" s="9"/>
      <c r="E459" s="8"/>
      <c r="F459" s="9"/>
      <c r="G459" s="9"/>
      <c r="H459" s="6"/>
      <c r="I459" s="9"/>
      <c r="J459" s="9" t="s">
        <v>145</v>
      </c>
    </row>
    <row r="460" spans="1:10">
      <c r="A460" s="5"/>
      <c r="B460" s="6"/>
      <c r="C460" s="7"/>
      <c r="D460" s="9"/>
      <c r="E460" s="8"/>
      <c r="F460" s="9"/>
      <c r="G460" s="9"/>
      <c r="H460" s="6"/>
      <c r="I460" s="9"/>
      <c r="J460" s="9" t="s">
        <v>145</v>
      </c>
    </row>
    <row r="461" spans="1:10">
      <c r="A461" s="5"/>
      <c r="B461" s="6"/>
      <c r="C461" s="7"/>
      <c r="D461" s="9"/>
      <c r="E461" s="4"/>
      <c r="F461" s="9"/>
      <c r="G461" s="9"/>
      <c r="H461" s="6"/>
      <c r="I461" s="9"/>
      <c r="J461" s="9" t="s">
        <v>145</v>
      </c>
    </row>
    <row r="462" spans="1:10">
      <c r="A462" s="5"/>
      <c r="B462" s="6"/>
      <c r="C462" s="7"/>
      <c r="D462" s="9"/>
      <c r="E462" s="4"/>
      <c r="F462" s="9"/>
      <c r="G462" s="9"/>
      <c r="H462" s="6"/>
      <c r="I462" s="9"/>
      <c r="J462" s="9" t="s">
        <v>145</v>
      </c>
    </row>
    <row r="463" spans="1:10">
      <c r="A463" s="5"/>
      <c r="B463" s="6"/>
      <c r="C463" s="7"/>
      <c r="D463" s="9"/>
      <c r="E463" s="8"/>
      <c r="F463" s="9"/>
      <c r="G463" s="9"/>
      <c r="H463" s="6"/>
      <c r="I463" s="9"/>
      <c r="J463" s="9" t="s">
        <v>145</v>
      </c>
    </row>
    <row r="464" spans="1:10">
      <c r="A464" s="5"/>
      <c r="B464" s="6"/>
      <c r="C464" s="7"/>
      <c r="D464" s="9"/>
      <c r="E464" s="8"/>
      <c r="F464" s="9"/>
      <c r="G464" s="9"/>
      <c r="H464" s="6"/>
      <c r="I464" s="9"/>
      <c r="J464" s="9" t="s">
        <v>145</v>
      </c>
    </row>
    <row r="465" spans="1:10">
      <c r="A465" s="5"/>
      <c r="B465" s="6"/>
      <c r="C465" s="7"/>
      <c r="D465" s="9"/>
      <c r="E465" s="8"/>
      <c r="F465" s="9"/>
      <c r="G465" s="9"/>
      <c r="H465" s="6"/>
      <c r="I465" s="9"/>
      <c r="J465" s="9" t="s">
        <v>145</v>
      </c>
    </row>
    <row r="466" spans="1:10">
      <c r="A466" s="5"/>
      <c r="B466" s="6"/>
      <c r="C466" s="7"/>
      <c r="D466" s="9"/>
      <c r="E466" s="4"/>
      <c r="F466" s="9"/>
      <c r="G466" s="9"/>
      <c r="H466" s="6"/>
      <c r="I466" s="9"/>
      <c r="J466" s="9" t="s">
        <v>145</v>
      </c>
    </row>
    <row r="467" spans="1:10">
      <c r="A467" s="5"/>
      <c r="B467" s="6"/>
      <c r="C467" s="7"/>
      <c r="D467" s="9"/>
      <c r="E467" s="8"/>
      <c r="F467" s="9"/>
      <c r="G467" s="9"/>
      <c r="H467" s="6"/>
      <c r="I467" s="9"/>
      <c r="J467" s="9" t="s">
        <v>145</v>
      </c>
    </row>
    <row r="468" spans="1:10">
      <c r="A468" s="5"/>
      <c r="B468" s="6"/>
      <c r="C468" s="7"/>
      <c r="D468" s="9"/>
      <c r="E468" s="8"/>
      <c r="F468" s="9"/>
      <c r="G468" s="9"/>
      <c r="H468" s="6"/>
      <c r="I468" s="9"/>
      <c r="J468" s="9" t="s">
        <v>145</v>
      </c>
    </row>
    <row r="469" spans="1:10">
      <c r="A469" s="5"/>
      <c r="B469" s="6"/>
      <c r="C469" s="7"/>
      <c r="D469" s="9"/>
      <c r="E469" s="8"/>
      <c r="F469" s="9"/>
      <c r="G469" s="9"/>
      <c r="H469" s="6"/>
      <c r="I469" s="9"/>
      <c r="J469" s="9" t="s">
        <v>145</v>
      </c>
    </row>
    <row r="470" spans="1:10">
      <c r="A470" s="5"/>
      <c r="B470" s="6"/>
      <c r="C470" s="7"/>
      <c r="D470" s="9"/>
      <c r="E470" s="4"/>
      <c r="F470" s="9"/>
      <c r="G470" s="9"/>
      <c r="H470" s="6"/>
      <c r="I470" s="9"/>
      <c r="J470" s="9" t="s">
        <v>145</v>
      </c>
    </row>
    <row r="471" spans="1:10">
      <c r="A471" s="5"/>
      <c r="B471" s="6"/>
      <c r="C471" s="7"/>
      <c r="D471" s="9"/>
      <c r="E471" s="8"/>
      <c r="F471" s="9"/>
      <c r="G471" s="9"/>
      <c r="H471" s="6"/>
      <c r="I471" s="9"/>
      <c r="J471" s="9" t="s">
        <v>145</v>
      </c>
    </row>
    <row r="472" spans="1:10">
      <c r="A472" s="5"/>
      <c r="B472" s="6"/>
      <c r="C472" s="7"/>
      <c r="D472" s="9"/>
      <c r="E472" s="4"/>
      <c r="F472" s="9"/>
      <c r="G472" s="9"/>
      <c r="H472" s="6"/>
      <c r="I472" s="9"/>
      <c r="J472" s="9" t="s">
        <v>145</v>
      </c>
    </row>
    <row r="473" spans="1:10">
      <c r="A473" s="5"/>
      <c r="B473" s="6"/>
      <c r="C473" s="7"/>
      <c r="D473" s="9"/>
      <c r="E473" s="8"/>
      <c r="F473" s="9"/>
      <c r="G473" s="9"/>
      <c r="H473" s="6"/>
      <c r="I473" s="9"/>
      <c r="J473" s="9" t="s">
        <v>145</v>
      </c>
    </row>
    <row r="474" spans="1:10">
      <c r="A474" s="5"/>
      <c r="B474" s="6"/>
      <c r="C474" s="7"/>
      <c r="D474" s="9"/>
      <c r="E474" s="4"/>
      <c r="F474" s="9"/>
      <c r="G474" s="9"/>
      <c r="H474" s="6"/>
      <c r="I474" s="9"/>
      <c r="J474" s="9" t="s">
        <v>145</v>
      </c>
    </row>
  </sheetData>
  <autoFilter ref="A6:M454" xr:uid="{B7411325-D959-40C5-9F01-09913600F1C6}"/>
  <mergeCells count="2">
    <mergeCell ref="A2:J2"/>
    <mergeCell ref="A3:B3"/>
  </mergeCells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13</vt:i4>
      </vt:variant>
    </vt:vector>
  </HeadingPairs>
  <TitlesOfParts>
    <vt:vector size="13" baseType="lpstr">
      <vt:lpstr>사급자재 사용내역</vt:lpstr>
      <vt:lpstr>센터 자재 사용내역(01월)</vt:lpstr>
      <vt:lpstr>센터 자재 사용내역(02월)</vt:lpstr>
      <vt:lpstr>센터 자재 사용내역(03월)</vt:lpstr>
      <vt:lpstr>센터 자재 사용내역(04월)</vt:lpstr>
      <vt:lpstr>센터 자재 사용내역(05월)</vt:lpstr>
      <vt:lpstr>센터 자재 사용내역(06월)</vt:lpstr>
      <vt:lpstr>센터 자재 사용내역(07월)</vt:lpstr>
      <vt:lpstr>센터 자재 사용내역(08월)</vt:lpstr>
      <vt:lpstr>센터 자재 사용내역(09월)</vt:lpstr>
      <vt:lpstr>센터 자재 사용내역(10월)</vt:lpstr>
      <vt:lpstr>센터 자재 사용내역(11월)</vt:lpstr>
      <vt:lpstr>센터 자재 사용내역(12월)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이한준</dc:creator>
  <cp:lastModifiedBy>진덕 유</cp:lastModifiedBy>
  <dcterms:created xsi:type="dcterms:W3CDTF">2023-05-25T04:40:02Z</dcterms:created>
  <dcterms:modified xsi:type="dcterms:W3CDTF">2026-09-15T06:33:48Z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asoo_Trace_ID">
    <vt:lpwstr>eyJub2RlMSI6eyJkc2QiOiIwMTAwMDAwMDAwMDAyODE3IiwibG9nVGltZSI6IjIwMjMtMDYtMTJUMDk6Mjk6MzdaIiwicElEIjoxLCJ0cmFjZUlkIjoiRDE3QTg0OEE4MzZDNEJFM0FBM0U5NDdCNDYwMjIwRUQiLCJ1c2VyQ29kZSI6IkoyMzAwMiJ9LCJub2RlMiI6eyJkc2QiOiIwMTAwMDAwMDAwMDAyODE3IiwibG9nVGltZSI6IjIwMjM</vt:lpwstr>
  </property>
</Properties>
</file>
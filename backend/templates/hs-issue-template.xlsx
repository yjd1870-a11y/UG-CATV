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3B33887-0C5C-4EB1-839F-929A5B9AB5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구내증폭기 분출현황(H&amp;S)" sheetId="2" r:id="rId1"/>
  </sheets>
  <externalReferences>
    <externalReference r:id="rId2"/>
  </externalReferences>
  <definedNames>
    <definedName name="목록">[1]목록!$A$2:$R$2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2" l="1"/>
  <c r="H8" i="2"/>
  <c r="G8" i="2"/>
  <c r="F8" i="2"/>
  <c r="H7" i="2"/>
  <c r="G7" i="2"/>
  <c r="F7" i="2"/>
  <c r="H6" i="2"/>
  <c r="G6" i="2"/>
  <c r="F6" i="2"/>
  <c r="H5" i="2"/>
  <c r="H12" i="2" s="1"/>
  <c r="G5" i="2"/>
  <c r="G12" i="2" s="1"/>
  <c r="F5" i="2"/>
  <c r="F12" i="2" s="1"/>
</calcChain>
</file>

<file path=xl/sharedStrings.xml><?xml version="1.0" encoding="utf-8"?>
<sst xmlns="http://schemas.openxmlformats.org/spreadsheetml/2006/main" count="103" uniqueCount="24">
  <si>
    <t>■ 지점별 구내증폭기 불출현황</t>
    <phoneticPr fontId="4" type="noConversion"/>
  </si>
  <si>
    <t>사업자</t>
    <phoneticPr fontId="4" type="noConversion"/>
  </si>
  <si>
    <t>지점</t>
    <phoneticPr fontId="4" type="noConversion"/>
  </si>
  <si>
    <t>품목</t>
    <phoneticPr fontId="4" type="noConversion"/>
  </si>
  <si>
    <t>모델</t>
    <phoneticPr fontId="4" type="noConversion"/>
  </si>
  <si>
    <t>년도별 분출수량</t>
    <phoneticPr fontId="4" type="noConversion"/>
  </si>
  <si>
    <t>비고</t>
    <phoneticPr fontId="4" type="noConversion"/>
  </si>
  <si>
    <t>2025년</t>
    <phoneticPr fontId="4" type="noConversion"/>
  </si>
  <si>
    <t>2026년</t>
    <phoneticPr fontId="4" type="noConversion"/>
  </si>
  <si>
    <t>2027년</t>
    <phoneticPr fontId="4" type="noConversion"/>
  </si>
  <si>
    <t>H&amp;S</t>
    <phoneticPr fontId="4" type="noConversion"/>
  </si>
  <si>
    <t>용인남부</t>
    <phoneticPr fontId="4" type="noConversion"/>
  </si>
  <si>
    <t>구내증폭기</t>
    <phoneticPr fontId="4" type="noConversion"/>
  </si>
  <si>
    <t>LCA-1030_1Ghz (저가형)</t>
    <phoneticPr fontId="4" type="noConversion"/>
  </si>
  <si>
    <t>용인북부</t>
    <phoneticPr fontId="4" type="noConversion"/>
  </si>
  <si>
    <t>평택지점</t>
    <phoneticPr fontId="4" type="noConversion"/>
  </si>
  <si>
    <t>수원동부지점</t>
    <phoneticPr fontId="4" type="noConversion"/>
  </si>
  <si>
    <t>총계</t>
    <phoneticPr fontId="4" type="noConversion"/>
  </si>
  <si>
    <t>■ H&amp;S 구내증폭기 분출 세부현황</t>
    <phoneticPr fontId="4" type="noConversion"/>
  </si>
  <si>
    <t>수량</t>
    <phoneticPr fontId="4" type="noConversion"/>
  </si>
  <si>
    <t>연도</t>
    <phoneticPr fontId="4" type="noConversion"/>
  </si>
  <si>
    <t>날짜</t>
    <phoneticPr fontId="4" type="noConversion"/>
  </si>
  <si>
    <t>CA-1030_1Ghz(동양)</t>
    <phoneticPr fontId="4" type="noConversion"/>
  </si>
  <si>
    <t>합계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</si>
</sst>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/mm/dd;@"/>
    <numFmt numFmtId="177" formatCode="\ mm&quot;월&quot;\ dd&quot;일&quot;;@"/>
  </numFmts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9">
    <xf numFmtId="0" fontId="0" fillId="0" borderId="0" xfId="0"/>
    <xf numFmtId="0" fontId="1" fillId="0" borderId="0" xfId="1">
      <alignment vertical="center"/>
    </xf>
    <xf numFmtId="176" fontId="1" fillId="0" borderId="0" xfId="1" applyNumberFormat="1">
      <alignment vertical="center"/>
    </xf>
    <xf numFmtId="0" fontId="3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176" fontId="5" fillId="2" borderId="2" xfId="1" applyNumberFormat="1" applyFont="1" applyFill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41" fontId="1" fillId="0" borderId="2" xfId="1" applyNumberFormat="1" applyBorder="1">
      <alignment vertical="center"/>
    </xf>
    <xf numFmtId="0" fontId="1" fillId="0" borderId="3" xfId="1" applyBorder="1">
      <alignment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176" fontId="5" fillId="4" borderId="2" xfId="1" applyNumberFormat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>
      <alignment vertical="center"/>
    </xf>
    <xf numFmtId="176" fontId="6" fillId="0" borderId="2" xfId="1" applyNumberFormat="1" applyFont="1" applyBorder="1" applyAlignment="1">
      <alignment horizontal="right" vertical="center"/>
    </xf>
    <xf numFmtId="177" fontId="6" fillId="0" borderId="2" xfId="1" applyNumberFormat="1" applyFont="1" applyBorder="1" applyAlignment="1">
      <alignment horizontal="center" vertical="center"/>
    </xf>
    <xf numFmtId="176" fontId="6" fillId="0" borderId="2" xfId="1" applyNumberFormat="1" applyFont="1" applyBorder="1">
      <alignment vertical="center"/>
    </xf>
    <xf numFmtId="0" fontId="1" fillId="3" borderId="7" xfId="1" applyFill="1" applyBorder="1" applyAlignment="1">
      <alignment horizontal="center" vertical="center"/>
    </xf>
    <xf numFmtId="0" fontId="1" fillId="3" borderId="0" xfId="1" applyFill="1">
      <alignment vertical="center"/>
    </xf>
    <xf numFmtId="176" fontId="1" fillId="3" borderId="0" xfId="1" applyNumberFormat="1" applyFill="1">
      <alignment vertical="center"/>
    </xf>
    <xf numFmtId="0" fontId="5" fillId="5" borderId="1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41" fontId="5" fillId="5" borderId="2" xfId="1" applyNumberFormat="1" applyFont="1" applyFill="1" applyBorder="1">
      <alignment vertical="center"/>
    </xf>
    <xf numFmtId="0" fontId="5" fillId="5" borderId="3" xfId="1" applyFont="1" applyFill="1" applyBorder="1">
      <alignment vertical="center"/>
    </xf>
  </cellXfs>
  <cellStyles count="2">
    <cellStyle name="표준" xfId="0" builtinId="0"/>
    <cellStyle name="표준 2" xfId="1" xr:uid="{08221D7B-2A1D-4033-8E99-22DAC29EF2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0976;&#51648;&#48372;&#49688;%20&#51088;&#51116;\UG%20Telecom%20C1%20&#49324;&#50629;&#48512;_&#51204;&#49569;&#47581;&#51088;&#51116;&#49324;&#50857;&#45236;&#50669;09&#50900;(&#45236;&#48512;%20&#44288;&#47532;&#50857;).xlsx" TargetMode="External"/><Relationship Id="rId1" Type="http://schemas.openxmlformats.org/officeDocument/2006/relationships/externalLinkPath" Target="&#50976;&#51648;&#48372;&#49688;%20&#51088;&#51116;/UG%20Telecom%20C1%20&#49324;&#50629;&#48512;_&#51204;&#49569;&#47581;&#51088;&#51116;&#49324;&#50857;&#45236;&#50669;09&#50900;(&#45236;&#48512;%20&#44288;&#47532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자재 출고현황"/>
      <sheetName val="재재 사용내역"/>
      <sheetName val="사진 (능동소자)"/>
      <sheetName val="자재 단일리스트(수동소자)"/>
      <sheetName val="구내증폭기 분출현황(H&amp;S)"/>
      <sheetName val="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ONU</v>
          </cell>
          <cell r="B2" t="str">
            <v>간선증폭기</v>
          </cell>
          <cell r="C2" t="str">
            <v>구내증폭기</v>
          </cell>
          <cell r="D2" t="str">
            <v>연장증폭기</v>
          </cell>
          <cell r="E2" t="str">
            <v>선로증폭기</v>
          </cell>
          <cell r="F2" t="str">
            <v>동축케이블</v>
          </cell>
          <cell r="G2" t="str">
            <v>전원공급기_PS</v>
          </cell>
          <cell r="H2" t="str">
            <v>전원공급기_UPS</v>
          </cell>
          <cell r="I2" t="str">
            <v>자동복구기</v>
          </cell>
          <cell r="J2" t="str">
            <v>옥내용_8분기기</v>
          </cell>
          <cell r="K2" t="str">
            <v>옥내용분배기</v>
          </cell>
          <cell r="L2" t="str">
            <v>수동소자</v>
          </cell>
          <cell r="M2" t="str">
            <v>열수축관</v>
          </cell>
          <cell r="N2" t="str">
            <v>공사성자재</v>
          </cell>
          <cell r="O2" t="str">
            <v>커넥터</v>
          </cell>
          <cell r="P2" t="str">
            <v>광유지보수자재</v>
          </cell>
          <cell r="Q2" t="str">
            <v>필터</v>
          </cell>
          <cell r="R2" t="str">
            <v>계량기함체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7C05-BB01-42A6-940F-FAAC18000C6E}">
  <sheetPr>
    <tabColor theme="6" tint="0.39997558519241921"/>
  </sheetPr>
  <dimension ref="B1:I65"/>
  <sheetViews>
    <sheetView showGridLines="0" tabSelected="1" workbookViewId="0">
      <pane ySplit="15" topLeftCell="A16" activePane="bottomLeft" state="frozen"/>
      <selection pane="bottomLeft" activeCell="L24" sqref="L24"/>
    </sheetView>
  </sheetViews>
  <sheetFormatPr defaultRowHeight="17" x14ac:dyDescent="0.45"/>
  <cols>
    <col min="1" max="1" width="6.6640625" style="1" customWidth="1"/>
    <col min="2" max="2" width="8.6640625" style="1"/>
    <col min="3" max="3" width="13" style="1" bestFit="1" customWidth="1"/>
    <col min="4" max="4" width="14" style="1" customWidth="1"/>
    <col min="5" max="5" width="23.58203125" style="1" bestFit="1" customWidth="1"/>
    <col min="6" max="6" width="9.5" style="1" customWidth="1"/>
    <col min="7" max="8" width="9.5" style="2" customWidth="1"/>
    <col min="9" max="9" width="27.58203125" style="1" customWidth="1"/>
    <col min="10" max="16384" width="8.6640625" style="1"/>
  </cols>
  <sheetData>
    <row r="1" spans="2:9" ht="8" customHeight="1" x14ac:dyDescent="0.45"/>
    <row r="2" spans="2:9" ht="17.5" x14ac:dyDescent="0.45">
      <c r="B2" s="3" t="s">
        <v>0</v>
      </c>
      <c r="C2" s="3"/>
    </row>
    <row r="3" spans="2:9" x14ac:dyDescent="0.45"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/>
      <c r="H3" s="5"/>
      <c r="I3" s="6" t="s">
        <v>6</v>
      </c>
    </row>
    <row r="4" spans="2:9" ht="21" customHeight="1" x14ac:dyDescent="0.45">
      <c r="B4" s="4"/>
      <c r="C4" s="5"/>
      <c r="D4" s="5"/>
      <c r="E4" s="5"/>
      <c r="F4" s="7" t="s">
        <v>7</v>
      </c>
      <c r="G4" s="8" t="s">
        <v>8</v>
      </c>
      <c r="H4" s="8" t="s">
        <v>9</v>
      </c>
      <c r="I4" s="6"/>
    </row>
    <row r="5" spans="2:9" x14ac:dyDescent="0.45">
      <c r="B5" s="4" t="s">
        <v>10</v>
      </c>
      <c r="C5" s="9" t="s">
        <v>11</v>
      </c>
      <c r="D5" s="10" t="s">
        <v>12</v>
      </c>
      <c r="E5" s="10" t="s">
        <v>13</v>
      </c>
      <c r="F5" s="11">
        <f>SUMIFS($F$16:$F$64,$G$16:$G$64,F4,$C$16:$C$64,C5)</f>
        <v>0</v>
      </c>
      <c r="G5" s="11">
        <f>SUMIFS($F$16:$F$64,$G$16:$G$64,G4,$C$16:$C$64,C5)</f>
        <v>20</v>
      </c>
      <c r="H5" s="11">
        <f>SUMIFS($F$16:$F$64,$G$16:$G$64,H4,$C$16:$C$64,C5)</f>
        <v>0</v>
      </c>
      <c r="I5" s="12"/>
    </row>
    <row r="6" spans="2:9" x14ac:dyDescent="0.45">
      <c r="B6" s="4"/>
      <c r="C6" s="9" t="s">
        <v>14</v>
      </c>
      <c r="D6" s="13"/>
      <c r="E6" s="13"/>
      <c r="F6" s="11">
        <f>SUMIFS($F$16:$F$64,$G$16:$G$64,F4,$C$16:$C$64,C6)</f>
        <v>150</v>
      </c>
      <c r="G6" s="11">
        <f>SUMIFS($F$16:$F$64,$G$16:$G$64,G4,$C$16:$C$64,C6)</f>
        <v>80</v>
      </c>
      <c r="H6" s="11">
        <f>SUMIFS($F$16:$F$64,$G$16:$G$64,H4,$C$16:$C$64,C6)</f>
        <v>0</v>
      </c>
      <c r="I6" s="12"/>
    </row>
    <row r="7" spans="2:9" x14ac:dyDescent="0.45">
      <c r="B7" s="4"/>
      <c r="C7" s="9" t="s">
        <v>15</v>
      </c>
      <c r="D7" s="13"/>
      <c r="E7" s="13"/>
      <c r="F7" s="11">
        <f>SUMIFS($F$16:$F$64,$G$16:$G$64,F4,$C$16:$C$64,C7)</f>
        <v>40</v>
      </c>
      <c r="G7" s="11">
        <f>SUMIFS($F$16:$F$64,$G$16:$G$64,G4,$C$16:$C$64,C7)</f>
        <v>40</v>
      </c>
      <c r="H7" s="11">
        <f>SUMIFS($F$16:$F$64,$G$16:$G$64,H4,$C$16:$C$64,C7)</f>
        <v>0</v>
      </c>
      <c r="I7" s="12"/>
    </row>
    <row r="8" spans="2:9" x14ac:dyDescent="0.45">
      <c r="B8" s="4"/>
      <c r="C8" s="9" t="s">
        <v>16</v>
      </c>
      <c r="D8" s="13"/>
      <c r="E8" s="13"/>
      <c r="F8" s="11">
        <f>SUMIFS($F$16:$F$64,$G$16:$G$64,F4,$C$16:$C$64,C8)</f>
        <v>30</v>
      </c>
      <c r="G8" s="11">
        <f>SUMIFS($F$16:$F$64,$G$16:$G$64,G4,$C$16:$C$64,C8)</f>
        <v>3</v>
      </c>
      <c r="H8" s="11">
        <f>SUMIFS($F$16:$F$64,$G$16:$G$64,H4,$C$16:$C$64,C8)</f>
        <v>0</v>
      </c>
      <c r="I8" s="12"/>
    </row>
    <row r="9" spans="2:9" x14ac:dyDescent="0.45">
      <c r="B9" s="4"/>
      <c r="C9" s="9"/>
      <c r="D9" s="13"/>
      <c r="E9" s="13"/>
      <c r="F9" s="11"/>
      <c r="G9" s="11"/>
      <c r="H9" s="11"/>
      <c r="I9" s="12"/>
    </row>
    <row r="10" spans="2:9" x14ac:dyDescent="0.45">
      <c r="B10" s="4"/>
      <c r="C10" s="9"/>
      <c r="D10" s="13"/>
      <c r="E10" s="13"/>
      <c r="F10" s="11"/>
      <c r="G10" s="11"/>
      <c r="H10" s="11"/>
      <c r="I10" s="12"/>
    </row>
    <row r="11" spans="2:9" x14ac:dyDescent="0.45">
      <c r="B11" s="4"/>
      <c r="C11" s="9"/>
      <c r="D11" s="14"/>
      <c r="E11" s="14"/>
      <c r="F11" s="11"/>
      <c r="G11" s="11"/>
      <c r="H11" s="11"/>
      <c r="I11" s="12"/>
    </row>
    <row r="12" spans="2:9" x14ac:dyDescent="0.45">
      <c r="B12" s="25" t="s">
        <v>17</v>
      </c>
      <c r="C12" s="26"/>
      <c r="D12" s="26"/>
      <c r="E12" s="26"/>
      <c r="F12" s="27">
        <f>SUM(F5:F11)</f>
        <v>220</v>
      </c>
      <c r="G12" s="27">
        <f>SUM(G5:G11)</f>
        <v>143</v>
      </c>
      <c r="H12" s="27">
        <f>SUM(H5:H11)</f>
        <v>0</v>
      </c>
      <c r="I12" s="28"/>
    </row>
    <row r="13" spans="2:9" ht="8" customHeight="1" x14ac:dyDescent="0.45"/>
    <row r="14" spans="2:9" ht="17.5" x14ac:dyDescent="0.45">
      <c r="B14" s="3" t="s">
        <v>18</v>
      </c>
    </row>
    <row r="15" spans="2:9" ht="20" customHeight="1" x14ac:dyDescent="0.45">
      <c r="B15" s="15" t="s">
        <v>1</v>
      </c>
      <c r="C15" s="15" t="s">
        <v>2</v>
      </c>
      <c r="D15" s="15" t="s">
        <v>3</v>
      </c>
      <c r="E15" s="15" t="s">
        <v>4</v>
      </c>
      <c r="F15" s="15" t="s">
        <v>19</v>
      </c>
      <c r="G15" s="16" t="s">
        <v>20</v>
      </c>
      <c r="H15" s="16" t="s">
        <v>21</v>
      </c>
      <c r="I15" s="15" t="s">
        <v>6</v>
      </c>
    </row>
    <row r="16" spans="2:9" x14ac:dyDescent="0.45">
      <c r="B16" s="17" t="s">
        <v>10</v>
      </c>
      <c r="C16" s="18" t="s">
        <v>14</v>
      </c>
      <c r="D16" s="18" t="s">
        <v>12</v>
      </c>
      <c r="E16" s="18" t="s">
        <v>13</v>
      </c>
      <c r="F16" s="18">
        <v>30</v>
      </c>
      <c r="G16" s="19" t="s">
        <v>7</v>
      </c>
      <c r="H16" s="20">
        <v>45764</v>
      </c>
      <c r="I16" s="18"/>
    </row>
    <row r="17" spans="2:9" x14ac:dyDescent="0.45">
      <c r="B17" s="17" t="s">
        <v>10</v>
      </c>
      <c r="C17" s="18" t="s">
        <v>14</v>
      </c>
      <c r="D17" s="18" t="s">
        <v>12</v>
      </c>
      <c r="E17" s="18" t="s">
        <v>13</v>
      </c>
      <c r="F17" s="18">
        <v>50</v>
      </c>
      <c r="G17" s="19" t="s">
        <v>7</v>
      </c>
      <c r="H17" s="20">
        <v>45796</v>
      </c>
      <c r="I17" s="18"/>
    </row>
    <row r="18" spans="2:9" x14ac:dyDescent="0.45">
      <c r="B18" s="17" t="s">
        <v>10</v>
      </c>
      <c r="C18" s="18" t="s">
        <v>15</v>
      </c>
      <c r="D18" s="18" t="s">
        <v>12</v>
      </c>
      <c r="E18" s="18" t="s">
        <v>13</v>
      </c>
      <c r="F18" s="18">
        <v>20</v>
      </c>
      <c r="G18" s="19" t="s">
        <v>7</v>
      </c>
      <c r="H18" s="20">
        <v>45809</v>
      </c>
      <c r="I18" s="18"/>
    </row>
    <row r="19" spans="2:9" x14ac:dyDescent="0.45">
      <c r="B19" s="17" t="s">
        <v>10</v>
      </c>
      <c r="C19" s="18" t="s">
        <v>14</v>
      </c>
      <c r="D19" s="18" t="s">
        <v>12</v>
      </c>
      <c r="E19" s="18" t="s">
        <v>13</v>
      </c>
      <c r="F19" s="18">
        <v>50</v>
      </c>
      <c r="G19" s="19" t="s">
        <v>7</v>
      </c>
      <c r="H19" s="20">
        <v>45863</v>
      </c>
      <c r="I19" s="18"/>
    </row>
    <row r="20" spans="2:9" x14ac:dyDescent="0.45">
      <c r="B20" s="17" t="s">
        <v>10</v>
      </c>
      <c r="C20" s="18" t="s">
        <v>15</v>
      </c>
      <c r="D20" s="18" t="s">
        <v>12</v>
      </c>
      <c r="E20" s="18" t="s">
        <v>13</v>
      </c>
      <c r="F20" s="18">
        <v>10</v>
      </c>
      <c r="G20" s="19" t="s">
        <v>7</v>
      </c>
      <c r="H20" s="20">
        <v>45869</v>
      </c>
      <c r="I20" s="18"/>
    </row>
    <row r="21" spans="2:9" x14ac:dyDescent="0.45">
      <c r="B21" s="17" t="s">
        <v>10</v>
      </c>
      <c r="C21" s="18" t="s">
        <v>16</v>
      </c>
      <c r="D21" s="18" t="s">
        <v>12</v>
      </c>
      <c r="E21" s="18" t="s">
        <v>13</v>
      </c>
      <c r="F21" s="18">
        <v>30</v>
      </c>
      <c r="G21" s="19" t="s">
        <v>7</v>
      </c>
      <c r="H21" s="20">
        <v>45868</v>
      </c>
      <c r="I21" s="18"/>
    </row>
    <row r="22" spans="2:9" x14ac:dyDescent="0.45">
      <c r="B22" s="17" t="s">
        <v>10</v>
      </c>
      <c r="C22" s="18" t="s">
        <v>15</v>
      </c>
      <c r="D22" s="18" t="s">
        <v>12</v>
      </c>
      <c r="E22" s="18" t="s">
        <v>13</v>
      </c>
      <c r="F22" s="18">
        <v>10</v>
      </c>
      <c r="G22" s="19" t="s">
        <v>7</v>
      </c>
      <c r="H22" s="20">
        <v>45901</v>
      </c>
      <c r="I22" s="18"/>
    </row>
    <row r="23" spans="2:9" x14ac:dyDescent="0.45">
      <c r="B23" s="17" t="s">
        <v>10</v>
      </c>
      <c r="C23" s="18" t="s">
        <v>14</v>
      </c>
      <c r="D23" s="18" t="s">
        <v>12</v>
      </c>
      <c r="E23" s="18" t="s">
        <v>13</v>
      </c>
      <c r="F23" s="18">
        <v>20</v>
      </c>
      <c r="G23" s="19" t="s">
        <v>7</v>
      </c>
      <c r="H23" s="20">
        <v>46008</v>
      </c>
      <c r="I23" s="18"/>
    </row>
    <row r="24" spans="2:9" x14ac:dyDescent="0.45">
      <c r="B24" s="17" t="s">
        <v>10</v>
      </c>
      <c r="C24" s="18" t="s">
        <v>11</v>
      </c>
      <c r="D24" s="18" t="s">
        <v>12</v>
      </c>
      <c r="E24" s="18" t="s">
        <v>13</v>
      </c>
      <c r="F24" s="18">
        <v>20</v>
      </c>
      <c r="G24" s="19" t="s">
        <v>8</v>
      </c>
      <c r="H24" s="20">
        <v>46024</v>
      </c>
      <c r="I24" s="18"/>
    </row>
    <row r="25" spans="2:9" x14ac:dyDescent="0.45">
      <c r="B25" s="17" t="s">
        <v>10</v>
      </c>
      <c r="C25" s="18" t="s">
        <v>14</v>
      </c>
      <c r="D25" s="18" t="s">
        <v>12</v>
      </c>
      <c r="E25" s="18" t="s">
        <v>13</v>
      </c>
      <c r="F25" s="18">
        <v>20</v>
      </c>
      <c r="G25" s="19" t="s">
        <v>8</v>
      </c>
      <c r="H25" s="20">
        <v>46037</v>
      </c>
      <c r="I25" s="18"/>
    </row>
    <row r="26" spans="2:9" x14ac:dyDescent="0.45">
      <c r="B26" s="17" t="s">
        <v>10</v>
      </c>
      <c r="C26" s="18" t="s">
        <v>15</v>
      </c>
      <c r="D26" s="18" t="s">
        <v>12</v>
      </c>
      <c r="E26" s="18" t="s">
        <v>13</v>
      </c>
      <c r="F26" s="18">
        <v>20</v>
      </c>
      <c r="G26" s="19" t="s">
        <v>8</v>
      </c>
      <c r="H26" s="20">
        <v>46050</v>
      </c>
      <c r="I26" s="18"/>
    </row>
    <row r="27" spans="2:9" x14ac:dyDescent="0.45">
      <c r="B27" s="17" t="s">
        <v>10</v>
      </c>
      <c r="C27" s="18" t="s">
        <v>14</v>
      </c>
      <c r="D27" s="18" t="s">
        <v>12</v>
      </c>
      <c r="E27" s="18" t="s">
        <v>13</v>
      </c>
      <c r="F27" s="18">
        <v>20</v>
      </c>
      <c r="G27" s="19" t="s">
        <v>8</v>
      </c>
      <c r="H27" s="20">
        <v>46065</v>
      </c>
      <c r="I27" s="18"/>
    </row>
    <row r="28" spans="2:9" x14ac:dyDescent="0.45">
      <c r="B28" s="17" t="s">
        <v>10</v>
      </c>
      <c r="C28" s="18" t="s">
        <v>14</v>
      </c>
      <c r="D28" s="18" t="s">
        <v>12</v>
      </c>
      <c r="E28" s="18" t="s">
        <v>22</v>
      </c>
      <c r="F28" s="18">
        <v>40</v>
      </c>
      <c r="G28" s="19" t="s">
        <v>8</v>
      </c>
      <c r="H28" s="20">
        <v>46231</v>
      </c>
      <c r="I28" s="18"/>
    </row>
    <row r="29" spans="2:9" x14ac:dyDescent="0.45">
      <c r="B29" s="17" t="s">
        <v>10</v>
      </c>
      <c r="C29" s="18" t="s">
        <v>16</v>
      </c>
      <c r="D29" s="18" t="s">
        <v>12</v>
      </c>
      <c r="E29" s="18" t="s">
        <v>22</v>
      </c>
      <c r="F29" s="18">
        <v>3</v>
      </c>
      <c r="G29" s="19" t="s">
        <v>8</v>
      </c>
      <c r="H29" s="20">
        <v>46211</v>
      </c>
      <c r="I29" s="18"/>
    </row>
    <row r="30" spans="2:9" x14ac:dyDescent="0.45">
      <c r="B30" s="17" t="s">
        <v>10</v>
      </c>
      <c r="C30" s="18" t="s">
        <v>15</v>
      </c>
      <c r="D30" s="18" t="s">
        <v>12</v>
      </c>
      <c r="E30" s="18" t="s">
        <v>22</v>
      </c>
      <c r="F30" s="18">
        <v>20</v>
      </c>
      <c r="G30" s="19" t="s">
        <v>8</v>
      </c>
      <c r="H30" s="20">
        <v>46269</v>
      </c>
      <c r="I30" s="18"/>
    </row>
    <row r="31" spans="2:9" x14ac:dyDescent="0.45">
      <c r="B31" s="17"/>
      <c r="C31" s="18"/>
      <c r="D31" s="18"/>
      <c r="E31" s="18"/>
      <c r="F31" s="18"/>
      <c r="G31" s="21"/>
      <c r="H31" s="20"/>
      <c r="I31" s="18"/>
    </row>
    <row r="32" spans="2:9" x14ac:dyDescent="0.45">
      <c r="B32" s="17"/>
      <c r="C32" s="18"/>
      <c r="D32" s="18"/>
      <c r="E32" s="18"/>
      <c r="F32" s="18"/>
      <c r="G32" s="21"/>
      <c r="H32" s="20"/>
      <c r="I32" s="18"/>
    </row>
    <row r="33" spans="2:9" x14ac:dyDescent="0.45">
      <c r="B33" s="17"/>
      <c r="C33" s="18"/>
      <c r="D33" s="18"/>
      <c r="E33" s="18"/>
      <c r="F33" s="18"/>
      <c r="G33" s="21"/>
      <c r="H33" s="20"/>
      <c r="I33" s="18"/>
    </row>
    <row r="34" spans="2:9" x14ac:dyDescent="0.45">
      <c r="B34" s="17"/>
      <c r="C34" s="18"/>
      <c r="D34" s="18"/>
      <c r="E34" s="18"/>
      <c r="F34" s="18"/>
      <c r="G34" s="21"/>
      <c r="H34" s="20"/>
      <c r="I34" s="18"/>
    </row>
    <row r="35" spans="2:9" x14ac:dyDescent="0.45">
      <c r="B35" s="17"/>
      <c r="C35" s="18"/>
      <c r="D35" s="18"/>
      <c r="E35" s="18"/>
      <c r="F35" s="18"/>
      <c r="G35" s="21"/>
      <c r="H35" s="20"/>
      <c r="I35" s="18"/>
    </row>
    <row r="36" spans="2:9" x14ac:dyDescent="0.45">
      <c r="B36" s="17"/>
      <c r="C36" s="18"/>
      <c r="D36" s="18"/>
      <c r="E36" s="18"/>
      <c r="F36" s="18"/>
      <c r="G36" s="21"/>
      <c r="H36" s="20"/>
      <c r="I36" s="18"/>
    </row>
    <row r="37" spans="2:9" x14ac:dyDescent="0.45">
      <c r="B37" s="17"/>
      <c r="C37" s="18"/>
      <c r="D37" s="18"/>
      <c r="E37" s="18"/>
      <c r="F37" s="18"/>
      <c r="G37" s="21"/>
      <c r="H37" s="20"/>
      <c r="I37" s="18"/>
    </row>
    <row r="38" spans="2:9" x14ac:dyDescent="0.45">
      <c r="B38" s="17"/>
      <c r="C38" s="18"/>
      <c r="D38" s="18"/>
      <c r="E38" s="18"/>
      <c r="F38" s="18"/>
      <c r="G38" s="21"/>
      <c r="H38" s="20"/>
      <c r="I38" s="18"/>
    </row>
    <row r="39" spans="2:9" x14ac:dyDescent="0.45">
      <c r="B39" s="17"/>
      <c r="C39" s="18"/>
      <c r="D39" s="18"/>
      <c r="E39" s="18"/>
      <c r="F39" s="18"/>
      <c r="G39" s="21"/>
      <c r="H39" s="20"/>
      <c r="I39" s="18"/>
    </row>
    <row r="40" spans="2:9" x14ac:dyDescent="0.45">
      <c r="B40" s="17"/>
      <c r="C40" s="18"/>
      <c r="D40" s="18"/>
      <c r="E40" s="18"/>
      <c r="F40" s="18"/>
      <c r="G40" s="21"/>
      <c r="H40" s="20"/>
      <c r="I40" s="18"/>
    </row>
    <row r="41" spans="2:9" x14ac:dyDescent="0.45">
      <c r="B41" s="17"/>
      <c r="C41" s="18"/>
      <c r="D41" s="18"/>
      <c r="E41" s="18"/>
      <c r="F41" s="18"/>
      <c r="G41" s="21"/>
      <c r="H41" s="20"/>
      <c r="I41" s="18"/>
    </row>
    <row r="42" spans="2:9" x14ac:dyDescent="0.45">
      <c r="B42" s="17"/>
      <c r="C42" s="18"/>
      <c r="D42" s="18"/>
      <c r="E42" s="18"/>
      <c r="F42" s="18"/>
      <c r="G42" s="21"/>
      <c r="H42" s="20"/>
      <c r="I42" s="18"/>
    </row>
    <row r="43" spans="2:9" x14ac:dyDescent="0.45">
      <c r="B43" s="17"/>
      <c r="C43" s="18"/>
      <c r="D43" s="18"/>
      <c r="E43" s="18"/>
      <c r="F43" s="18"/>
      <c r="G43" s="21"/>
      <c r="H43" s="20"/>
      <c r="I43" s="18"/>
    </row>
    <row r="44" spans="2:9" x14ac:dyDescent="0.45">
      <c r="B44" s="17"/>
      <c r="C44" s="18"/>
      <c r="D44" s="18"/>
      <c r="E44" s="18"/>
      <c r="F44" s="18"/>
      <c r="G44" s="21"/>
      <c r="H44" s="20"/>
      <c r="I44" s="18"/>
    </row>
    <row r="45" spans="2:9" x14ac:dyDescent="0.45">
      <c r="B45" s="17"/>
      <c r="C45" s="18"/>
      <c r="D45" s="18"/>
      <c r="E45" s="18"/>
      <c r="F45" s="18"/>
      <c r="G45" s="21"/>
      <c r="H45" s="20"/>
      <c r="I45" s="18"/>
    </row>
    <row r="46" spans="2:9" x14ac:dyDescent="0.45">
      <c r="B46" s="17"/>
      <c r="C46" s="18"/>
      <c r="D46" s="18"/>
      <c r="E46" s="18"/>
      <c r="F46" s="18"/>
      <c r="G46" s="21"/>
      <c r="H46" s="20"/>
      <c r="I46" s="18"/>
    </row>
    <row r="47" spans="2:9" x14ac:dyDescent="0.45">
      <c r="B47" s="17"/>
      <c r="C47" s="18"/>
      <c r="D47" s="18"/>
      <c r="E47" s="18"/>
      <c r="F47" s="18"/>
      <c r="G47" s="21"/>
      <c r="H47" s="20"/>
      <c r="I47" s="18"/>
    </row>
    <row r="48" spans="2:9" x14ac:dyDescent="0.45">
      <c r="B48" s="17"/>
      <c r="C48" s="18"/>
      <c r="D48" s="18"/>
      <c r="E48" s="18"/>
      <c r="F48" s="18"/>
      <c r="G48" s="21"/>
      <c r="H48" s="20"/>
      <c r="I48" s="18"/>
    </row>
    <row r="49" spans="2:9" x14ac:dyDescent="0.45">
      <c r="B49" s="17"/>
      <c r="C49" s="18"/>
      <c r="D49" s="18"/>
      <c r="E49" s="18"/>
      <c r="F49" s="18"/>
      <c r="G49" s="21"/>
      <c r="H49" s="20"/>
      <c r="I49" s="18"/>
    </row>
    <row r="50" spans="2:9" x14ac:dyDescent="0.45">
      <c r="B50" s="17"/>
      <c r="C50" s="18"/>
      <c r="D50" s="18"/>
      <c r="E50" s="18"/>
      <c r="F50" s="18"/>
      <c r="G50" s="21"/>
      <c r="H50" s="20"/>
      <c r="I50" s="18"/>
    </row>
    <row r="51" spans="2:9" x14ac:dyDescent="0.45">
      <c r="B51" s="17"/>
      <c r="C51" s="18"/>
      <c r="D51" s="18"/>
      <c r="E51" s="18"/>
      <c r="F51" s="18"/>
      <c r="G51" s="21"/>
      <c r="H51" s="20"/>
      <c r="I51" s="18"/>
    </row>
    <row r="52" spans="2:9" x14ac:dyDescent="0.45">
      <c r="B52" s="17"/>
      <c r="C52" s="18"/>
      <c r="D52" s="18"/>
      <c r="E52" s="18"/>
      <c r="F52" s="18"/>
      <c r="G52" s="21"/>
      <c r="H52" s="20"/>
      <c r="I52" s="18"/>
    </row>
    <row r="53" spans="2:9" x14ac:dyDescent="0.45">
      <c r="B53" s="17"/>
      <c r="C53" s="18"/>
      <c r="D53" s="18"/>
      <c r="E53" s="18"/>
      <c r="F53" s="18"/>
      <c r="G53" s="21"/>
      <c r="H53" s="20"/>
      <c r="I53" s="18"/>
    </row>
    <row r="54" spans="2:9" x14ac:dyDescent="0.45">
      <c r="B54" s="17"/>
      <c r="C54" s="18"/>
      <c r="D54" s="18"/>
      <c r="E54" s="18"/>
      <c r="F54" s="18"/>
      <c r="G54" s="21"/>
      <c r="H54" s="20"/>
      <c r="I54" s="18"/>
    </row>
    <row r="55" spans="2:9" x14ac:dyDescent="0.45">
      <c r="B55" s="17"/>
      <c r="C55" s="18"/>
      <c r="D55" s="18"/>
      <c r="E55" s="18"/>
      <c r="F55" s="18"/>
      <c r="G55" s="21"/>
      <c r="H55" s="20"/>
      <c r="I55" s="18"/>
    </row>
    <row r="56" spans="2:9" x14ac:dyDescent="0.45">
      <c r="B56" s="17"/>
      <c r="C56" s="18"/>
      <c r="D56" s="18"/>
      <c r="E56" s="18"/>
      <c r="F56" s="18"/>
      <c r="G56" s="21"/>
      <c r="H56" s="20"/>
      <c r="I56" s="18"/>
    </row>
    <row r="57" spans="2:9" x14ac:dyDescent="0.45">
      <c r="B57" s="17"/>
      <c r="C57" s="18"/>
      <c r="D57" s="18"/>
      <c r="E57" s="18"/>
      <c r="F57" s="18"/>
      <c r="G57" s="21"/>
      <c r="H57" s="20"/>
      <c r="I57" s="18"/>
    </row>
    <row r="58" spans="2:9" x14ac:dyDescent="0.45">
      <c r="B58" s="17"/>
      <c r="C58" s="18"/>
      <c r="D58" s="18"/>
      <c r="E58" s="18"/>
      <c r="F58" s="18"/>
      <c r="G58" s="21"/>
      <c r="H58" s="20"/>
      <c r="I58" s="18"/>
    </row>
    <row r="59" spans="2:9" x14ac:dyDescent="0.45">
      <c r="B59" s="17"/>
      <c r="C59" s="18"/>
      <c r="D59" s="18"/>
      <c r="E59" s="18"/>
      <c r="F59" s="18"/>
      <c r="G59" s="21"/>
      <c r="H59" s="20"/>
      <c r="I59" s="18"/>
    </row>
    <row r="60" spans="2:9" x14ac:dyDescent="0.45">
      <c r="B60" s="17"/>
      <c r="C60" s="18"/>
      <c r="D60" s="18"/>
      <c r="E60" s="18"/>
      <c r="F60" s="18"/>
      <c r="G60" s="21"/>
      <c r="H60" s="20"/>
      <c r="I60" s="18"/>
    </row>
    <row r="61" spans="2:9" x14ac:dyDescent="0.45">
      <c r="B61" s="17"/>
      <c r="C61" s="18"/>
      <c r="D61" s="18"/>
      <c r="E61" s="18"/>
      <c r="F61" s="18"/>
      <c r="G61" s="21"/>
      <c r="H61" s="20"/>
      <c r="I61" s="18"/>
    </row>
    <row r="62" spans="2:9" x14ac:dyDescent="0.45">
      <c r="B62" s="17"/>
      <c r="C62" s="18"/>
      <c r="D62" s="18"/>
      <c r="E62" s="18"/>
      <c r="F62" s="18"/>
      <c r="G62" s="21"/>
      <c r="H62" s="20"/>
      <c r="I62" s="18"/>
    </row>
    <row r="63" spans="2:9" x14ac:dyDescent="0.45">
      <c r="B63" s="17"/>
      <c r="C63" s="18"/>
      <c r="D63" s="18"/>
      <c r="E63" s="18"/>
      <c r="F63" s="18"/>
      <c r="G63" s="21"/>
      <c r="H63" s="20"/>
      <c r="I63" s="18"/>
    </row>
    <row r="64" spans="2:9" x14ac:dyDescent="0.45">
      <c r="B64" s="17"/>
      <c r="C64" s="18"/>
      <c r="D64" s="18"/>
      <c r="E64" s="18"/>
      <c r="F64" s="18"/>
      <c r="G64" s="21"/>
      <c r="H64" s="20"/>
      <c r="I64" s="18"/>
    </row>
    <row r="65" spans="2:9" x14ac:dyDescent="0.45">
      <c r="B65" s="22" t="s">
        <v>23</v>
      </c>
      <c r="C65" s="22"/>
      <c r="D65" s="22"/>
      <c r="E65" s="22"/>
      <c r="F65" s="23">
        <f>SUM(F16:F64)</f>
        <v>363</v>
      </c>
      <c r="G65" s="24"/>
      <c r="H65" s="24"/>
      <c r="I65" s="23"/>
    </row>
  </sheetData>
  <mergeCells count="11">
    <mergeCell ref="B5:B11"/>
    <mergeCell ref="D5:D11"/>
    <mergeCell ref="E5:E11"/>
    <mergeCell ref="B12:E12"/>
    <mergeCell ref="B65:E65"/>
    <mergeCell ref="B3:B4"/>
    <mergeCell ref="C3:C4"/>
    <mergeCell ref="D3:D4"/>
    <mergeCell ref="E3:E4"/>
    <mergeCell ref="F3:H3"/>
    <mergeCell ref="I3:I4"/>
  </mergeCells>
  <phoneticPr fontId="2" type="noConversion"/>
  <pageMargins left="0.7" right="0.7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구내증폭기 분출현황(H&amp;S)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진덕 유</cp:lastModifiedBy>
  <dcterms:created xsi:type="dcterms:W3CDTF">2015-06-05T18:17:20Z</dcterms:created>
  <dcterms:modified xsi:type="dcterms:W3CDTF">2026-09-15T06:38:49Z</dcterms:modified>
</cp:coreProperties>
</file>